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hardthawley/Downloads/"/>
    </mc:Choice>
  </mc:AlternateContent>
  <xr:revisionPtr revIDLastSave="0" documentId="8_{758A7698-6F8A-F047-9AE8-C15E5F4CC328}" xr6:coauthVersionLast="47" xr6:coauthVersionMax="47" xr10:uidLastSave="{00000000-0000-0000-0000-000000000000}"/>
  <bookViews>
    <workbookView xWindow="3800" yWindow="1880" windowWidth="33420" windowHeight="17500" xr2:uid="{00000000-000D-0000-FFFF-FFFF00000000}"/>
  </bookViews>
  <sheets>
    <sheet name="Holdings - 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448" i="1"/>
  <c r="I455" i="1"/>
  <c r="I575" i="1"/>
  <c r="I457" i="1"/>
  <c r="I781" i="1"/>
  <c r="I677" i="1"/>
  <c r="I675" i="1"/>
  <c r="I445" i="1"/>
  <c r="I433" i="1"/>
  <c r="I430" i="1"/>
  <c r="I423" i="1"/>
  <c r="I411" i="1"/>
  <c r="I186" i="1"/>
  <c r="I182" i="1"/>
</calcChain>
</file>

<file path=xl/sharedStrings.xml><?xml version="1.0" encoding="utf-8"?>
<sst xmlns="http://schemas.openxmlformats.org/spreadsheetml/2006/main" count="3078" uniqueCount="1494">
  <si>
    <t/>
  </si>
  <si>
    <t xml:space="preserve">  Holdings - Detail</t>
  </si>
  <si>
    <t xml:space="preserve">   As Of Date : 03/31/2025</t>
  </si>
  <si>
    <t>Account ID</t>
  </si>
  <si>
    <t>As Of Date</t>
  </si>
  <si>
    <t>Ticker Symbol</t>
  </si>
  <si>
    <t>CUSIP Id</t>
  </si>
  <si>
    <t>Asset Long Name 1</t>
  </si>
  <si>
    <t>Shares/Par</t>
  </si>
  <si>
    <t>Current Price</t>
  </si>
  <si>
    <t>Market Value</t>
  </si>
  <si>
    <t>19-0918</t>
  </si>
  <si>
    <t>Principal Cash</t>
  </si>
  <si>
    <t>ADMA</t>
  </si>
  <si>
    <t>000899104</t>
  </si>
  <si>
    <t>ADMA BIOLOGICS INC</t>
  </si>
  <si>
    <t>ANIP</t>
  </si>
  <si>
    <t>00182C103</t>
  </si>
  <si>
    <t>ANI PHARMACEUTICALS INC</t>
  </si>
  <si>
    <t>ANF</t>
  </si>
  <si>
    <t>002896207</t>
  </si>
  <si>
    <t>ABERCROMBIE &amp; FITCH CO</t>
  </si>
  <si>
    <t>ACAD</t>
  </si>
  <si>
    <t>004225108</t>
  </si>
  <si>
    <t>ACADIA PHARMACEUTICALS INC</t>
  </si>
  <si>
    <t>ADEA</t>
  </si>
  <si>
    <t>00676P107</t>
  </si>
  <si>
    <t>ADEIA INC COM</t>
  </si>
  <si>
    <t>ATGE</t>
  </si>
  <si>
    <t>00737L103</t>
  </si>
  <si>
    <t>ADTALEM GLOBAL EDUCATION INC</t>
  </si>
  <si>
    <t>ALKT</t>
  </si>
  <si>
    <t>01644J108</t>
  </si>
  <si>
    <t>ALKAMI TECHNOLOGY INC</t>
  </si>
  <si>
    <t>AAT</t>
  </si>
  <si>
    <t>024013104</t>
  </si>
  <si>
    <t>AMERICAN ASSETS TRUST INC</t>
  </si>
  <si>
    <t>APOG</t>
  </si>
  <si>
    <t>037598109</t>
  </si>
  <si>
    <t>APOGEE ENTERPRISES INC</t>
  </si>
  <si>
    <t>APPN</t>
  </si>
  <si>
    <t>03782L101</t>
  </si>
  <si>
    <t>APPIAN CORP</t>
  </si>
  <si>
    <t>APPF</t>
  </si>
  <si>
    <t>03783C100</t>
  </si>
  <si>
    <t>APPFOLIO INC A</t>
  </si>
  <si>
    <t>AROC</t>
  </si>
  <si>
    <t>03957W106</t>
  </si>
  <si>
    <t>ARCHROCK INC COM</t>
  </si>
  <si>
    <t>AEYE</t>
  </si>
  <si>
    <t>050734201</t>
  </si>
  <si>
    <t>AUDIOEYE INC</t>
  </si>
  <si>
    <t>AX</t>
  </si>
  <si>
    <t>05465C100</t>
  </si>
  <si>
    <t>AXOS FINANCIAL INC</t>
  </si>
  <si>
    <t>BBWI</t>
  </si>
  <si>
    <t>070830104</t>
  </si>
  <si>
    <t>BATH BODY WORKS INC COM</t>
  </si>
  <si>
    <t>BRBR</t>
  </si>
  <si>
    <t>07831C103</t>
  </si>
  <si>
    <t>BELLRING BRANDS INC</t>
  </si>
  <si>
    <t>BHE</t>
  </si>
  <si>
    <t>08160H101</t>
  </si>
  <si>
    <t>BENCHMARK ELECTRONICS INC</t>
  </si>
  <si>
    <t>BLFS</t>
  </si>
  <si>
    <t>09062W204</t>
  </si>
  <si>
    <t>BIOLIFE SOLUTIONS INC</t>
  </si>
  <si>
    <t>BVS</t>
  </si>
  <si>
    <t>09075A108</t>
  </si>
  <si>
    <t>BIOVENTUS INC COM CL A</t>
  </si>
  <si>
    <t>BKH</t>
  </si>
  <si>
    <t>092113109</t>
  </si>
  <si>
    <t>BLACK HILLS CORP</t>
  </si>
  <si>
    <t>BLND</t>
  </si>
  <si>
    <t>09352U108</t>
  </si>
  <si>
    <t>BLEND LABS INC CL A</t>
  </si>
  <si>
    <t>BXC</t>
  </si>
  <si>
    <t>09624H208</t>
  </si>
  <si>
    <t>BLUELINX HOLDINGS INC</t>
  </si>
  <si>
    <t>BCO</t>
  </si>
  <si>
    <t>109696104</t>
  </si>
  <si>
    <t>THE BRINKS CO</t>
  </si>
  <si>
    <t>BFST</t>
  </si>
  <si>
    <t>12326C105</t>
  </si>
  <si>
    <t>BUSINESS FIRST BANCSHARES</t>
  </si>
  <si>
    <t>PMTS</t>
  </si>
  <si>
    <t>12634H200</t>
  </si>
  <si>
    <t>CPI CARD GROUP INC</t>
  </si>
  <si>
    <t>CALM</t>
  </si>
  <si>
    <t>128030202</t>
  </si>
  <si>
    <t>CAL MAINE FOODS INC</t>
  </si>
  <si>
    <t>CRC</t>
  </si>
  <si>
    <t>13057Q305</t>
  </si>
  <si>
    <t>CALIFORNIA RES CORP</t>
  </si>
  <si>
    <t>CBNK</t>
  </si>
  <si>
    <t>139737100</t>
  </si>
  <si>
    <t>CAPITAL BANCORP INC MD</t>
  </si>
  <si>
    <t>CTRE</t>
  </si>
  <si>
    <t>14174T107</t>
  </si>
  <si>
    <t>CARETRUST REIT INC</t>
  </si>
  <si>
    <t>CARG</t>
  </si>
  <si>
    <t>141788109</t>
  </si>
  <si>
    <t>CARGURUS INC</t>
  </si>
  <si>
    <t>CRS</t>
  </si>
  <si>
    <t>144285103</t>
  </si>
  <si>
    <t>CARPENTER TECHNOLOGY CORP</t>
  </si>
  <si>
    <t>CAREZZZZ</t>
  </si>
  <si>
    <t>146103106</t>
  </si>
  <si>
    <t>CARTER BANKSHARES INC</t>
  </si>
  <si>
    <t>CSTL</t>
  </si>
  <si>
    <t>14843C105</t>
  </si>
  <si>
    <t>CASTLE BIOSCIENCES INC</t>
  </si>
  <si>
    <t>CPRX</t>
  </si>
  <si>
    <t>14888U101</t>
  </si>
  <si>
    <t>CATALYST PHARM PARTNERS INC</t>
  </si>
  <si>
    <t>CVCO</t>
  </si>
  <si>
    <t>149568107</t>
  </si>
  <si>
    <t>CAVCO INDUSTRIAL INC</t>
  </si>
  <si>
    <t>CPF</t>
  </si>
  <si>
    <t>154760409</t>
  </si>
  <si>
    <t>CENTRAL PACIFIC FINANCIAL CO</t>
  </si>
  <si>
    <t>CCS</t>
  </si>
  <si>
    <t>156504300</t>
  </si>
  <si>
    <t>CENTURY COMMUNITIES INC</t>
  </si>
  <si>
    <t>CRUS</t>
  </si>
  <si>
    <t>172755100</t>
  </si>
  <si>
    <t>CIRRUS LOGIC INC</t>
  </si>
  <si>
    <t>CIO</t>
  </si>
  <si>
    <t>178587101</t>
  </si>
  <si>
    <t>CITY OFFICE REIT INC</t>
  </si>
  <si>
    <t>CIVB</t>
  </si>
  <si>
    <t>178867107</t>
  </si>
  <si>
    <t>CIVISTA BANCSHARES INC</t>
  </si>
  <si>
    <t>COKE</t>
  </si>
  <si>
    <t>191098102</t>
  </si>
  <si>
    <t>COCA COLA BOTTLING CO CONS</t>
  </si>
  <si>
    <t>CDE</t>
  </si>
  <si>
    <t>192108504</t>
  </si>
  <si>
    <t>COEUR MINING INC</t>
  </si>
  <si>
    <t>COLL</t>
  </si>
  <si>
    <t>19459J104</t>
  </si>
  <si>
    <t>COLLEGIUM PHARMACEUTICAL INC</t>
  </si>
  <si>
    <t>CVLT</t>
  </si>
  <si>
    <t>204166102</t>
  </si>
  <si>
    <t>COMMVAULT SYSTEMS INC</t>
  </si>
  <si>
    <t>CTKB</t>
  </si>
  <si>
    <t>23285D109</t>
  </si>
  <si>
    <t>CYTEK BIOSCIENCES INC COM</t>
  </si>
  <si>
    <t>DAKT</t>
  </si>
  <si>
    <t>234264109</t>
  </si>
  <si>
    <t>DAKTRONICS INC</t>
  </si>
  <si>
    <t>EME</t>
  </si>
  <si>
    <t>29084Q100</t>
  </si>
  <si>
    <t>EMCOR GROUP INC</t>
  </si>
  <si>
    <t>ENVA</t>
  </si>
  <si>
    <t>29357K103</t>
  </si>
  <si>
    <t>ENOVA INTL INC COM</t>
  </si>
  <si>
    <t>EE</t>
  </si>
  <si>
    <t>30069T101</t>
  </si>
  <si>
    <t>EXCELERATE ENERGY INC</t>
  </si>
  <si>
    <t>FBK</t>
  </si>
  <si>
    <t>30257X104</t>
  </si>
  <si>
    <t>FB FINANCIAL CORP</t>
  </si>
  <si>
    <t>FSBW</t>
  </si>
  <si>
    <t>30263Y104</t>
  </si>
  <si>
    <t>FS BANCORP INC</t>
  </si>
  <si>
    <t>FSS</t>
  </si>
  <si>
    <t>313855108</t>
  </si>
  <si>
    <t>FEDERAL SIGNAL CORP</t>
  </si>
  <si>
    <t>FBP</t>
  </si>
  <si>
    <t>318672706</t>
  </si>
  <si>
    <t>FIRST BANCORP PUERTO RICO</t>
  </si>
  <si>
    <t>FBIZ</t>
  </si>
  <si>
    <t>319390100</t>
  </si>
  <si>
    <t>FIRST BUSINESS FINL SVCS INC</t>
  </si>
  <si>
    <t>FOR</t>
  </si>
  <si>
    <t>346232101</t>
  </si>
  <si>
    <t>FORESTAR GROUP INC</t>
  </si>
  <si>
    <t>FTDR</t>
  </si>
  <si>
    <t>35905A109</t>
  </si>
  <si>
    <t>FRONTDOOR INC</t>
  </si>
  <si>
    <t>GCO</t>
  </si>
  <si>
    <t>371532102</t>
  </si>
  <si>
    <t>GENESCO INC</t>
  </si>
  <si>
    <t>GTLB</t>
  </si>
  <si>
    <t>37637K108</t>
  </si>
  <si>
    <t>GITLAB INC CLASS A COM</t>
  </si>
  <si>
    <t>GRC</t>
  </si>
  <si>
    <t>383082104</t>
  </si>
  <si>
    <t>GORMAN RUPP CO</t>
  </si>
  <si>
    <t>GHM</t>
  </si>
  <si>
    <t>384556106</t>
  </si>
  <si>
    <t>GRAHAM CORP</t>
  </si>
  <si>
    <t>GHC</t>
  </si>
  <si>
    <t>384637104</t>
  </si>
  <si>
    <t>GRAHAM HOLDINGS CO</t>
  </si>
  <si>
    <t>LOPE</t>
  </si>
  <si>
    <t>38526M106</t>
  </si>
  <si>
    <t>GRAND CANYON EDUCATION INC</t>
  </si>
  <si>
    <t>GFF</t>
  </si>
  <si>
    <t>398433102</t>
  </si>
  <si>
    <t>GRIFFON CORP</t>
  </si>
  <si>
    <t>HAFC</t>
  </si>
  <si>
    <t>410495204</t>
  </si>
  <si>
    <t>HANMI FINANCIAL CORPORATION</t>
  </si>
  <si>
    <t>HRMY</t>
  </si>
  <si>
    <t>413197104</t>
  </si>
  <si>
    <t>HARMONY BIOSCIENCES HLDGS INC COM</t>
  </si>
  <si>
    <t>HCAT</t>
  </si>
  <si>
    <t>42225T107</t>
  </si>
  <si>
    <t>HEALTH CATALYST INC</t>
  </si>
  <si>
    <t>HRI</t>
  </si>
  <si>
    <t>42704L104</t>
  </si>
  <si>
    <t>HERC HOLDINGS INC</t>
  </si>
  <si>
    <t>HNST</t>
  </si>
  <si>
    <t>438333106</t>
  </si>
  <si>
    <t>HONEST CO INC</t>
  </si>
  <si>
    <t>HBNC</t>
  </si>
  <si>
    <t>440407104</t>
  </si>
  <si>
    <t>HORIZON BANCORP INC</t>
  </si>
  <si>
    <t>INFU</t>
  </si>
  <si>
    <t>45685K102</t>
  </si>
  <si>
    <t>INFUSYSTEM HOLDINGS INC</t>
  </si>
  <si>
    <t>IMKTA</t>
  </si>
  <si>
    <t>457030104</t>
  </si>
  <si>
    <t>INGLES MARKETS INC CL A</t>
  </si>
  <si>
    <t>TILE</t>
  </si>
  <si>
    <t>458665304</t>
  </si>
  <si>
    <t>INTERFACE INC</t>
  </si>
  <si>
    <t>IBOC</t>
  </si>
  <si>
    <t>459044103</t>
  </si>
  <si>
    <t>INTERNATIONAL BANCSHARES CORP</t>
  </si>
  <si>
    <t>IPI</t>
  </si>
  <si>
    <t>46121Y201</t>
  </si>
  <si>
    <t>INTREPID POTASH INC</t>
  </si>
  <si>
    <t>IVT</t>
  </si>
  <si>
    <t>46124J201</t>
  </si>
  <si>
    <t>INVENTRUST PPTYS CORP COM</t>
  </si>
  <si>
    <t>IRMD</t>
  </si>
  <si>
    <t>46266A109</t>
  </si>
  <si>
    <t>IRADIMED CORP</t>
  </si>
  <si>
    <t>IWM</t>
  </si>
  <si>
    <t>464287655</t>
  </si>
  <si>
    <t>ISHARES RUSSELL 2000</t>
  </si>
  <si>
    <t>JILL</t>
  </si>
  <si>
    <t>46620W201</t>
  </si>
  <si>
    <t>J JILL INC</t>
  </si>
  <si>
    <t>JXN</t>
  </si>
  <si>
    <t>46817M107</t>
  </si>
  <si>
    <t>JACKSON FINANCIAL INC COM CL A</t>
  </si>
  <si>
    <t>KEX</t>
  </si>
  <si>
    <t>497266106</t>
  </si>
  <si>
    <t>KIRBY CORP COM</t>
  </si>
  <si>
    <t>KTB</t>
  </si>
  <si>
    <t>50050N103</t>
  </si>
  <si>
    <t>KONTOOR BRANDS INC W I</t>
  </si>
  <si>
    <t>KFY</t>
  </si>
  <si>
    <t>500643200</t>
  </si>
  <si>
    <t>KORN FERRY INTL</t>
  </si>
  <si>
    <t>KRYS</t>
  </si>
  <si>
    <t>501147102</t>
  </si>
  <si>
    <t>KRYSTAL BIOTECH INC</t>
  </si>
  <si>
    <t>LYTS</t>
  </si>
  <si>
    <t>50216C108</t>
  </si>
  <si>
    <t>L S I INDUSTRIES INC</t>
  </si>
  <si>
    <t>LTH</t>
  </si>
  <si>
    <t>53190C102</t>
  </si>
  <si>
    <t>LIFE TIME GROUP HOLDINGS INC COMMON</t>
  </si>
  <si>
    <t>LGND</t>
  </si>
  <si>
    <t>53220K504</t>
  </si>
  <si>
    <t>LIGAND PHARMACEUTICALS INC</t>
  </si>
  <si>
    <t>LFST</t>
  </si>
  <si>
    <t>53228F101</t>
  </si>
  <si>
    <t>LIFESTANCE HEALTH GROUP INC COM</t>
  </si>
  <si>
    <t>LIND</t>
  </si>
  <si>
    <t>535219109</t>
  </si>
  <si>
    <t>LINDBLAD EXPEDITIONS HOLDING</t>
  </si>
  <si>
    <t>MKSI</t>
  </si>
  <si>
    <t>55306N104</t>
  </si>
  <si>
    <t>M K S INSTRUMENTS INC</t>
  </si>
  <si>
    <t>MBC</t>
  </si>
  <si>
    <t>57638P104</t>
  </si>
  <si>
    <t>MASTERBRAND INC COMMON STOCK</t>
  </si>
  <si>
    <t>MATX</t>
  </si>
  <si>
    <t>57686G105</t>
  </si>
  <si>
    <t>MATSON INC</t>
  </si>
  <si>
    <t>MGRC</t>
  </si>
  <si>
    <t>580589109</t>
  </si>
  <si>
    <t>MCGRATH RENTCORP</t>
  </si>
  <si>
    <t>MTH</t>
  </si>
  <si>
    <t>59001A102</t>
  </si>
  <si>
    <t>MERITAGE HOMES CORPORATION</t>
  </si>
  <si>
    <t>MLI</t>
  </si>
  <si>
    <t>624756102</t>
  </si>
  <si>
    <t>MUELLER INDS INC</t>
  </si>
  <si>
    <t>MWA</t>
  </si>
  <si>
    <t>624758108</t>
  </si>
  <si>
    <t>MUELLER WTR PRODS INC</t>
  </si>
  <si>
    <t>NMIH</t>
  </si>
  <si>
    <t>629209305</t>
  </si>
  <si>
    <t>NMI HOLDINGS INC. COMMON STOCK</t>
  </si>
  <si>
    <t>NHC</t>
  </si>
  <si>
    <t>635906100</t>
  </si>
  <si>
    <t>NATIONAL HEALTHCARE CORP</t>
  </si>
  <si>
    <t>NFG</t>
  </si>
  <si>
    <t>636180101</t>
  </si>
  <si>
    <t>NATIONAL FUEL GAS CO NJ</t>
  </si>
  <si>
    <t>NGS</t>
  </si>
  <si>
    <t>63886Q109</t>
  </si>
  <si>
    <t>NATURAL GAS SVCS GROUP</t>
  </si>
  <si>
    <t>NJR</t>
  </si>
  <si>
    <t>646025106</t>
  </si>
  <si>
    <t>NEW JERSEY RESOURCES CORP</t>
  </si>
  <si>
    <t>NMRK</t>
  </si>
  <si>
    <t>65158N102</t>
  </si>
  <si>
    <t>NEWMARK GROUP INC</t>
  </si>
  <si>
    <t>NBN</t>
  </si>
  <si>
    <t>66405S100</t>
  </si>
  <si>
    <t>NORTHEAST BANK</t>
  </si>
  <si>
    <t>NECB</t>
  </si>
  <si>
    <t>664121100</t>
  </si>
  <si>
    <t>NORTHEAST CMNTY BANCORP INC COM</t>
  </si>
  <si>
    <t>NRIM</t>
  </si>
  <si>
    <t>666762109</t>
  </si>
  <si>
    <t>NORTHRIM BANCORP INC</t>
  </si>
  <si>
    <t>NWN</t>
  </si>
  <si>
    <t>66765N105</t>
  </si>
  <si>
    <t>NORTHWEST NATURAL HOLDING CO</t>
  </si>
  <si>
    <t>NWPX</t>
  </si>
  <si>
    <t>667746101</t>
  </si>
  <si>
    <t>NORTHWEST PIPE CO</t>
  </si>
  <si>
    <t>OFG</t>
  </si>
  <si>
    <t>67103X102</t>
  </si>
  <si>
    <t>OFG BANCORP</t>
  </si>
  <si>
    <t>OSPN</t>
  </si>
  <si>
    <t>68287N100</t>
  </si>
  <si>
    <t>ONESPAN INC</t>
  </si>
  <si>
    <t>PNTG</t>
  </si>
  <si>
    <t>70805E109</t>
  </si>
  <si>
    <t>PENNANT GROUP INC</t>
  </si>
  <si>
    <t>PRM</t>
  </si>
  <si>
    <t>71385M107</t>
  </si>
  <si>
    <t>PERIMETER SOLUTIONS INC COMMON STOCK</t>
  </si>
  <si>
    <t>PAHC</t>
  </si>
  <si>
    <t>71742Q106</t>
  </si>
  <si>
    <t>PHIBRO ANIMAL HEALTH CORPORATION</t>
  </si>
  <si>
    <t>PLAB</t>
  </si>
  <si>
    <t>719405102</t>
  </si>
  <si>
    <t>PHOTRONICS INC</t>
  </si>
  <si>
    <t>PDM</t>
  </si>
  <si>
    <t>720190206</t>
  </si>
  <si>
    <t>PIEDMONT OFFICE REALTY TRUST INC</t>
  </si>
  <si>
    <t>BPOP</t>
  </si>
  <si>
    <t>733174700</t>
  </si>
  <si>
    <t>POPULAR INC</t>
  </si>
  <si>
    <t>PRIM</t>
  </si>
  <si>
    <t>74164F103</t>
  </si>
  <si>
    <t>PRIMORIS SERVICES CORP</t>
  </si>
  <si>
    <t>PRO</t>
  </si>
  <si>
    <t>74346Y103</t>
  </si>
  <si>
    <t>PROS HOLDINGS INC</t>
  </si>
  <si>
    <t>QCRH</t>
  </si>
  <si>
    <t>74727A104</t>
  </si>
  <si>
    <t>QCR HOLDINGS INC</t>
  </si>
  <si>
    <t>QTWO</t>
  </si>
  <si>
    <t>74736L109</t>
  </si>
  <si>
    <t>Q2 HOLDINGS INC</t>
  </si>
  <si>
    <t>QNST</t>
  </si>
  <si>
    <t>74874Q100</t>
  </si>
  <si>
    <t>QUINSTREET INC</t>
  </si>
  <si>
    <t>RMR</t>
  </si>
  <si>
    <t>74967R106</t>
  </si>
  <si>
    <t>RMR GROUP INC THE A</t>
  </si>
  <si>
    <t>RMBS</t>
  </si>
  <si>
    <t>750917106</t>
  </si>
  <si>
    <t>RAMBUS INC</t>
  </si>
  <si>
    <t>RYAM</t>
  </si>
  <si>
    <t>75508B104</t>
  </si>
  <si>
    <t>RAYONIER ADVANCED MATERIALS</t>
  </si>
  <si>
    <t>REPX</t>
  </si>
  <si>
    <t>76665T102</t>
  </si>
  <si>
    <t>RILEY EXPLORATION PERMIAN INC COM</t>
  </si>
  <si>
    <t>RNG</t>
  </si>
  <si>
    <t>76680R206</t>
  </si>
  <si>
    <t>RINGCENTRAL INC CLASS A</t>
  </si>
  <si>
    <t>RCKY</t>
  </si>
  <si>
    <t>774515100</t>
  </si>
  <si>
    <t>ROCKY BRANDS INC</t>
  </si>
  <si>
    <t>RUSHB</t>
  </si>
  <si>
    <t>781846308</t>
  </si>
  <si>
    <t>RUSH ENTERPRISES INC CL B</t>
  </si>
  <si>
    <t>RXST</t>
  </si>
  <si>
    <t>78349D107</t>
  </si>
  <si>
    <t>RXSIGHT INC COM</t>
  </si>
  <si>
    <t>RHP</t>
  </si>
  <si>
    <t>78377T107</t>
  </si>
  <si>
    <t>RYMAN HOSPITALITY PROPERTIES</t>
  </si>
  <si>
    <t>SM</t>
  </si>
  <si>
    <t>78454L100</t>
  </si>
  <si>
    <t>SM ENERGY CO</t>
  </si>
  <si>
    <t>SMG</t>
  </si>
  <si>
    <t>810186106</t>
  </si>
  <si>
    <t>THE SCOTTS MIRACLE GRO COMPANY</t>
  </si>
  <si>
    <t>XLV</t>
  </si>
  <si>
    <t>81369Y209</t>
  </si>
  <si>
    <t>HEALTH CARE SELECT SECTOR SPDR FUND</t>
  </si>
  <si>
    <t>SEMR</t>
  </si>
  <si>
    <t>81686C104</t>
  </si>
  <si>
    <t>SEMRUSH HLDGS INC CL A COM</t>
  </si>
  <si>
    <t>STR</t>
  </si>
  <si>
    <t>82983N108</t>
  </si>
  <si>
    <t>SITIO ROYALTIES CORP CLASS A</t>
  </si>
  <si>
    <t>SKYW</t>
  </si>
  <si>
    <t>830879102</t>
  </si>
  <si>
    <t>SKYWEST INC</t>
  </si>
  <si>
    <t>SKWD</t>
  </si>
  <si>
    <t>830940102</t>
  </si>
  <si>
    <t>SKYWARD SPECIALTY INS GROUP IN COM</t>
  </si>
  <si>
    <t>SMBK</t>
  </si>
  <si>
    <t>83190L208</t>
  </si>
  <si>
    <t>SMARTFINANCIAL INC</t>
  </si>
  <si>
    <t>SPFI</t>
  </si>
  <si>
    <t>83946P107</t>
  </si>
  <si>
    <t>SOUTH PLAINS FINANCIAL INC</t>
  </si>
  <si>
    <t>SWX</t>
  </si>
  <si>
    <t>844895102</t>
  </si>
  <si>
    <t>SOUTHWEST GAS HOLDINGS INC COM</t>
  </si>
  <si>
    <t>SFM</t>
  </si>
  <si>
    <t>85208M102</t>
  </si>
  <si>
    <t>SPROUTS FARMERS MARKETS INC</t>
  </si>
  <si>
    <t>STRL</t>
  </si>
  <si>
    <t>859241101</t>
  </si>
  <si>
    <t>STERLING INFRASTRUCTURE INC</t>
  </si>
  <si>
    <t>SNV</t>
  </si>
  <si>
    <t>87161C501</t>
  </si>
  <si>
    <t>SYNOVUS FINANCIAL CORP</t>
  </si>
  <si>
    <t>TPH</t>
  </si>
  <si>
    <t>87265H109</t>
  </si>
  <si>
    <t>TRI POINTE HOMES INC</t>
  </si>
  <si>
    <t>TALK</t>
  </si>
  <si>
    <t>87427V103</t>
  </si>
  <si>
    <t>TALKSPACE INC COM</t>
  </si>
  <si>
    <t>TDS</t>
  </si>
  <si>
    <t>879433829</t>
  </si>
  <si>
    <t>TELEPHONE AND DATA SYSTEMS INC</t>
  </si>
  <si>
    <t>TENB</t>
  </si>
  <si>
    <t>88025T102</t>
  </si>
  <si>
    <t>TENABLE HOLDINGS INC</t>
  </si>
  <si>
    <t>TCBI</t>
  </si>
  <si>
    <t>88224Q107</t>
  </si>
  <si>
    <t>TEXAS CAPITAL BANCSHARES INC</t>
  </si>
  <si>
    <t>TCBX</t>
  </si>
  <si>
    <t>88422P109</t>
  </si>
  <si>
    <t>THIRD COAST BANCSHARES INC COM</t>
  </si>
  <si>
    <t>USBGFS5</t>
  </si>
  <si>
    <t>8AMMF0A92</t>
  </si>
  <si>
    <t>US BANK MMDA GLOBAL FUND SERVICES 5</t>
  </si>
  <si>
    <t>UFPT</t>
  </si>
  <si>
    <t>902673102</t>
  </si>
  <si>
    <t>UFP TECHNOLOGIES INC</t>
  </si>
  <si>
    <t>UMH</t>
  </si>
  <si>
    <t>903002103</t>
  </si>
  <si>
    <t>UMH PROPERTIES INC</t>
  </si>
  <si>
    <t>USNA</t>
  </si>
  <si>
    <t>90328M107</t>
  </si>
  <si>
    <t>USANA HEALTH SCIENCES INC</t>
  </si>
  <si>
    <t>PATH</t>
  </si>
  <si>
    <t>90364P105</t>
  </si>
  <si>
    <t>UIPATH INC CL A</t>
  </si>
  <si>
    <t>UIS</t>
  </si>
  <si>
    <t>909214306</t>
  </si>
  <si>
    <t>UNISYS CORPORATION</t>
  </si>
  <si>
    <t>UTMD</t>
  </si>
  <si>
    <t>917488108</t>
  </si>
  <si>
    <t>UTAH MED PRODS INC</t>
  </si>
  <si>
    <t>VMI</t>
  </si>
  <si>
    <t>920253101</t>
  </si>
  <si>
    <t>VALMONT INDS INC</t>
  </si>
  <si>
    <t>VTWO</t>
  </si>
  <si>
    <t>92206C664</t>
  </si>
  <si>
    <t>VANGUARD RUSSELL 2000 INDEX FUND</t>
  </si>
  <si>
    <t>VCEL</t>
  </si>
  <si>
    <t>92346J108</t>
  </si>
  <si>
    <t>VERICEL CORP</t>
  </si>
  <si>
    <t>DSP</t>
  </si>
  <si>
    <t>92557A101</t>
  </si>
  <si>
    <t>VIANT TECHNOLOGY INC</t>
  </si>
  <si>
    <t>VMD</t>
  </si>
  <si>
    <t>92663R105</t>
  </si>
  <si>
    <t>VIEMED HEALTHCARE INC</t>
  </si>
  <si>
    <t>VLGEA</t>
  </si>
  <si>
    <t>927107409</t>
  </si>
  <si>
    <t>VILLAGE SUPER MARKET INC CL A</t>
  </si>
  <si>
    <t>VIRC</t>
  </si>
  <si>
    <t>927651109</t>
  </si>
  <si>
    <t>VIRCO MFG CO COM</t>
  </si>
  <si>
    <t>VNOM</t>
  </si>
  <si>
    <t>927959106</t>
  </si>
  <si>
    <t>VIPER ENERGY INC CL A</t>
  </si>
  <si>
    <t>WLDN</t>
  </si>
  <si>
    <t>96924N100</t>
  </si>
  <si>
    <t>WILLDAN GROUP INC</t>
  </si>
  <si>
    <t>WK</t>
  </si>
  <si>
    <t>98139A105</t>
  </si>
  <si>
    <t>WORKIVA INC</t>
  </si>
  <si>
    <t>ZG</t>
  </si>
  <si>
    <t>98954M101</t>
  </si>
  <si>
    <t>ZILLOW GROUP INC</t>
  </si>
  <si>
    <t>CSTM</t>
  </si>
  <si>
    <t>F21107101</t>
  </si>
  <si>
    <t>CONSTELLIUM SE</t>
  </si>
  <si>
    <t>AMBA</t>
  </si>
  <si>
    <t>G037AX101</t>
  </si>
  <si>
    <t>AMBARELLA INC</t>
  </si>
  <si>
    <t>AXS</t>
  </si>
  <si>
    <t>G0692U109</t>
  </si>
  <si>
    <t>AXIS CAPITAL HOLDINGS LTD</t>
  </si>
  <si>
    <t>CMCL</t>
  </si>
  <si>
    <t>G1757E113</t>
  </si>
  <si>
    <t>CALEDONIA MNG CORP PLC SHS NEW</t>
  </si>
  <si>
    <t>CRDO</t>
  </si>
  <si>
    <t>G25457105</t>
  </si>
  <si>
    <t>CREDO TECHNOLOGY GROUP HOLDINGS</t>
  </si>
  <si>
    <t>ESNT</t>
  </si>
  <si>
    <t>G3198U102</t>
  </si>
  <si>
    <t>ESSENT GROUP LTD</t>
  </si>
  <si>
    <t>ICHR</t>
  </si>
  <si>
    <t>G4740B105</t>
  </si>
  <si>
    <t>ICHOR HOLDINGS SHS</t>
  </si>
  <si>
    <t>WFRD</t>
  </si>
  <si>
    <t>G48833118</t>
  </si>
  <si>
    <t>WEATHERFORD INTL PLC</t>
  </si>
  <si>
    <t>TK</t>
  </si>
  <si>
    <t>G8726T105</t>
  </si>
  <si>
    <t>TEEKAY CORPORATION LTD SHS</t>
  </si>
  <si>
    <t>TNK</t>
  </si>
  <si>
    <t>G8726X106</t>
  </si>
  <si>
    <t>TEEKAY TANKERS LTD CL A</t>
  </si>
  <si>
    <t>BLX</t>
  </si>
  <si>
    <t>P16994132</t>
  </si>
  <si>
    <t>BANCO LATINOAMERICANO DE SHS E</t>
  </si>
  <si>
    <t>CMRE</t>
  </si>
  <si>
    <t>Y1771G102</t>
  </si>
  <si>
    <t>COSTAMARE INC</t>
  </si>
  <si>
    <t>19-5870</t>
  </si>
  <si>
    <t>FGXXX</t>
  </si>
  <si>
    <t>31846V336</t>
  </si>
  <si>
    <t>FIRST AMERICAN GOVERNMENT</t>
  </si>
  <si>
    <t>19-7745</t>
  </si>
  <si>
    <t>AMKBY</t>
  </si>
  <si>
    <t>00202F102</t>
  </si>
  <si>
    <t>A P  MOLLER MAERSK A D R</t>
  </si>
  <si>
    <t>T</t>
  </si>
  <si>
    <t>00206R102</t>
  </si>
  <si>
    <t>AT T INC</t>
  </si>
  <si>
    <t>ASX</t>
  </si>
  <si>
    <t>00215W100</t>
  </si>
  <si>
    <t>ASE TECHNOLOGY HOLDING CO LTD A D R</t>
  </si>
  <si>
    <t>ABBV</t>
  </si>
  <si>
    <t>00287Y109</t>
  </si>
  <si>
    <t>ABBVIE INC</t>
  </si>
  <si>
    <t>ALIZY</t>
  </si>
  <si>
    <t>018820100</t>
  </si>
  <si>
    <t>ALLIANZ SE UNSP A D R</t>
  </si>
  <si>
    <t>AMGN</t>
  </si>
  <si>
    <t>031162100</t>
  </si>
  <si>
    <t>AMGEN INC</t>
  </si>
  <si>
    <t>NLY</t>
  </si>
  <si>
    <t>035710839</t>
  </si>
  <si>
    <t>ANNALY CAPITAL MANAGEMENT INC</t>
  </si>
  <si>
    <t>ASAZY</t>
  </si>
  <si>
    <t>045387107</t>
  </si>
  <si>
    <t>ASSA ABLOY AB A D R</t>
  </si>
  <si>
    <t>ATLKY</t>
  </si>
  <si>
    <t>049255706</t>
  </si>
  <si>
    <t>ATLAS COPCO AB SPONS A D R</t>
  </si>
  <si>
    <t>AXAHY</t>
  </si>
  <si>
    <t>054536107</t>
  </si>
  <si>
    <t>AXA SPONS A D R</t>
  </si>
  <si>
    <t>BNPQY</t>
  </si>
  <si>
    <t>05565A202</t>
  </si>
  <si>
    <t>BNP PARIBAS A D R</t>
  </si>
  <si>
    <t>BBVA</t>
  </si>
  <si>
    <t>05946K101</t>
  </si>
  <si>
    <t>BANCO BILBAO VIZCAYA ARGEN A D R</t>
  </si>
  <si>
    <t>SAN</t>
  </si>
  <si>
    <t>05964H105</t>
  </si>
  <si>
    <t>BANCO SANTANDER SA A D R</t>
  </si>
  <si>
    <t>BAC</t>
  </si>
  <si>
    <t>060505104</t>
  </si>
  <si>
    <t>BANK OF AMERICA CORP</t>
  </si>
  <si>
    <t>BMO</t>
  </si>
  <si>
    <t>063671101</t>
  </si>
  <si>
    <t>BANK MONTREAL QUE</t>
  </si>
  <si>
    <t>BACHY</t>
  </si>
  <si>
    <t>06426M104</t>
  </si>
  <si>
    <t>BANK OF CHINA A D R</t>
  </si>
  <si>
    <t>BHP</t>
  </si>
  <si>
    <t>088606108</t>
  </si>
  <si>
    <t>B H P BILLITON LIMITED A D R</t>
  </si>
  <si>
    <t>BXBLY</t>
  </si>
  <si>
    <t>105105209</t>
  </si>
  <si>
    <t>BRAMBLES LTD SPONSORED A D R</t>
  </si>
  <si>
    <t>CMS</t>
  </si>
  <si>
    <t>125896100</t>
  </si>
  <si>
    <t>CMS ENERGY CORP</t>
  </si>
  <si>
    <t>CM</t>
  </si>
  <si>
    <t>136069101</t>
  </si>
  <si>
    <t>CANADIAN IMPERIAL BK OF COMMERCE</t>
  </si>
  <si>
    <t>CNQ</t>
  </si>
  <si>
    <t>136385101</t>
  </si>
  <si>
    <t>CANADIAN NATURAL RESOURCES LTD</t>
  </si>
  <si>
    <t>CICHY</t>
  </si>
  <si>
    <t>168919108</t>
  </si>
  <si>
    <t>CHINA CONSTRUCT UNSPON A D R</t>
  </si>
  <si>
    <t>C</t>
  </si>
  <si>
    <t>172967424</t>
  </si>
  <si>
    <t>CITIGROUP INC</t>
  </si>
  <si>
    <t>CLPHY</t>
  </si>
  <si>
    <t>18946Q101</t>
  </si>
  <si>
    <t>CLP HOLDINGS SPON A D R</t>
  </si>
  <si>
    <t>CL</t>
  </si>
  <si>
    <t>194162103</t>
  </si>
  <si>
    <t>COLGATE PALMOLIVE CO COM</t>
  </si>
  <si>
    <t>CMCSA</t>
  </si>
  <si>
    <t>20030N101</t>
  </si>
  <si>
    <t>COMCAST CORP CLASS A</t>
  </si>
  <si>
    <t>CODYY</t>
  </si>
  <si>
    <t>204280309</t>
  </si>
  <si>
    <t>COMPAGNIE DE SAINT UNSP A D R</t>
  </si>
  <si>
    <t>CAG</t>
  </si>
  <si>
    <t>205887102</t>
  </si>
  <si>
    <t>CONAGRA BRANDS INC</t>
  </si>
  <si>
    <t>COP</t>
  </si>
  <si>
    <t>20825C104</t>
  </si>
  <si>
    <t>CONOCOPHILLIPS</t>
  </si>
  <si>
    <t>CTTAY</t>
  </si>
  <si>
    <t>210771200</t>
  </si>
  <si>
    <t>CONTINENTAL AG SPON A D R</t>
  </si>
  <si>
    <t>GLW</t>
  </si>
  <si>
    <t>219350105</t>
  </si>
  <si>
    <t>CORNING INC</t>
  </si>
  <si>
    <t>DBSDY</t>
  </si>
  <si>
    <t>23304Y100</t>
  </si>
  <si>
    <t>DBS GROUP HLDGS LTD SPON A D R</t>
  </si>
  <si>
    <t>MBGYY</t>
  </si>
  <si>
    <t>233825207</t>
  </si>
  <si>
    <t>MERCEDES BENZ GROUP AG A D R</t>
  </si>
  <si>
    <t>DVN</t>
  </si>
  <si>
    <t>25179M103</t>
  </si>
  <si>
    <t>DEVON ENERGY CORP</t>
  </si>
  <si>
    <t>DOW</t>
  </si>
  <si>
    <t>260557103</t>
  </si>
  <si>
    <t>DOW INC</t>
  </si>
  <si>
    <t>EDPFY</t>
  </si>
  <si>
    <t>268353109</t>
  </si>
  <si>
    <t>EDP SA SPONSORED A D R</t>
  </si>
  <si>
    <t>EOG</t>
  </si>
  <si>
    <t>26875P101</t>
  </si>
  <si>
    <t>E O G RES INC</t>
  </si>
  <si>
    <t>EIX</t>
  </si>
  <si>
    <t>281020107</t>
  </si>
  <si>
    <t>EDISON INTL COM</t>
  </si>
  <si>
    <t>EQH</t>
  </si>
  <si>
    <t>29452E101</t>
  </si>
  <si>
    <t>EQUITABLE HLDGS INC</t>
  </si>
  <si>
    <t>EVRG</t>
  </si>
  <si>
    <t>30034W106</t>
  </si>
  <si>
    <t>EVERGY INC</t>
  </si>
  <si>
    <t>FSUGY</t>
  </si>
  <si>
    <t>34959A206</t>
  </si>
  <si>
    <t>FORTESCUE METALS SPON A D R</t>
  </si>
  <si>
    <t>FMS</t>
  </si>
  <si>
    <t>358029106</t>
  </si>
  <si>
    <t>FRESENIUS MEDICAL CARE AG A D R</t>
  </si>
  <si>
    <t>YMM</t>
  </si>
  <si>
    <t>35969L108</t>
  </si>
  <si>
    <t>FULL TRUCK ALLIANCE CO LTD A D R</t>
  </si>
  <si>
    <t>GELYY</t>
  </si>
  <si>
    <t>36847Q103</t>
  </si>
  <si>
    <t>GEELY AUTOMOBILE UNSPON A D R</t>
  </si>
  <si>
    <t>GILD</t>
  </si>
  <si>
    <t>375558103</t>
  </si>
  <si>
    <t>GILEAD SCIENCES INC</t>
  </si>
  <si>
    <t>HD</t>
  </si>
  <si>
    <t>437076102</t>
  </si>
  <si>
    <t>HOME DEPOT INC</t>
  </si>
  <si>
    <t>HMC</t>
  </si>
  <si>
    <t>438128308</t>
  </si>
  <si>
    <t>HONDA MOTOR CO LTD A D R</t>
  </si>
  <si>
    <t>HBAN</t>
  </si>
  <si>
    <t>446150104</t>
  </si>
  <si>
    <t>HUNTINGTON BANCSHARES INC</t>
  </si>
  <si>
    <t>IDEXY</t>
  </si>
  <si>
    <t>455793109</t>
  </si>
  <si>
    <t>INDITEX UNSPON A D R</t>
  </si>
  <si>
    <t>INFY</t>
  </si>
  <si>
    <t>456788108</t>
  </si>
  <si>
    <t>INFOSYS LTD SP A D R</t>
  </si>
  <si>
    <t>IPXHY</t>
  </si>
  <si>
    <t>45790H101</t>
  </si>
  <si>
    <t>INPEX CORPORATION A D R</t>
  </si>
  <si>
    <t>ISNPY</t>
  </si>
  <si>
    <t>46115H107</t>
  </si>
  <si>
    <t>INTESA SANPAOLO SPON A D R</t>
  </si>
  <si>
    <t>DVYE</t>
  </si>
  <si>
    <t>464286319</t>
  </si>
  <si>
    <t>ISHARES EMERGING MARKETS DIVIDEND</t>
  </si>
  <si>
    <t>ISUZY</t>
  </si>
  <si>
    <t>465254209</t>
  </si>
  <si>
    <t>ISUZU MOTORS LTD UNSPON A D R</t>
  </si>
  <si>
    <t>JPM</t>
  </si>
  <si>
    <t>46625H100</t>
  </si>
  <si>
    <t>JPMORGAN CHASE CO</t>
  </si>
  <si>
    <t>JD</t>
  </si>
  <si>
    <t>47215P106</t>
  </si>
  <si>
    <t>JD COM INC A D R</t>
  </si>
  <si>
    <t>KEY</t>
  </si>
  <si>
    <t>493267108</t>
  </si>
  <si>
    <t>KEYCORP</t>
  </si>
  <si>
    <t>KMB</t>
  </si>
  <si>
    <t>494368103</t>
  </si>
  <si>
    <t>KIMBERLY CLARK CORP</t>
  </si>
  <si>
    <t>KMTUY</t>
  </si>
  <si>
    <t>500458401</t>
  </si>
  <si>
    <t>KOMATSU LTD SPONS A D R</t>
  </si>
  <si>
    <t>LMT</t>
  </si>
  <si>
    <t>539830109</t>
  </si>
  <si>
    <t>LOCKHEED MARTIN CORP COM</t>
  </si>
  <si>
    <t>MSADY</t>
  </si>
  <si>
    <t>553491101</t>
  </si>
  <si>
    <t>MS D INSURANCE UNSPONS A D R</t>
  </si>
  <si>
    <t>MFC</t>
  </si>
  <si>
    <t>56501R106</t>
  </si>
  <si>
    <t>MANULIFE FINANCIAL CORP</t>
  </si>
  <si>
    <t>MRK</t>
  </si>
  <si>
    <t>58933Y105</t>
  </si>
  <si>
    <t>MERCK CO INC</t>
  </si>
  <si>
    <t>NGG</t>
  </si>
  <si>
    <t>636274409</t>
  </si>
  <si>
    <t>NATIONAL GRID PLC A D R</t>
  </si>
  <si>
    <t>NWG</t>
  </si>
  <si>
    <t>639057207</t>
  </si>
  <si>
    <t>NATWEST GROUP PLC SPONS A D R</t>
  </si>
  <si>
    <t>NTTYY</t>
  </si>
  <si>
    <t>654624105</t>
  </si>
  <si>
    <t>NIPPON TELEGRAPH TELE A D R</t>
  </si>
  <si>
    <t>NI</t>
  </si>
  <si>
    <t>65473P105</t>
  </si>
  <si>
    <t>NISOURCE INC</t>
  </si>
  <si>
    <t>NOK</t>
  </si>
  <si>
    <t>654902204</t>
  </si>
  <si>
    <t>NOKIA CORP SPON A D R</t>
  </si>
  <si>
    <t>NMR</t>
  </si>
  <si>
    <t>65535H208</t>
  </si>
  <si>
    <t>NOMURA HOLDINGS INC A D R</t>
  </si>
  <si>
    <t>NHYDY</t>
  </si>
  <si>
    <t>656531605</t>
  </si>
  <si>
    <t>NORSK HYDRO A S SPON A D R</t>
  </si>
  <si>
    <t>NOC</t>
  </si>
  <si>
    <t>666807102</t>
  </si>
  <si>
    <t>NORTHROP GRUMMAN CORPORATION</t>
  </si>
  <si>
    <t>NVS</t>
  </si>
  <si>
    <t>66987V109</t>
  </si>
  <si>
    <t>NOVARTIS AG A D R</t>
  </si>
  <si>
    <t>OKE</t>
  </si>
  <si>
    <t>682680103</t>
  </si>
  <si>
    <t>ONEOK INC</t>
  </si>
  <si>
    <t>IX</t>
  </si>
  <si>
    <t>686330101</t>
  </si>
  <si>
    <t>ORIX CORP SPONS A D R</t>
  </si>
  <si>
    <t>OC</t>
  </si>
  <si>
    <t>690742101</t>
  </si>
  <si>
    <t>OWENS CORNING INC</t>
  </si>
  <si>
    <t>PNC</t>
  </si>
  <si>
    <t>693475105</t>
  </si>
  <si>
    <t>PNC FINL SVCS GROUP INC COM</t>
  </si>
  <si>
    <t>PKG</t>
  </si>
  <si>
    <t>695156109</t>
  </si>
  <si>
    <t>PACKAGING CORP AMERICA</t>
  </si>
  <si>
    <t>PEP</t>
  </si>
  <si>
    <t>713448108</t>
  </si>
  <si>
    <t>PEPSICO INC</t>
  </si>
  <si>
    <t>PRU</t>
  </si>
  <si>
    <t>744320102</t>
  </si>
  <si>
    <t>PRUDENTIAL FINANCIAL INC</t>
  </si>
  <si>
    <t>QCOM</t>
  </si>
  <si>
    <t>747525103</t>
  </si>
  <si>
    <t>QUALCOMM INC COM</t>
  </si>
  <si>
    <t>RTX</t>
  </si>
  <si>
    <t>75513E101</t>
  </si>
  <si>
    <t>RTX CORPORATION</t>
  </si>
  <si>
    <t>RELX</t>
  </si>
  <si>
    <t>759530108</t>
  </si>
  <si>
    <t>RELX PLC SPON A D R</t>
  </si>
  <si>
    <t>RIO</t>
  </si>
  <si>
    <t>767204100</t>
  </si>
  <si>
    <t>RIO TINTO PLC A D R</t>
  </si>
  <si>
    <t>RHHBY</t>
  </si>
  <si>
    <t>771195104</t>
  </si>
  <si>
    <t>ROCHE HOLDINGS LTD SPON A D R</t>
  </si>
  <si>
    <t>RY</t>
  </si>
  <si>
    <t>780087102</t>
  </si>
  <si>
    <t>ROYAL BK CDA MONTREAL QUE</t>
  </si>
  <si>
    <t>SHEL</t>
  </si>
  <si>
    <t>780259305</t>
  </si>
  <si>
    <t>SHELL PLC SPON A D R</t>
  </si>
  <si>
    <t>KKPNY</t>
  </si>
  <si>
    <t>780641205</t>
  </si>
  <si>
    <t>KONINKLIJKE ROYAL KPN NV SP A D R</t>
  </si>
  <si>
    <t>EDIV</t>
  </si>
  <si>
    <t>78463X533</t>
  </si>
  <si>
    <t>SPDR S P EMERGING MARKETS DIVIDEND</t>
  </si>
  <si>
    <t>SGIOY</t>
  </si>
  <si>
    <t>824667109</t>
  </si>
  <si>
    <t>SHIONOGI CO LTD UNSPON A D R</t>
  </si>
  <si>
    <t>SIEGY</t>
  </si>
  <si>
    <t>826197501</t>
  </si>
  <si>
    <t>SIEMENS AG  A D R</t>
  </si>
  <si>
    <t>SCGLY</t>
  </si>
  <si>
    <t>83364L109</t>
  </si>
  <si>
    <t>SOCIETE GENERALE SPON A D R</t>
  </si>
  <si>
    <t>SMFG</t>
  </si>
  <si>
    <t>86562M209</t>
  </si>
  <si>
    <t>SUMITOMO MITSUI FINL GROUP A D R</t>
  </si>
  <si>
    <t>TAK</t>
  </si>
  <si>
    <t>874060205</t>
  </si>
  <si>
    <t>TAKEDA PHARMACEUTICAL SP A D R</t>
  </si>
  <si>
    <t>TPR</t>
  </si>
  <si>
    <t>876030107</t>
  </si>
  <si>
    <t>TAPESTRY INC</t>
  </si>
  <si>
    <t>TRGP</t>
  </si>
  <si>
    <t>87612G101</t>
  </si>
  <si>
    <t>TARGA RESOURCES CORP</t>
  </si>
  <si>
    <t>TSN</t>
  </si>
  <si>
    <t>902494103</t>
  </si>
  <si>
    <t>TYSON FOODS INC CL A</t>
  </si>
  <si>
    <t>UNCRY</t>
  </si>
  <si>
    <t>904678406</t>
  </si>
  <si>
    <t>UNICREDIT SPA A D R</t>
  </si>
  <si>
    <t>UL</t>
  </si>
  <si>
    <t>904767704</t>
  </si>
  <si>
    <t>UNILEVER PLC SPONSORED A D R</t>
  </si>
  <si>
    <t>UNP</t>
  </si>
  <si>
    <t>907818108</t>
  </si>
  <si>
    <t>UNION PACIFIC CORP COM</t>
  </si>
  <si>
    <t>UOVEY</t>
  </si>
  <si>
    <t>911271302</t>
  </si>
  <si>
    <t>UNITED OVERSEAS BK LTD SPON A D R</t>
  </si>
  <si>
    <t>UPS</t>
  </si>
  <si>
    <t>911312106</t>
  </si>
  <si>
    <t>UNITED PARCEL SERVICE INC CL B</t>
  </si>
  <si>
    <t>UNH</t>
  </si>
  <si>
    <t>91324P102</t>
  </si>
  <si>
    <t>UNITEDHEALTH GROUP INC COM</t>
  </si>
  <si>
    <t>UPMMY</t>
  </si>
  <si>
    <t>915436208</t>
  </si>
  <si>
    <t>UPM KYMMENE OYJ UNSPON A D R</t>
  </si>
  <si>
    <t>VCISY</t>
  </si>
  <si>
    <t>927320101</t>
  </si>
  <si>
    <t>VINCI SA A D R</t>
  </si>
  <si>
    <t>VOD</t>
  </si>
  <si>
    <t>92857W308</t>
  </si>
  <si>
    <t>VODAFONE GROUP PLC A D R</t>
  </si>
  <si>
    <t>VWAPY</t>
  </si>
  <si>
    <t>928662501</t>
  </si>
  <si>
    <t>VOLKSWAGEN AG UNSP A D R</t>
  </si>
  <si>
    <t>WMB</t>
  </si>
  <si>
    <t>969457100</t>
  </si>
  <si>
    <t>WILLIAMS COS INC COM</t>
  </si>
  <si>
    <t>DEM</t>
  </si>
  <si>
    <t>97717W315</t>
  </si>
  <si>
    <t>WISDOMTREE EMERGING MARKETS HIGH</t>
  </si>
  <si>
    <t>WDS</t>
  </si>
  <si>
    <t>980228308</t>
  </si>
  <si>
    <t>WOODSIDE ENERGY GROUP LTD A D R</t>
  </si>
  <si>
    <t>ZURVY</t>
  </si>
  <si>
    <t>989825104</t>
  </si>
  <si>
    <t>ZURICH INSURANCE GROUP A D R</t>
  </si>
  <si>
    <t>BG</t>
  </si>
  <si>
    <t>H11356104</t>
  </si>
  <si>
    <t>BUNGE GLOBAL SA</t>
  </si>
  <si>
    <t>UBS</t>
  </si>
  <si>
    <t>H42097107</t>
  </si>
  <si>
    <t>UBS GROUP AG</t>
  </si>
  <si>
    <t>19-7745IB</t>
  </si>
  <si>
    <t>19-7746</t>
  </si>
  <si>
    <t>IJLXX</t>
  </si>
  <si>
    <t>4812C0340</t>
  </si>
  <si>
    <t>JPMORGAN LIQUID ASSETS MMKT FD</t>
  </si>
  <si>
    <t>PRTXX</t>
  </si>
  <si>
    <t>77957T305</t>
  </si>
  <si>
    <t>T ROWE PR US TREAS</t>
  </si>
  <si>
    <t>VUSXX</t>
  </si>
  <si>
    <t>921932109</t>
  </si>
  <si>
    <t>VANGUARD TREASURY MONEY MARKET FUND</t>
  </si>
  <si>
    <t>VMFXX</t>
  </si>
  <si>
    <t>922906300</t>
  </si>
  <si>
    <t>VANGUARD RESERVES FED MM FD</t>
  </si>
  <si>
    <t>19-7746IB</t>
  </si>
  <si>
    <t>19-8121</t>
  </si>
  <si>
    <t>BOGIX</t>
  </si>
  <si>
    <t>749255188</t>
  </si>
  <si>
    <t>SGI SMALL CAP GROWTH FUND</t>
  </si>
  <si>
    <t>QXQ</t>
  </si>
  <si>
    <t>74933W239</t>
  </si>
  <si>
    <t>SGI ENHANCED NASDAQ 100 ETF</t>
  </si>
  <si>
    <t>USDX</t>
  </si>
  <si>
    <t>74933W254</t>
  </si>
  <si>
    <t>SGI ENHANCED CORE ETF</t>
  </si>
  <si>
    <t>DYTA</t>
  </si>
  <si>
    <t>74933W577</t>
  </si>
  <si>
    <t>SGI DYNAMIC TACTICAL</t>
  </si>
  <si>
    <t>SGLC</t>
  </si>
  <si>
    <t>74933W593</t>
  </si>
  <si>
    <t>SGI US LARGE CAP CORE</t>
  </si>
  <si>
    <t>SPEM</t>
  </si>
  <si>
    <t>78463X509</t>
  </si>
  <si>
    <t>SPDR PORTFOLIO EMERGING MARKETS ETF</t>
  </si>
  <si>
    <t>SPDW</t>
  </si>
  <si>
    <t>78463X889</t>
  </si>
  <si>
    <t>SPDR PORTFOLIO DEVELOPED WLD EX US</t>
  </si>
  <si>
    <t>19-8122</t>
  </si>
  <si>
    <t>AGG</t>
  </si>
  <si>
    <t>464287226</t>
  </si>
  <si>
    <t>ISHARES CORE U.S. AGGREGATE BOND</t>
  </si>
  <si>
    <t>IEF</t>
  </si>
  <si>
    <t>464287440</t>
  </si>
  <si>
    <t>ISHARES 7 10 YEAR TREASURY BOND ETF</t>
  </si>
  <si>
    <t>HYG</t>
  </si>
  <si>
    <t>464288513</t>
  </si>
  <si>
    <t>ISHARES IBOXX HIGH YIELD CORPORATE</t>
  </si>
  <si>
    <t>SGLIX</t>
  </si>
  <si>
    <t>74925K417</t>
  </si>
  <si>
    <t>SGI GLOBAL EQUITY FD I</t>
  </si>
  <si>
    <t>SILVX</t>
  </si>
  <si>
    <t>74925K524</t>
  </si>
  <si>
    <t>SGI U S LARGE CAP EQUITY FD I</t>
  </si>
  <si>
    <t>GINX</t>
  </si>
  <si>
    <t>74933W262</t>
  </si>
  <si>
    <t>SGI ENHANCED GLOBAL INCOME ETF</t>
  </si>
  <si>
    <t>EBND</t>
  </si>
  <si>
    <t>78464A391</t>
  </si>
  <si>
    <t>SPDR BLMBG BARCLAYS EM MKTS LCL BD</t>
  </si>
  <si>
    <t>SRLN</t>
  </si>
  <si>
    <t>78467V608</t>
  </si>
  <si>
    <t>SPDR BLACKSTONE SENIOR LOAN ETF</t>
  </si>
  <si>
    <t>19-8124</t>
  </si>
  <si>
    <t>USMV</t>
  </si>
  <si>
    <t>46429B697</t>
  </si>
  <si>
    <t>ISHARES MSCI USA MIN VOL FACTOR ETF</t>
  </si>
  <si>
    <t>GLD</t>
  </si>
  <si>
    <t>78463V107</t>
  </si>
  <si>
    <t>SPDR GOLD SHARES</t>
  </si>
  <si>
    <t>SCHD</t>
  </si>
  <si>
    <t>808524797</t>
  </si>
  <si>
    <t>SCHWAB U S  DIVIDEND EQUITY</t>
  </si>
  <si>
    <t>USFR</t>
  </si>
  <si>
    <t>97717Y527</t>
  </si>
  <si>
    <t>WISDOMTREE FLOATING RATE TREASURY</t>
  </si>
  <si>
    <t>19-8125</t>
  </si>
  <si>
    <t>ADBE</t>
  </si>
  <si>
    <t>00724F101</t>
  </si>
  <si>
    <t>ADOBE INC</t>
  </si>
  <si>
    <t>ALL</t>
  </si>
  <si>
    <t>020002101</t>
  </si>
  <si>
    <t>ALLSTATE CORP</t>
  </si>
  <si>
    <t>GOOGL</t>
  </si>
  <si>
    <t>02079K305</t>
  </si>
  <si>
    <t>ALPHABET INC CL A</t>
  </si>
  <si>
    <t>AMZN</t>
  </si>
  <si>
    <t>023135106</t>
  </si>
  <si>
    <t>AMAZON COM INC</t>
  </si>
  <si>
    <t>AXP</t>
  </si>
  <si>
    <t>025816109</t>
  </si>
  <si>
    <t>AMERICAN EXPRESS CO</t>
  </si>
  <si>
    <t>APH</t>
  </si>
  <si>
    <t>032095101</t>
  </si>
  <si>
    <t>AMPHENOL CORP CL A</t>
  </si>
  <si>
    <t>ELV</t>
  </si>
  <si>
    <t>036752103</t>
  </si>
  <si>
    <t>ELEVANCE HEALTH INC</t>
  </si>
  <si>
    <t>AAPL</t>
  </si>
  <si>
    <t>037833100</t>
  </si>
  <si>
    <t>APPLE INC COM</t>
  </si>
  <si>
    <t>AMAT</t>
  </si>
  <si>
    <t>038222105</t>
  </si>
  <si>
    <t>APPLIED MATERIALS INC</t>
  </si>
  <si>
    <t>ANET</t>
  </si>
  <si>
    <t>040413205</t>
  </si>
  <si>
    <t>ARISTA NETWORKS INC</t>
  </si>
  <si>
    <t>ADSK</t>
  </si>
  <si>
    <t>052769106</t>
  </si>
  <si>
    <t>AUTODESK INC</t>
  </si>
  <si>
    <t>ADP</t>
  </si>
  <si>
    <t>053015103</t>
  </si>
  <si>
    <t>AUTOMATIC DATA PROCESSING</t>
  </si>
  <si>
    <t>BRKB</t>
  </si>
  <si>
    <t>084670702</t>
  </si>
  <si>
    <t>BERKSHIRE HATHAWAY INC CL B</t>
  </si>
  <si>
    <t>BX</t>
  </si>
  <si>
    <t>09260D107</t>
  </si>
  <si>
    <t>BLACKSTONE GROUP INC CLASS A</t>
  </si>
  <si>
    <t>BKNG</t>
  </si>
  <si>
    <t>09857L108</t>
  </si>
  <si>
    <t>BOOKING HOLDINGS INC</t>
  </si>
  <si>
    <t>BSX</t>
  </si>
  <si>
    <t>101137107</t>
  </si>
  <si>
    <t>BOSTON SCIENTIFIC CORP</t>
  </si>
  <si>
    <t>AVGO</t>
  </si>
  <si>
    <t>11135F101</t>
  </si>
  <si>
    <t>BROADCOM INC</t>
  </si>
  <si>
    <t>CBRE</t>
  </si>
  <si>
    <t>12504L109</t>
  </si>
  <si>
    <t>CBRE GROUP INC</t>
  </si>
  <si>
    <t>CCL</t>
  </si>
  <si>
    <t>143658300</t>
  </si>
  <si>
    <t>CARNIVAL CORP</t>
  </si>
  <si>
    <t>CAT</t>
  </si>
  <si>
    <t>149123101</t>
  </si>
  <si>
    <t>CATERPILLAR INC</t>
  </si>
  <si>
    <t>CNC</t>
  </si>
  <si>
    <t>15135B101</t>
  </si>
  <si>
    <t>CENTENE CORP</t>
  </si>
  <si>
    <t>CTAS</t>
  </si>
  <si>
    <t>172908105</t>
  </si>
  <si>
    <t>CINTAS CORP</t>
  </si>
  <si>
    <t>CPAY</t>
  </si>
  <si>
    <t>219948106</t>
  </si>
  <si>
    <t>CORPAY INC COM</t>
  </si>
  <si>
    <t>CTVA</t>
  </si>
  <si>
    <t>22052L104</t>
  </si>
  <si>
    <t>CORTEVA INC COM</t>
  </si>
  <si>
    <t>COST</t>
  </si>
  <si>
    <t>22160K105</t>
  </si>
  <si>
    <t>COSTCO WHSL CORP</t>
  </si>
  <si>
    <t>DXCM</t>
  </si>
  <si>
    <t>252131107</t>
  </si>
  <si>
    <t>DEXCOM INC</t>
  </si>
  <si>
    <t>FANG</t>
  </si>
  <si>
    <t>25278X109</t>
  </si>
  <si>
    <t>DIAMONDBACK ENERGY INC</t>
  </si>
  <si>
    <t>DIS</t>
  </si>
  <si>
    <t>254687106</t>
  </si>
  <si>
    <t>WALT DISNEY CO THE</t>
  </si>
  <si>
    <t>ETR</t>
  </si>
  <si>
    <t>29364G103</t>
  </si>
  <si>
    <t>ENTERGY CORPORATION</t>
  </si>
  <si>
    <t>EQIX</t>
  </si>
  <si>
    <t>29444U700</t>
  </si>
  <si>
    <t>EQUINIX INC</t>
  </si>
  <si>
    <t>META</t>
  </si>
  <si>
    <t>30303M102</t>
  </si>
  <si>
    <t>META PLATFORMS INC</t>
  </si>
  <si>
    <t>FI</t>
  </si>
  <si>
    <t>337738108</t>
  </si>
  <si>
    <t>FISERV INC</t>
  </si>
  <si>
    <t>FTNT</t>
  </si>
  <si>
    <t>34959E109</t>
  </si>
  <si>
    <t>FORTINET INC</t>
  </si>
  <si>
    <t>FOX</t>
  </si>
  <si>
    <t>35137L204</t>
  </si>
  <si>
    <t>FOX CORP CLASS B</t>
  </si>
  <si>
    <t>FCX</t>
  </si>
  <si>
    <t>35671D857</t>
  </si>
  <si>
    <t>FREEPORT MCMORAN INC</t>
  </si>
  <si>
    <t>GM</t>
  </si>
  <si>
    <t>37045V100</t>
  </si>
  <si>
    <t>GENERAL MTRS CO COM</t>
  </si>
  <si>
    <t>GDDY</t>
  </si>
  <si>
    <t>380237107</t>
  </si>
  <si>
    <t>GODADDY INC CL A</t>
  </si>
  <si>
    <t>HCA</t>
  </si>
  <si>
    <t>40412C101</t>
  </si>
  <si>
    <t>HCA HEALTHCARE INC COM</t>
  </si>
  <si>
    <t>HLT</t>
  </si>
  <si>
    <t>43300A203</t>
  </si>
  <si>
    <t>HILTON WORLDWIDE HLDGS WI</t>
  </si>
  <si>
    <t>INCY</t>
  </si>
  <si>
    <t>45337C102</t>
  </si>
  <si>
    <t>INCYTE CORP COM</t>
  </si>
  <si>
    <t>ISRG</t>
  </si>
  <si>
    <t>46120E602</t>
  </si>
  <si>
    <t>INTUITIVE SURGICAL INC</t>
  </si>
  <si>
    <t>IVV</t>
  </si>
  <si>
    <t>464287200</t>
  </si>
  <si>
    <t>ISHARES CORE S P 500 ETF</t>
  </si>
  <si>
    <t>IVE</t>
  </si>
  <si>
    <t>464287408</t>
  </si>
  <si>
    <t>ISHARES S P 500 VALUE</t>
  </si>
  <si>
    <t>KLAC</t>
  </si>
  <si>
    <t>482480100</t>
  </si>
  <si>
    <t>KLA CORP COM NEW</t>
  </si>
  <si>
    <t>KIM</t>
  </si>
  <si>
    <t>49446R109</t>
  </si>
  <si>
    <t>KIMCO REALTY CORP</t>
  </si>
  <si>
    <t>KMI</t>
  </si>
  <si>
    <t>49456B101</t>
  </si>
  <si>
    <t>KINDER MORGAN INC</t>
  </si>
  <si>
    <t>LRCX</t>
  </si>
  <si>
    <t>512807306</t>
  </si>
  <si>
    <t>LAM RESEARCH CORP</t>
  </si>
  <si>
    <t>LDOS</t>
  </si>
  <si>
    <t>525327102</t>
  </si>
  <si>
    <t>LEIDOS HOLDINGS INC COM</t>
  </si>
  <si>
    <t>LLY</t>
  </si>
  <si>
    <t>532457108</t>
  </si>
  <si>
    <t>ELI LILLY CO</t>
  </si>
  <si>
    <t>LULU</t>
  </si>
  <si>
    <t>550021109</t>
  </si>
  <si>
    <t>LULULEMON ATHLETICA INC COM</t>
  </si>
  <si>
    <t>MTB</t>
  </si>
  <si>
    <t>55261F104</t>
  </si>
  <si>
    <t>M T BANK CORP</t>
  </si>
  <si>
    <t>MSCI</t>
  </si>
  <si>
    <t>55354G100</t>
  </si>
  <si>
    <t>MSCI INC</t>
  </si>
  <si>
    <t>MMC</t>
  </si>
  <si>
    <t>571748102</t>
  </si>
  <si>
    <t>MARSH MCLENNAN COS INC</t>
  </si>
  <si>
    <t>MA</t>
  </si>
  <si>
    <t>57636Q104</t>
  </si>
  <si>
    <t>MASTERCARD INC</t>
  </si>
  <si>
    <t>MSFT</t>
  </si>
  <si>
    <t>594918104</t>
  </si>
  <si>
    <t>MICROSOFT CORP COM</t>
  </si>
  <si>
    <t>MPWR</t>
  </si>
  <si>
    <t>609839105</t>
  </si>
  <si>
    <t>MONOLITHIC POWER SYSTEMS INC</t>
  </si>
  <si>
    <t>MS</t>
  </si>
  <si>
    <t>617446448</t>
  </si>
  <si>
    <t>MORGAN STANLEY COM NEW</t>
  </si>
  <si>
    <t>MSI</t>
  </si>
  <si>
    <t>620076307</t>
  </si>
  <si>
    <t>MOTOROLA SOLUTIONS INC</t>
  </si>
  <si>
    <t>NFLX</t>
  </si>
  <si>
    <t>64110L106</t>
  </si>
  <si>
    <t>NETFLIX COM INC</t>
  </si>
  <si>
    <t>NEM</t>
  </si>
  <si>
    <t>651639106</t>
  </si>
  <si>
    <t>NEWMONT CORP COM</t>
  </si>
  <si>
    <t>NWSA</t>
  </si>
  <si>
    <t>65249B109</t>
  </si>
  <si>
    <t>NEWS CORP NEW CL A W</t>
  </si>
  <si>
    <t>NEE</t>
  </si>
  <si>
    <t>65339F101</t>
  </si>
  <si>
    <t>NEXTERA ENERGY INC</t>
  </si>
  <si>
    <t>NVDA</t>
  </si>
  <si>
    <t>67066G104</t>
  </si>
  <si>
    <t>NVIDIA CORP</t>
  </si>
  <si>
    <t>PLTR</t>
  </si>
  <si>
    <t>69608A108</t>
  </si>
  <si>
    <t>PALANTIR TECHNOLOGIES INC CL A</t>
  </si>
  <si>
    <t>PGR</t>
  </si>
  <si>
    <t>743315103</t>
  </si>
  <si>
    <t>PROGRESSIVE CORP</t>
  </si>
  <si>
    <t>PEG</t>
  </si>
  <si>
    <t>744573106</t>
  </si>
  <si>
    <t>PUBLIC SVC ENTERPRISE GROUP INC</t>
  </si>
  <si>
    <t>RL</t>
  </si>
  <si>
    <t>751212101</t>
  </si>
  <si>
    <t>RALPH LAUREN CORP CL A</t>
  </si>
  <si>
    <t>REGN</t>
  </si>
  <si>
    <t>75886F107</t>
  </si>
  <si>
    <t>REGENERON PHARMACEUTICALS COM</t>
  </si>
  <si>
    <t>RMD</t>
  </si>
  <si>
    <t>761152107</t>
  </si>
  <si>
    <t>RESMED INC</t>
  </si>
  <si>
    <t>SPGI</t>
  </si>
  <si>
    <t>78409V104</t>
  </si>
  <si>
    <t>S P GLOBAL INC COM</t>
  </si>
  <si>
    <t>CRM</t>
  </si>
  <si>
    <t>79466L302</t>
  </si>
  <si>
    <t>SALESFORCE INC</t>
  </si>
  <si>
    <t>SCHW</t>
  </si>
  <si>
    <t>808513105</t>
  </si>
  <si>
    <t>SCHWAB CHARLES CORP COM</t>
  </si>
  <si>
    <t>NOW</t>
  </si>
  <si>
    <t>81762P102</t>
  </si>
  <si>
    <t>SERVICENOW INC COM</t>
  </si>
  <si>
    <t>SPG</t>
  </si>
  <si>
    <t>828806109</t>
  </si>
  <si>
    <t>SIMON PROPERTY GROUP INC</t>
  </si>
  <si>
    <t>STT</t>
  </si>
  <si>
    <t>857477103</t>
  </si>
  <si>
    <t>STATE STR CORP</t>
  </si>
  <si>
    <t>SYF</t>
  </si>
  <si>
    <t>87165B103</t>
  </si>
  <si>
    <t>SYNCHRONY FINANCIAL</t>
  </si>
  <si>
    <t>SYY</t>
  </si>
  <si>
    <t>871829107</t>
  </si>
  <si>
    <t>SYSCO CORP</t>
  </si>
  <si>
    <t>TJX</t>
  </si>
  <si>
    <t>872540109</t>
  </si>
  <si>
    <t>TJX COMPANIES INC</t>
  </si>
  <si>
    <t>TRV</t>
  </si>
  <si>
    <t>89417E109</t>
  </si>
  <si>
    <t>TRAVELERS COS INC</t>
  </si>
  <si>
    <t>USB</t>
  </si>
  <si>
    <t>902973304</t>
  </si>
  <si>
    <t>US BANCORP</t>
  </si>
  <si>
    <t>UAL</t>
  </si>
  <si>
    <t>910047109</t>
  </si>
  <si>
    <t>UNITED AIRLS HLDGS INC COM</t>
  </si>
  <si>
    <t>UHS</t>
  </si>
  <si>
    <t>913903100</t>
  </si>
  <si>
    <t>UNIVERSAL HLTH SVCS INC CL B</t>
  </si>
  <si>
    <t>VOO</t>
  </si>
  <si>
    <t>922908363</t>
  </si>
  <si>
    <t>VANGUARD S P 500 ETF</t>
  </si>
  <si>
    <t>VRTX</t>
  </si>
  <si>
    <t>92532F100</t>
  </si>
  <si>
    <t>VERTEX PHARMACEUTICALS INC COM</t>
  </si>
  <si>
    <t>WAB</t>
  </si>
  <si>
    <t>929740108</t>
  </si>
  <si>
    <t>WABTEC COM</t>
  </si>
  <si>
    <t>WMT</t>
  </si>
  <si>
    <t>931142103</t>
  </si>
  <si>
    <t>WALMART INC COM</t>
  </si>
  <si>
    <t>WELL</t>
  </si>
  <si>
    <t>95040Q104</t>
  </si>
  <si>
    <t>WELLTOWER INC COM</t>
  </si>
  <si>
    <t>ZBRA</t>
  </si>
  <si>
    <t>989207105</t>
  </si>
  <si>
    <t>ZEBRA TECHNOLOGIES CORPORATION CL A</t>
  </si>
  <si>
    <t>ACGL</t>
  </si>
  <si>
    <t>G0450A105</t>
  </si>
  <si>
    <t>ARCH CAP GROUP LTD</t>
  </si>
  <si>
    <t>NCLH</t>
  </si>
  <si>
    <t>G66721104</t>
  </si>
  <si>
    <t>NORWEGIAN CRUISE LINE HLDG LTD SHS</t>
  </si>
  <si>
    <t>TT</t>
  </si>
  <si>
    <t>G8994E103</t>
  </si>
  <si>
    <t>TRANE TECHNOLOGIES PLC</t>
  </si>
  <si>
    <t>RCL</t>
  </si>
  <si>
    <t>V7780T103</t>
  </si>
  <si>
    <t>ROYAL CARIBBEAN GROUP COM</t>
  </si>
  <si>
    <t>19-8337</t>
  </si>
  <si>
    <t>ALNY</t>
  </si>
  <si>
    <t>02043Q107</t>
  </si>
  <si>
    <t>ALNYLAM PHARMACEUTICALS INC</t>
  </si>
  <si>
    <t>AEP</t>
  </si>
  <si>
    <t>025537101</t>
  </si>
  <si>
    <t>AMERICAN ELEC PWR CO INC COM</t>
  </si>
  <si>
    <t>ADI</t>
  </si>
  <si>
    <t>032654105</t>
  </si>
  <si>
    <t>ANALOG DEVICES INC</t>
  </si>
  <si>
    <t>BK</t>
  </si>
  <si>
    <t>064058100</t>
  </si>
  <si>
    <t>BANK OF NEW YORK MELLON CORP</t>
  </si>
  <si>
    <t>BDX</t>
  </si>
  <si>
    <t>075887109</t>
  </si>
  <si>
    <t>BECTON DICKINSON AND CO</t>
  </si>
  <si>
    <t>BMRN</t>
  </si>
  <si>
    <t>09061G101</t>
  </si>
  <si>
    <t>BIOMARIN PHARMACEUTICAL INC</t>
  </si>
  <si>
    <t>CHRW</t>
  </si>
  <si>
    <t>12541W209</t>
  </si>
  <si>
    <t>C H ROBINSON WORLDWIDE INC</t>
  </si>
  <si>
    <t>CDNS</t>
  </si>
  <si>
    <t>127387108</t>
  </si>
  <si>
    <t>CADENCE DESIGN SYS INC</t>
  </si>
  <si>
    <t>CPB</t>
  </si>
  <si>
    <t>134429109</t>
  </si>
  <si>
    <t>THE CAMPBELLS COMPANY COM</t>
  </si>
  <si>
    <t>CAH</t>
  </si>
  <si>
    <t>14149Y108</t>
  </si>
  <si>
    <t>CARDINAL HEALTH INC</t>
  </si>
  <si>
    <t>KO</t>
  </si>
  <si>
    <t>191216100</t>
  </si>
  <si>
    <t>COCA COLA COMPANY</t>
  </si>
  <si>
    <t>CTSH</t>
  </si>
  <si>
    <t>192446102</t>
  </si>
  <si>
    <t>COGNIZANT TECH SOLUTIONS CL A</t>
  </si>
  <si>
    <t>DTE</t>
  </si>
  <si>
    <t>233331107</t>
  </si>
  <si>
    <t>D T E ENERGY CO</t>
  </si>
  <si>
    <t>D</t>
  </si>
  <si>
    <t>25746U109</t>
  </si>
  <si>
    <t>DOMINION ENERGY INC</t>
  </si>
  <si>
    <t>DUK</t>
  </si>
  <si>
    <t>26441C204</t>
  </si>
  <si>
    <t>DUKE ENERGY HOLDING CORP</t>
  </si>
  <si>
    <t>DT</t>
  </si>
  <si>
    <t>268150109</t>
  </si>
  <si>
    <t>DYNATRACE INC</t>
  </si>
  <si>
    <t>ECL</t>
  </si>
  <si>
    <t>278865100</t>
  </si>
  <si>
    <t>ECOLAB INC</t>
  </si>
  <si>
    <t>EXC</t>
  </si>
  <si>
    <t>30161N101</t>
  </si>
  <si>
    <t>EXELON CORPORATION</t>
  </si>
  <si>
    <t>XOM</t>
  </si>
  <si>
    <t>30231G102</t>
  </si>
  <si>
    <t>EXXON MOBIL CORP</t>
  </si>
  <si>
    <t>FE</t>
  </si>
  <si>
    <t>337932107</t>
  </si>
  <si>
    <t>FIRST ENERGY CORP</t>
  </si>
  <si>
    <t>AJG</t>
  </si>
  <si>
    <t>363576109</t>
  </si>
  <si>
    <t>ARTHUR J GALLAGHER CO</t>
  </si>
  <si>
    <t>IT</t>
  </si>
  <si>
    <t>366651107</t>
  </si>
  <si>
    <t>GARTNER INC</t>
  </si>
  <si>
    <t>GD</t>
  </si>
  <si>
    <t>369550108</t>
  </si>
  <si>
    <t>GENERAL DYNAMICS CORP</t>
  </si>
  <si>
    <t>GIS</t>
  </si>
  <si>
    <t>370334104</t>
  </si>
  <si>
    <t>GENERAL MLS INC COM</t>
  </si>
  <si>
    <t>HSY</t>
  </si>
  <si>
    <t>427866108</t>
  </si>
  <si>
    <t>HERSHEY CO COM</t>
  </si>
  <si>
    <t>HUBS</t>
  </si>
  <si>
    <t>443573100</t>
  </si>
  <si>
    <t>HUBSPOT INC</t>
  </si>
  <si>
    <t>SPLV</t>
  </si>
  <si>
    <t>46138E354</t>
  </si>
  <si>
    <t>INVESCO S P 500 LOW VOLATILITY</t>
  </si>
  <si>
    <t>KDP</t>
  </si>
  <si>
    <t>49271V100</t>
  </si>
  <si>
    <t>KEURIG DR PEPPER INC</t>
  </si>
  <si>
    <t>L</t>
  </si>
  <si>
    <t>540424108</t>
  </si>
  <si>
    <t>LOEWS CORP</t>
  </si>
  <si>
    <t>MKL</t>
  </si>
  <si>
    <t>570535104</t>
  </si>
  <si>
    <t>MARKEL GROUP INC</t>
  </si>
  <si>
    <t>MCK</t>
  </si>
  <si>
    <t>58155Q103</t>
  </si>
  <si>
    <t>MCKESSON CORPORATION</t>
  </si>
  <si>
    <t>NBIX</t>
  </si>
  <si>
    <t>64125C109</t>
  </si>
  <si>
    <t>NEUROCRINE BIOSCIENCES INC</t>
  </si>
  <si>
    <t>NTNX</t>
  </si>
  <si>
    <t>67059N108</t>
  </si>
  <si>
    <t>NUTANIX INC</t>
  </si>
  <si>
    <t>PTC</t>
  </si>
  <si>
    <t>69370C100</t>
  </si>
  <si>
    <t>PTC INC</t>
  </si>
  <si>
    <t>PG</t>
  </si>
  <si>
    <t>742718109</t>
  </si>
  <si>
    <t>PROCTER GAMBLE CO</t>
  </si>
  <si>
    <t>O</t>
  </si>
  <si>
    <t>756109104</t>
  </si>
  <si>
    <t>REALTY INCOME CORP</t>
  </si>
  <si>
    <t>RSG</t>
  </si>
  <si>
    <t>760759100</t>
  </si>
  <si>
    <t>REPUBLIC SVCS INC</t>
  </si>
  <si>
    <t>SO</t>
  </si>
  <si>
    <t>842587107</t>
  </si>
  <si>
    <t>SOUTHERN CO THE</t>
  </si>
  <si>
    <t>TDY</t>
  </si>
  <si>
    <t>879360105</t>
  </si>
  <si>
    <t>TELEDYNE TECHNOLOGIES INC COM</t>
  </si>
  <si>
    <t>UTHR</t>
  </si>
  <si>
    <t>91307C102</t>
  </si>
  <si>
    <t>UNITED THERAPEUTICS CORP</t>
  </si>
  <si>
    <t>VLTO</t>
  </si>
  <si>
    <t>92338C103</t>
  </si>
  <si>
    <t>VERALTO CORP COM SHS</t>
  </si>
  <si>
    <t>VRSN</t>
  </si>
  <si>
    <t>92343E102</t>
  </si>
  <si>
    <t>VERISIGN INC</t>
  </si>
  <si>
    <t>WM</t>
  </si>
  <si>
    <t>94106L109</t>
  </si>
  <si>
    <t>WASTE MGMT INC DEL COM</t>
  </si>
  <si>
    <t>98389B100</t>
  </si>
  <si>
    <t>XCEL ENERGY INC COM</t>
  </si>
  <si>
    <t>ZM</t>
  </si>
  <si>
    <t>98980L101</t>
  </si>
  <si>
    <t>ZOOM COMMUNICATIONS INC</t>
  </si>
  <si>
    <t>GRMN</t>
  </si>
  <si>
    <t>H2906T109</t>
  </si>
  <si>
    <t>GARMIN LTD SHS</t>
  </si>
  <si>
    <t>19-8338</t>
  </si>
  <si>
    <t>AEM</t>
  </si>
  <si>
    <t>008474108</t>
  </si>
  <si>
    <t>AGNICO EAGLE MINES LIMITED</t>
  </si>
  <si>
    <t>BABA</t>
  </si>
  <si>
    <t>01609W102</t>
  </si>
  <si>
    <t>ALIBABA GROUP HLDG LTD A D R</t>
  </si>
  <si>
    <t>COR</t>
  </si>
  <si>
    <t>03073E105</t>
  </si>
  <si>
    <t>CENCORA INC</t>
  </si>
  <si>
    <t>BYDDY</t>
  </si>
  <si>
    <t>05606L100</t>
  </si>
  <si>
    <t>BYD CO LTD UNSPONSERED A D R</t>
  </si>
  <si>
    <t>GIB</t>
  </si>
  <si>
    <t>12532H104</t>
  </si>
  <si>
    <t>CGI INC</t>
  </si>
  <si>
    <t>CME</t>
  </si>
  <si>
    <t>12572Q105</t>
  </si>
  <si>
    <t>CME GROUP INC</t>
  </si>
  <si>
    <t>CNI</t>
  </si>
  <si>
    <t>136375102</t>
  </si>
  <si>
    <t>CANADIAN NATL RAILWAY CO</t>
  </si>
  <si>
    <t>CVE</t>
  </si>
  <si>
    <t>15135U109</t>
  </si>
  <si>
    <t>CENOVUS ENERGY INC</t>
  </si>
  <si>
    <t>LNG</t>
  </si>
  <si>
    <t>16411R208</t>
  </si>
  <si>
    <t>CHENIERE ENERGY INC</t>
  </si>
  <si>
    <t>KOF</t>
  </si>
  <si>
    <t>191241108</t>
  </si>
  <si>
    <t>COCA COLA FEMSA SAB SP A D R</t>
  </si>
  <si>
    <t>RDY</t>
  </si>
  <si>
    <t>256135203</t>
  </si>
  <si>
    <t>DR REDDYS LABORATORIES LTD A D R</t>
  </si>
  <si>
    <t>EA</t>
  </si>
  <si>
    <t>285512109</t>
  </si>
  <si>
    <t>ELECTRONIC ARTS INC COM</t>
  </si>
  <si>
    <t>ACT</t>
  </si>
  <si>
    <t>29249E109</t>
  </si>
  <si>
    <t>ENACT HLDGS INC</t>
  </si>
  <si>
    <t>ENSG</t>
  </si>
  <si>
    <t>29358P101</t>
  </si>
  <si>
    <t>ENSIGN GROUP INC THE</t>
  </si>
  <si>
    <t>FRFHF</t>
  </si>
  <si>
    <t>303901102</t>
  </si>
  <si>
    <t>FAIRFAX FINANCIAL HLDGS LTD</t>
  </si>
  <si>
    <t>FFIV</t>
  </si>
  <si>
    <t>315616102</t>
  </si>
  <si>
    <t>F5 INC</t>
  </si>
  <si>
    <t>FLO</t>
  </si>
  <si>
    <t>343498101</t>
  </si>
  <si>
    <t>FLOWERS FOODS INC COM</t>
  </si>
  <si>
    <t>HDB</t>
  </si>
  <si>
    <t>40415F101</t>
  </si>
  <si>
    <t>HDFC BANK LTD A D R</t>
  </si>
  <si>
    <t>HESAY</t>
  </si>
  <si>
    <t>42751Q105</t>
  </si>
  <si>
    <t>HERMES INTL A D R</t>
  </si>
  <si>
    <t>IBN</t>
  </si>
  <si>
    <t>45104G104</t>
  </si>
  <si>
    <t>ICICI BANK LTD A D R</t>
  </si>
  <si>
    <t>INGR</t>
  </si>
  <si>
    <t>457187102</t>
  </si>
  <si>
    <t>INGREDION INC</t>
  </si>
  <si>
    <t>ACWV</t>
  </si>
  <si>
    <t>464286525</t>
  </si>
  <si>
    <t>ISHARES MSCI GLOBAL MIN VOL FACTOR</t>
  </si>
  <si>
    <t>KDDIY</t>
  </si>
  <si>
    <t>48667L106</t>
  </si>
  <si>
    <t>KDDI CORP A D R</t>
  </si>
  <si>
    <t>KR</t>
  </si>
  <si>
    <t>501044101</t>
  </si>
  <si>
    <t>KROGER CO</t>
  </si>
  <si>
    <t>NYT</t>
  </si>
  <si>
    <t>650111107</t>
  </si>
  <si>
    <t>NEW YORK TIMES CO</t>
  </si>
  <si>
    <t>NVO</t>
  </si>
  <si>
    <t>670100205</t>
  </si>
  <si>
    <t>NOVO NORDISK AS A D R</t>
  </si>
  <si>
    <t>OGE</t>
  </si>
  <si>
    <t>670837103</t>
  </si>
  <si>
    <t>O G E ENERGY CORP</t>
  </si>
  <si>
    <t>TLK</t>
  </si>
  <si>
    <t>715684106</t>
  </si>
  <si>
    <t>P T TELEKOMUNIKASI INDONESIA A D R</t>
  </si>
  <si>
    <t>PNGAY</t>
  </si>
  <si>
    <t>72341E304</t>
  </si>
  <si>
    <t>PING AN INSURANCE A D R</t>
  </si>
  <si>
    <t>REYN</t>
  </si>
  <si>
    <t>76171L106</t>
  </si>
  <si>
    <t>REYNOLDS CONSUMER PRODS I</t>
  </si>
  <si>
    <t>SAP</t>
  </si>
  <si>
    <t>803054204</t>
  </si>
  <si>
    <t>SAP SE SPON ADR A D R</t>
  </si>
  <si>
    <t>TMUS</t>
  </si>
  <si>
    <t>872590104</t>
  </si>
  <si>
    <t>T MOBILE US INC</t>
  </si>
  <si>
    <t>TSM</t>
  </si>
  <si>
    <t>874039100</t>
  </si>
  <si>
    <t>TAIWAN SEMICONDUCTOR A D R</t>
  </si>
  <si>
    <t>VIV</t>
  </si>
  <si>
    <t>87936R205</t>
  </si>
  <si>
    <t>TELEFONICA BRASIL SA A D R</t>
  </si>
  <si>
    <t>TGOPY</t>
  </si>
  <si>
    <t>88579N105</t>
  </si>
  <si>
    <t>3I GROUP PLC UNSPON A D R</t>
  </si>
  <si>
    <t>TIMB</t>
  </si>
  <si>
    <t>88706T108</t>
  </si>
  <si>
    <t>TIM S A SPNDR A D R</t>
  </si>
  <si>
    <t>VIPS</t>
  </si>
  <si>
    <t>92763W103</t>
  </si>
  <si>
    <t>VIPSHOP HOLDINGS LTD A D R</t>
  </si>
  <si>
    <t>WIT</t>
  </si>
  <si>
    <t>97651M109</t>
  </si>
  <si>
    <t>WIPRO LIMITED A D R</t>
  </si>
  <si>
    <t>AER</t>
  </si>
  <si>
    <t>N00985106</t>
  </si>
  <si>
    <t>AERCAP HOLDINGS NV</t>
  </si>
  <si>
    <t>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</si>
</sst>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[$-10409]mm/dd/yyyy"/>
    <numFmt numFmtId="165" formatCode="[$-10409]#,##0.00"/>
    <numFmt numFmtId="166" formatCode="[$-10409]#,##0.0000"/>
    <numFmt numFmtId="167" formatCode="[$-10409]#,##0.000"/>
    <numFmt numFmtId="168" formatCode="[$-10409]#,##0"/>
    <numFmt numFmtId="169" formatCode="0.000%"/>
  </numFmts>
  <fonts count="11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4A85BA"/>
      <name val="Calibri"/>
      <family val="2"/>
      <scheme val="minor"/>
    </font>
    <font>
      <sz val="12"/>
      <color rgb="FF696969"/>
      <name val="Calibri"/>
      <family val="2"/>
      <scheme val="minor"/>
    </font>
    <font>
      <sz val="12"/>
      <color rgb="FF666666"/>
      <name val="Calibri"/>
      <family val="2"/>
      <scheme val="minor"/>
    </font>
    <font>
      <b/>
      <sz val="12"/>
      <color rgb="FF666666"/>
      <name val="Calibri"/>
      <family val="2"/>
      <scheme val="minor"/>
    </font>
    <font>
      <sz val="12"/>
      <color rgb="FF4D4D4D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vertical="top" readingOrder="1"/>
    </xf>
    <xf numFmtId="0" fontId="4" fillId="0" borderId="0" xfId="0" applyFont="1" applyAlignment="1">
      <alignment horizontal="left" vertical="top" readingOrder="1"/>
    </xf>
    <xf numFmtId="0" fontId="5" fillId="0" borderId="0" xfId="0" applyFont="1" applyAlignment="1">
      <alignment horizontal="left" vertical="top" readingOrder="1"/>
    </xf>
    <xf numFmtId="0" fontId="6" fillId="0" borderId="0" xfId="0" applyFont="1" applyAlignment="1">
      <alignment horizontal="left" vertical="top" readingOrder="1"/>
    </xf>
    <xf numFmtId="0" fontId="7" fillId="0" borderId="0" xfId="0" applyFont="1" applyAlignment="1">
      <alignment horizontal="left" vertical="top" readingOrder="1"/>
    </xf>
    <xf numFmtId="0" fontId="8" fillId="2" borderId="1" xfId="0" applyFont="1" applyFill="1" applyBorder="1" applyAlignment="1">
      <alignment horizontal="left" vertical="center" readingOrder="1"/>
    </xf>
    <xf numFmtId="0" fontId="9" fillId="0" borderId="0" xfId="0" applyFont="1" applyAlignment="1">
      <alignment horizontal="left" vertical="top" readingOrder="1"/>
    </xf>
    <xf numFmtId="164" fontId="9" fillId="0" borderId="0" xfId="0" applyNumberFormat="1" applyFont="1" applyAlignment="1">
      <alignment horizontal="right" vertical="top" readingOrder="1"/>
    </xf>
    <xf numFmtId="166" fontId="9" fillId="0" borderId="0" xfId="0" applyNumberFormat="1" applyFont="1" applyAlignment="1">
      <alignment horizontal="right" vertical="top" readingOrder="1"/>
    </xf>
    <xf numFmtId="165" fontId="9" fillId="0" borderId="0" xfId="0" applyNumberFormat="1" applyFont="1" applyAlignment="1">
      <alignment horizontal="right" vertical="top" readingOrder="1"/>
    </xf>
    <xf numFmtId="0" fontId="9" fillId="0" borderId="0" xfId="0" applyFont="1" applyAlignment="1">
      <alignment horizontal="right" vertical="top" readingOrder="1"/>
    </xf>
    <xf numFmtId="4" fontId="10" fillId="0" borderId="0" xfId="0" applyNumberFormat="1" applyFont="1"/>
    <xf numFmtId="4" fontId="2" fillId="0" borderId="0" xfId="0" applyNumberFormat="1" applyFont="1"/>
    <xf numFmtId="165" fontId="2" fillId="0" borderId="0" xfId="0" applyNumberFormat="1" applyFont="1"/>
    <xf numFmtId="167" fontId="9" fillId="0" borderId="0" xfId="0" applyNumberFormat="1" applyFont="1" applyAlignment="1">
      <alignment horizontal="right" vertical="top" readingOrder="1"/>
    </xf>
    <xf numFmtId="168" fontId="9" fillId="0" borderId="0" xfId="0" applyNumberFormat="1" applyFont="1" applyAlignment="1">
      <alignment horizontal="right" vertical="top" readingOrder="1"/>
    </xf>
    <xf numFmtId="8" fontId="2" fillId="0" borderId="0" xfId="0" applyNumberFormat="1" applyFont="1"/>
    <xf numFmtId="169" fontId="2" fillId="0" borderId="0" xfId="1" applyNumberFormat="1" applyFont="1" applyAlignment="1"/>
    <xf numFmtId="168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A85BA"/>
      <rgbColor rgb="00696969"/>
      <rgbColor rgb="00666666"/>
      <rgbColor rgb="00F2F2F2"/>
      <rgbColor rgb="00D3D3D3"/>
      <rgbColor rgb="004D4D4D"/>
      <rgbColor rgb="00333333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427024</xdr:colOff>
      <xdr:row>0</xdr:row>
      <xdr:rowOff>571500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2"/>
  <sheetViews>
    <sheetView showGridLines="0" tabSelected="1" zoomScale="130" zoomScaleNormal="130" workbookViewId="0">
      <pane ySplit="4" topLeftCell="A664" activePane="bottomLeft" state="frozen"/>
      <selection pane="bottomLeft" activeCell="D4" sqref="D4"/>
    </sheetView>
  </sheetViews>
  <sheetFormatPr baseColWidth="10" defaultRowHeight="16" x14ac:dyDescent="0.2"/>
  <cols>
    <col min="1" max="3" width="10.83203125" style="1" customWidth="1"/>
    <col min="4" max="4" width="11.83203125" style="1" bestFit="1" customWidth="1"/>
    <col min="5" max="5" width="40.83203125" style="1" bestFit="1" customWidth="1"/>
    <col min="6" max="6" width="13.6640625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1" width="12.6640625" style="1" bestFit="1" customWidth="1"/>
    <col min="12" max="12" width="10.83203125" style="1"/>
    <col min="13" max="14" width="11" style="1" bestFit="1" customWidth="1"/>
    <col min="15" max="15" width="14.5" style="1" bestFit="1" customWidth="1"/>
    <col min="16" max="16" width="13.1640625" style="1" bestFit="1" customWidth="1"/>
    <col min="17" max="16384" width="10.83203125" style="1"/>
  </cols>
  <sheetData>
    <row r="1" spans="1:11" ht="45.75" customHeight="1" x14ac:dyDescent="0.2">
      <c r="D1" s="2" t="s">
        <v>0</v>
      </c>
      <c r="E1" s="2" t="s">
        <v>0</v>
      </c>
      <c r="F1" s="2" t="s">
        <v>0</v>
      </c>
      <c r="G1" s="2" t="s">
        <v>0</v>
      </c>
      <c r="H1" s="2"/>
    </row>
    <row r="2" spans="1:11" ht="22.5" customHeight="1" x14ac:dyDescent="0.2">
      <c r="A2" s="3" t="s">
        <v>1</v>
      </c>
      <c r="D2" s="4" t="s">
        <v>0</v>
      </c>
      <c r="E2" s="4" t="s">
        <v>0</v>
      </c>
      <c r="F2" s="4" t="s">
        <v>0</v>
      </c>
      <c r="G2" s="4" t="s">
        <v>0</v>
      </c>
      <c r="H2" s="4"/>
    </row>
    <row r="3" spans="1:11" ht="19.5" customHeight="1" x14ac:dyDescent="0.2">
      <c r="A3" s="5" t="s">
        <v>2</v>
      </c>
      <c r="D3" s="6" t="s">
        <v>0</v>
      </c>
      <c r="E3" s="6" t="s">
        <v>0</v>
      </c>
      <c r="F3" s="6" t="s">
        <v>0</v>
      </c>
      <c r="G3" s="6" t="s">
        <v>0</v>
      </c>
      <c r="H3" s="6"/>
    </row>
    <row r="4" spans="1:11" ht="27.5" customHeight="1" x14ac:dyDescent="0.2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</row>
    <row r="5" spans="1:11" x14ac:dyDescent="0.2">
      <c r="A5" s="8" t="s">
        <v>11</v>
      </c>
      <c r="B5" s="9">
        <v>45747</v>
      </c>
      <c r="C5" s="8"/>
      <c r="D5" s="8"/>
      <c r="E5" s="8" t="s">
        <v>12</v>
      </c>
      <c r="F5" s="12"/>
      <c r="G5" s="12"/>
      <c r="H5" s="11">
        <v>1253731.0900000001</v>
      </c>
      <c r="I5" s="14">
        <f>H5+H6</f>
        <v>2107557.2000000002</v>
      </c>
    </row>
    <row r="6" spans="1:11" x14ac:dyDescent="0.2">
      <c r="A6" s="8" t="s">
        <v>11</v>
      </c>
      <c r="B6" s="9">
        <v>45747</v>
      </c>
      <c r="C6" s="8" t="s">
        <v>454</v>
      </c>
      <c r="D6" s="8" t="s">
        <v>455</v>
      </c>
      <c r="E6" s="8" t="s">
        <v>456</v>
      </c>
      <c r="F6" s="10">
        <v>853826.11</v>
      </c>
      <c r="G6" s="11">
        <v>1</v>
      </c>
      <c r="H6" s="11">
        <v>853826.11</v>
      </c>
      <c r="I6" s="13"/>
      <c r="J6" s="14"/>
      <c r="K6" s="14"/>
    </row>
    <row r="7" spans="1:11" x14ac:dyDescent="0.2">
      <c r="A7" s="8" t="s">
        <v>11</v>
      </c>
      <c r="B7" s="9">
        <v>45747</v>
      </c>
      <c r="C7" s="8" t="s">
        <v>34</v>
      </c>
      <c r="D7" s="8" t="s">
        <v>35</v>
      </c>
      <c r="E7" s="8" t="s">
        <v>36</v>
      </c>
      <c r="F7" s="10">
        <v>24795</v>
      </c>
      <c r="G7" s="11">
        <v>20.14</v>
      </c>
      <c r="H7" s="11">
        <v>499371.3</v>
      </c>
    </row>
    <row r="8" spans="1:11" x14ac:dyDescent="0.2">
      <c r="A8" s="8" t="s">
        <v>11</v>
      </c>
      <c r="B8" s="9">
        <v>45747</v>
      </c>
      <c r="C8" s="8" t="s">
        <v>22</v>
      </c>
      <c r="D8" s="8" t="s">
        <v>23</v>
      </c>
      <c r="E8" s="8" t="s">
        <v>24</v>
      </c>
      <c r="F8" s="10">
        <v>23934</v>
      </c>
      <c r="G8" s="11">
        <v>16.61</v>
      </c>
      <c r="H8" s="11">
        <v>397543.74</v>
      </c>
    </row>
    <row r="9" spans="1:11" x14ac:dyDescent="0.2">
      <c r="A9" s="8" t="s">
        <v>11</v>
      </c>
      <c r="B9" s="9">
        <v>45747</v>
      </c>
      <c r="C9" s="8" t="s">
        <v>25</v>
      </c>
      <c r="D9" s="8" t="s">
        <v>26</v>
      </c>
      <c r="E9" s="8" t="s">
        <v>27</v>
      </c>
      <c r="F9" s="10">
        <v>50475</v>
      </c>
      <c r="G9" s="11">
        <v>13.22</v>
      </c>
      <c r="H9" s="11">
        <v>667279.5</v>
      </c>
    </row>
    <row r="10" spans="1:11" x14ac:dyDescent="0.2">
      <c r="A10" s="8" t="s">
        <v>11</v>
      </c>
      <c r="B10" s="9">
        <v>45747</v>
      </c>
      <c r="C10" s="8" t="s">
        <v>13</v>
      </c>
      <c r="D10" s="8" t="s">
        <v>14</v>
      </c>
      <c r="E10" s="8" t="s">
        <v>15</v>
      </c>
      <c r="F10" s="10">
        <v>63814</v>
      </c>
      <c r="G10" s="11">
        <v>19.84</v>
      </c>
      <c r="H10" s="11">
        <v>1266069.76</v>
      </c>
    </row>
    <row r="11" spans="1:11" x14ac:dyDescent="0.2">
      <c r="A11" s="8" t="s">
        <v>11</v>
      </c>
      <c r="B11" s="9">
        <v>45747</v>
      </c>
      <c r="C11" s="8" t="s">
        <v>49</v>
      </c>
      <c r="D11" s="8" t="s">
        <v>50</v>
      </c>
      <c r="E11" s="8" t="s">
        <v>51</v>
      </c>
      <c r="F11" s="10">
        <v>4811</v>
      </c>
      <c r="G11" s="11">
        <v>11.1</v>
      </c>
      <c r="H11" s="11">
        <v>53402.1</v>
      </c>
    </row>
    <row r="12" spans="1:11" x14ac:dyDescent="0.2">
      <c r="A12" s="8" t="s">
        <v>11</v>
      </c>
      <c r="B12" s="9">
        <v>45747</v>
      </c>
      <c r="C12" s="8" t="s">
        <v>31</v>
      </c>
      <c r="D12" s="8" t="s">
        <v>32</v>
      </c>
      <c r="E12" s="8" t="s">
        <v>33</v>
      </c>
      <c r="F12" s="10">
        <v>17893</v>
      </c>
      <c r="G12" s="11">
        <v>26.25</v>
      </c>
      <c r="H12" s="11">
        <v>469691.25</v>
      </c>
    </row>
    <row r="13" spans="1:11" x14ac:dyDescent="0.2">
      <c r="A13" s="8" t="s">
        <v>11</v>
      </c>
      <c r="B13" s="9">
        <v>45747</v>
      </c>
      <c r="C13" s="8" t="s">
        <v>511</v>
      </c>
      <c r="D13" s="8" t="s">
        <v>512</v>
      </c>
      <c r="E13" s="8" t="s">
        <v>513</v>
      </c>
      <c r="F13" s="10">
        <v>11843</v>
      </c>
      <c r="G13" s="11">
        <v>50.33</v>
      </c>
      <c r="H13" s="11">
        <v>596058.18999999994</v>
      </c>
    </row>
    <row r="14" spans="1:11" x14ac:dyDescent="0.2">
      <c r="A14" s="8" t="s">
        <v>11</v>
      </c>
      <c r="B14" s="9">
        <v>45747</v>
      </c>
      <c r="C14" s="8" t="s">
        <v>19</v>
      </c>
      <c r="D14" s="8" t="s">
        <v>20</v>
      </c>
      <c r="E14" s="8" t="s">
        <v>21</v>
      </c>
      <c r="F14" s="10">
        <v>4136</v>
      </c>
      <c r="G14" s="11">
        <v>76.37</v>
      </c>
      <c r="H14" s="11">
        <v>315866.32</v>
      </c>
    </row>
    <row r="15" spans="1:11" x14ac:dyDescent="0.2">
      <c r="A15" s="8" t="s">
        <v>11</v>
      </c>
      <c r="B15" s="9">
        <v>45747</v>
      </c>
      <c r="C15" s="8" t="s">
        <v>16</v>
      </c>
      <c r="D15" s="8" t="s">
        <v>17</v>
      </c>
      <c r="E15" s="8" t="s">
        <v>18</v>
      </c>
      <c r="F15" s="10">
        <v>16306</v>
      </c>
      <c r="G15" s="11">
        <v>66.95</v>
      </c>
      <c r="H15" s="11">
        <v>1091686.7</v>
      </c>
    </row>
    <row r="16" spans="1:11" x14ac:dyDescent="0.2">
      <c r="A16" s="8" t="s">
        <v>11</v>
      </c>
      <c r="B16" s="9">
        <v>45747</v>
      </c>
      <c r="C16" s="8" t="s">
        <v>37</v>
      </c>
      <c r="D16" s="8" t="s">
        <v>38</v>
      </c>
      <c r="E16" s="8" t="s">
        <v>39</v>
      </c>
      <c r="F16" s="10">
        <v>7545</v>
      </c>
      <c r="G16" s="11">
        <v>46.33</v>
      </c>
      <c r="H16" s="11">
        <v>349559.85</v>
      </c>
    </row>
    <row r="17" spans="1:8" x14ac:dyDescent="0.2">
      <c r="A17" s="8" t="s">
        <v>11</v>
      </c>
      <c r="B17" s="9">
        <v>45747</v>
      </c>
      <c r="C17" s="8" t="s">
        <v>43</v>
      </c>
      <c r="D17" s="8" t="s">
        <v>44</v>
      </c>
      <c r="E17" s="8" t="s">
        <v>45</v>
      </c>
      <c r="F17" s="10">
        <v>1652</v>
      </c>
      <c r="G17" s="11">
        <v>219.9</v>
      </c>
      <c r="H17" s="11">
        <v>363274.8</v>
      </c>
    </row>
    <row r="18" spans="1:8" x14ac:dyDescent="0.2">
      <c r="A18" s="8" t="s">
        <v>11</v>
      </c>
      <c r="B18" s="9">
        <v>45747</v>
      </c>
      <c r="C18" s="8" t="s">
        <v>40</v>
      </c>
      <c r="D18" s="8" t="s">
        <v>41</v>
      </c>
      <c r="E18" s="8" t="s">
        <v>42</v>
      </c>
      <c r="F18" s="10">
        <v>7617</v>
      </c>
      <c r="G18" s="11">
        <v>28.81</v>
      </c>
      <c r="H18" s="11">
        <v>219445.77</v>
      </c>
    </row>
    <row r="19" spans="1:8" x14ac:dyDescent="0.2">
      <c r="A19" s="8" t="s">
        <v>11</v>
      </c>
      <c r="B19" s="9">
        <v>45747</v>
      </c>
      <c r="C19" s="8" t="s">
        <v>46</v>
      </c>
      <c r="D19" s="8" t="s">
        <v>47</v>
      </c>
      <c r="E19" s="8" t="s">
        <v>48</v>
      </c>
      <c r="F19" s="10">
        <v>48342</v>
      </c>
      <c r="G19" s="11">
        <v>26.24</v>
      </c>
      <c r="H19" s="11">
        <v>1268494.08</v>
      </c>
    </row>
    <row r="20" spans="1:8" x14ac:dyDescent="0.2">
      <c r="A20" s="8" t="s">
        <v>11</v>
      </c>
      <c r="B20" s="9">
        <v>45747</v>
      </c>
      <c r="C20" s="8" t="s">
        <v>28</v>
      </c>
      <c r="D20" s="8" t="s">
        <v>29</v>
      </c>
      <c r="E20" s="8" t="s">
        <v>30</v>
      </c>
      <c r="F20" s="10">
        <v>12551</v>
      </c>
      <c r="G20" s="11">
        <v>100.64</v>
      </c>
      <c r="H20" s="11">
        <v>1263132.6399999999</v>
      </c>
    </row>
    <row r="21" spans="1:8" x14ac:dyDescent="0.2">
      <c r="A21" s="8" t="s">
        <v>11</v>
      </c>
      <c r="B21" s="9">
        <v>45747</v>
      </c>
      <c r="C21" s="8" t="s">
        <v>52</v>
      </c>
      <c r="D21" s="8" t="s">
        <v>53</v>
      </c>
      <c r="E21" s="8" t="s">
        <v>54</v>
      </c>
      <c r="F21" s="10">
        <v>9829</v>
      </c>
      <c r="G21" s="11">
        <v>64.52</v>
      </c>
      <c r="H21" s="11">
        <v>634167.07999999996</v>
      </c>
    </row>
    <row r="22" spans="1:8" x14ac:dyDescent="0.2">
      <c r="A22" s="8" t="s">
        <v>11</v>
      </c>
      <c r="B22" s="9">
        <v>45747</v>
      </c>
      <c r="C22" s="8" t="s">
        <v>514</v>
      </c>
      <c r="D22" s="8" t="s">
        <v>515</v>
      </c>
      <c r="E22" s="8" t="s">
        <v>516</v>
      </c>
      <c r="F22" s="10">
        <v>10385</v>
      </c>
      <c r="G22" s="11">
        <v>100.24</v>
      </c>
      <c r="H22" s="11">
        <v>1040992.4</v>
      </c>
    </row>
    <row r="23" spans="1:8" x14ac:dyDescent="0.2">
      <c r="A23" s="8" t="s">
        <v>11</v>
      </c>
      <c r="B23" s="9">
        <v>45747</v>
      </c>
      <c r="C23" s="8" t="s">
        <v>55</v>
      </c>
      <c r="D23" s="8" t="s">
        <v>56</v>
      </c>
      <c r="E23" s="8" t="s">
        <v>57</v>
      </c>
      <c r="F23" s="10">
        <v>4106</v>
      </c>
      <c r="G23" s="11">
        <v>30.32</v>
      </c>
      <c r="H23" s="11">
        <v>124493.92</v>
      </c>
    </row>
    <row r="24" spans="1:8" x14ac:dyDescent="0.2">
      <c r="A24" s="8" t="s">
        <v>11</v>
      </c>
      <c r="B24" s="9">
        <v>45747</v>
      </c>
      <c r="C24" s="8" t="s">
        <v>79</v>
      </c>
      <c r="D24" s="8" t="s">
        <v>80</v>
      </c>
      <c r="E24" s="8" t="s">
        <v>81</v>
      </c>
      <c r="F24" s="10">
        <v>6459</v>
      </c>
      <c r="G24" s="11">
        <v>86.16</v>
      </c>
      <c r="H24" s="11">
        <v>556507.43999999994</v>
      </c>
    </row>
    <row r="25" spans="1:8" x14ac:dyDescent="0.2">
      <c r="A25" s="8" t="s">
        <v>11</v>
      </c>
      <c r="B25" s="9">
        <v>45747</v>
      </c>
      <c r="C25" s="8" t="s">
        <v>82</v>
      </c>
      <c r="D25" s="8" t="s">
        <v>83</v>
      </c>
      <c r="E25" s="8" t="s">
        <v>84</v>
      </c>
      <c r="F25" s="10">
        <v>15495</v>
      </c>
      <c r="G25" s="11">
        <v>24.35</v>
      </c>
      <c r="H25" s="11">
        <v>377303.25</v>
      </c>
    </row>
    <row r="26" spans="1:8" x14ac:dyDescent="0.2">
      <c r="A26" s="8" t="s">
        <v>11</v>
      </c>
      <c r="B26" s="9">
        <v>45747</v>
      </c>
      <c r="C26" s="8" t="s">
        <v>61</v>
      </c>
      <c r="D26" s="8" t="s">
        <v>62</v>
      </c>
      <c r="E26" s="8" t="s">
        <v>63</v>
      </c>
      <c r="F26" s="10">
        <v>11679</v>
      </c>
      <c r="G26" s="11">
        <v>38.03</v>
      </c>
      <c r="H26" s="11">
        <v>444152.37</v>
      </c>
    </row>
    <row r="27" spans="1:8" x14ac:dyDescent="0.2">
      <c r="A27" s="8" t="s">
        <v>11</v>
      </c>
      <c r="B27" s="9">
        <v>45747</v>
      </c>
      <c r="C27" s="8" t="s">
        <v>70</v>
      </c>
      <c r="D27" s="8" t="s">
        <v>71</v>
      </c>
      <c r="E27" s="8" t="s">
        <v>72</v>
      </c>
      <c r="F27" s="10">
        <v>18682</v>
      </c>
      <c r="G27" s="11">
        <v>60.65</v>
      </c>
      <c r="H27" s="11">
        <v>1133063.3</v>
      </c>
    </row>
    <row r="28" spans="1:8" x14ac:dyDescent="0.2">
      <c r="A28" s="8" t="s">
        <v>11</v>
      </c>
      <c r="B28" s="9">
        <v>45747</v>
      </c>
      <c r="C28" s="8" t="s">
        <v>64</v>
      </c>
      <c r="D28" s="8" t="s">
        <v>65</v>
      </c>
      <c r="E28" s="8" t="s">
        <v>66</v>
      </c>
      <c r="F28" s="10">
        <v>5497</v>
      </c>
      <c r="G28" s="11">
        <v>22.84</v>
      </c>
      <c r="H28" s="11">
        <v>125551.48</v>
      </c>
    </row>
    <row r="29" spans="1:8" x14ac:dyDescent="0.2">
      <c r="A29" s="8" t="s">
        <v>11</v>
      </c>
      <c r="B29" s="9">
        <v>45747</v>
      </c>
      <c r="C29" s="8" t="s">
        <v>73</v>
      </c>
      <c r="D29" s="8" t="s">
        <v>74</v>
      </c>
      <c r="E29" s="8" t="s">
        <v>75</v>
      </c>
      <c r="F29" s="10">
        <v>122916</v>
      </c>
      <c r="G29" s="11">
        <v>3.35</v>
      </c>
      <c r="H29" s="11">
        <v>411768.6</v>
      </c>
    </row>
    <row r="30" spans="1:8" x14ac:dyDescent="0.2">
      <c r="A30" s="8" t="s">
        <v>11</v>
      </c>
      <c r="B30" s="9">
        <v>45747</v>
      </c>
      <c r="C30" s="8" t="s">
        <v>538</v>
      </c>
      <c r="D30" s="8" t="s">
        <v>539</v>
      </c>
      <c r="E30" s="8" t="s">
        <v>540</v>
      </c>
      <c r="F30" s="10">
        <v>19509</v>
      </c>
      <c r="G30" s="11">
        <v>36.6</v>
      </c>
      <c r="H30" s="11">
        <v>714029.4</v>
      </c>
    </row>
    <row r="31" spans="1:8" x14ac:dyDescent="0.2">
      <c r="A31" s="8" t="s">
        <v>11</v>
      </c>
      <c r="B31" s="9">
        <v>45747</v>
      </c>
      <c r="C31" s="8" t="s">
        <v>352</v>
      </c>
      <c r="D31" s="8" t="s">
        <v>353</v>
      </c>
      <c r="E31" s="8" t="s">
        <v>354</v>
      </c>
      <c r="F31" s="10">
        <v>12669</v>
      </c>
      <c r="G31" s="11">
        <v>92.37</v>
      </c>
      <c r="H31" s="11">
        <v>1170235.53</v>
      </c>
    </row>
    <row r="32" spans="1:8" x14ac:dyDescent="0.2">
      <c r="A32" s="8" t="s">
        <v>11</v>
      </c>
      <c r="B32" s="9">
        <v>45747</v>
      </c>
      <c r="C32" s="8" t="s">
        <v>58</v>
      </c>
      <c r="D32" s="8" t="s">
        <v>59</v>
      </c>
      <c r="E32" s="8" t="s">
        <v>60</v>
      </c>
      <c r="F32" s="10">
        <v>17870</v>
      </c>
      <c r="G32" s="11">
        <v>74.459999999999994</v>
      </c>
      <c r="H32" s="11">
        <v>1330600.2</v>
      </c>
    </row>
    <row r="33" spans="1:8" x14ac:dyDescent="0.2">
      <c r="A33" s="8" t="s">
        <v>11</v>
      </c>
      <c r="B33" s="9">
        <v>45747</v>
      </c>
      <c r="C33" s="8" t="s">
        <v>67</v>
      </c>
      <c r="D33" s="8" t="s">
        <v>68</v>
      </c>
      <c r="E33" s="8" t="s">
        <v>69</v>
      </c>
      <c r="F33" s="10">
        <v>54752</v>
      </c>
      <c r="G33" s="11">
        <v>9.15</v>
      </c>
      <c r="H33" s="11">
        <v>500980.8</v>
      </c>
    </row>
    <row r="34" spans="1:8" x14ac:dyDescent="0.2">
      <c r="A34" s="8" t="s">
        <v>11</v>
      </c>
      <c r="B34" s="9">
        <v>45747</v>
      </c>
      <c r="C34" s="8" t="s">
        <v>76</v>
      </c>
      <c r="D34" s="8" t="s">
        <v>77</v>
      </c>
      <c r="E34" s="8" t="s">
        <v>78</v>
      </c>
      <c r="F34" s="10">
        <v>6815</v>
      </c>
      <c r="G34" s="11">
        <v>74.98</v>
      </c>
      <c r="H34" s="11">
        <v>510988.7</v>
      </c>
    </row>
    <row r="35" spans="1:8" x14ac:dyDescent="0.2">
      <c r="A35" s="8" t="s">
        <v>11</v>
      </c>
      <c r="B35" s="9">
        <v>45747</v>
      </c>
      <c r="C35" s="8" t="s">
        <v>88</v>
      </c>
      <c r="D35" s="8" t="s">
        <v>89</v>
      </c>
      <c r="E35" s="8" t="s">
        <v>90</v>
      </c>
      <c r="F35" s="10">
        <v>7835</v>
      </c>
      <c r="G35" s="11">
        <v>90.9</v>
      </c>
      <c r="H35" s="11">
        <v>712201.5</v>
      </c>
    </row>
    <row r="36" spans="1:8" x14ac:dyDescent="0.2">
      <c r="A36" s="8" t="s">
        <v>11</v>
      </c>
      <c r="B36" s="9">
        <v>45747</v>
      </c>
      <c r="C36" s="8" t="s">
        <v>106</v>
      </c>
      <c r="D36" s="8" t="s">
        <v>107</v>
      </c>
      <c r="E36" s="8" t="s">
        <v>108</v>
      </c>
      <c r="F36" s="10">
        <v>3578</v>
      </c>
      <c r="G36" s="11">
        <v>16.18</v>
      </c>
      <c r="H36" s="11">
        <v>57892.04</v>
      </c>
    </row>
    <row r="37" spans="1:8" x14ac:dyDescent="0.2">
      <c r="A37" s="8" t="s">
        <v>11</v>
      </c>
      <c r="B37" s="9">
        <v>45747</v>
      </c>
      <c r="C37" s="8" t="s">
        <v>100</v>
      </c>
      <c r="D37" s="8" t="s">
        <v>101</v>
      </c>
      <c r="E37" s="8" t="s">
        <v>102</v>
      </c>
      <c r="F37" s="10">
        <v>32735</v>
      </c>
      <c r="G37" s="11">
        <v>29.13</v>
      </c>
      <c r="H37" s="11">
        <v>953570.55</v>
      </c>
    </row>
    <row r="38" spans="1:8" x14ac:dyDescent="0.2">
      <c r="A38" s="8" t="s">
        <v>11</v>
      </c>
      <c r="B38" s="9">
        <v>45747</v>
      </c>
      <c r="C38" s="8" t="s">
        <v>94</v>
      </c>
      <c r="D38" s="8" t="s">
        <v>95</v>
      </c>
      <c r="E38" s="8" t="s">
        <v>96</v>
      </c>
      <c r="F38" s="10">
        <v>5555</v>
      </c>
      <c r="G38" s="11">
        <v>28.33</v>
      </c>
      <c r="H38" s="11">
        <v>157373.15</v>
      </c>
    </row>
    <row r="39" spans="1:8" x14ac:dyDescent="0.2">
      <c r="A39" s="8" t="s">
        <v>11</v>
      </c>
      <c r="B39" s="9">
        <v>45747</v>
      </c>
      <c r="C39" s="8" t="s">
        <v>121</v>
      </c>
      <c r="D39" s="8" t="s">
        <v>122</v>
      </c>
      <c r="E39" s="8" t="s">
        <v>123</v>
      </c>
      <c r="F39" s="10">
        <v>816</v>
      </c>
      <c r="G39" s="11">
        <v>67.099999999999994</v>
      </c>
      <c r="H39" s="11">
        <v>54753.599999999999</v>
      </c>
    </row>
    <row r="40" spans="1:8" x14ac:dyDescent="0.2">
      <c r="A40" s="8" t="s">
        <v>11</v>
      </c>
      <c r="B40" s="9">
        <v>45747</v>
      </c>
      <c r="C40" s="8" t="s">
        <v>136</v>
      </c>
      <c r="D40" s="8" t="s">
        <v>137</v>
      </c>
      <c r="E40" s="8" t="s">
        <v>138</v>
      </c>
      <c r="F40" s="10">
        <v>69575</v>
      </c>
      <c r="G40" s="11">
        <v>5.92</v>
      </c>
      <c r="H40" s="11">
        <v>411884</v>
      </c>
    </row>
    <row r="41" spans="1:8" x14ac:dyDescent="0.2">
      <c r="A41" s="8" t="s">
        <v>11</v>
      </c>
      <c r="B41" s="9">
        <v>45747</v>
      </c>
      <c r="C41" s="8" t="s">
        <v>127</v>
      </c>
      <c r="D41" s="8" t="s">
        <v>128</v>
      </c>
      <c r="E41" s="8" t="s">
        <v>129</v>
      </c>
      <c r="F41" s="10">
        <v>11009</v>
      </c>
      <c r="G41" s="11">
        <v>5.19</v>
      </c>
      <c r="H41" s="11">
        <v>57136.71</v>
      </c>
    </row>
    <row r="42" spans="1:8" x14ac:dyDescent="0.2">
      <c r="A42" s="8" t="s">
        <v>11</v>
      </c>
      <c r="B42" s="9">
        <v>45747</v>
      </c>
      <c r="C42" s="8" t="s">
        <v>130</v>
      </c>
      <c r="D42" s="8" t="s">
        <v>131</v>
      </c>
      <c r="E42" s="8" t="s">
        <v>132</v>
      </c>
      <c r="F42" s="10">
        <v>12672</v>
      </c>
      <c r="G42" s="11">
        <v>19.54</v>
      </c>
      <c r="H42" s="11">
        <v>247610.88</v>
      </c>
    </row>
    <row r="43" spans="1:8" x14ac:dyDescent="0.2">
      <c r="A43" s="8" t="s">
        <v>11</v>
      </c>
      <c r="B43" s="9">
        <v>45747</v>
      </c>
      <c r="C43" s="8" t="s">
        <v>517</v>
      </c>
      <c r="D43" s="8" t="s">
        <v>518</v>
      </c>
      <c r="E43" s="8" t="s">
        <v>519</v>
      </c>
      <c r="F43" s="10">
        <v>15477</v>
      </c>
      <c r="G43" s="11">
        <v>12.49</v>
      </c>
      <c r="H43" s="11">
        <v>193307.73</v>
      </c>
    </row>
    <row r="44" spans="1:8" x14ac:dyDescent="0.2">
      <c r="A44" s="8" t="s">
        <v>11</v>
      </c>
      <c r="B44" s="9">
        <v>45747</v>
      </c>
      <c r="C44" s="8" t="s">
        <v>541</v>
      </c>
      <c r="D44" s="8" t="s">
        <v>542</v>
      </c>
      <c r="E44" s="8" t="s">
        <v>543</v>
      </c>
      <c r="F44" s="10">
        <v>24445</v>
      </c>
      <c r="G44" s="11">
        <v>9.84</v>
      </c>
      <c r="H44" s="11">
        <v>240538.8</v>
      </c>
    </row>
    <row r="45" spans="1:8" x14ac:dyDescent="0.2">
      <c r="A45" s="8" t="s">
        <v>11</v>
      </c>
      <c r="B45" s="9">
        <v>45747</v>
      </c>
      <c r="C45" s="8" t="s">
        <v>133</v>
      </c>
      <c r="D45" s="8" t="s">
        <v>134</v>
      </c>
      <c r="E45" s="8" t="s">
        <v>135</v>
      </c>
      <c r="F45" s="10">
        <v>916</v>
      </c>
      <c r="G45" s="11">
        <v>1350</v>
      </c>
      <c r="H45" s="11">
        <v>1236600</v>
      </c>
    </row>
    <row r="46" spans="1:8" x14ac:dyDescent="0.2">
      <c r="A46" s="8" t="s">
        <v>11</v>
      </c>
      <c r="B46" s="9">
        <v>45747</v>
      </c>
      <c r="C46" s="8" t="s">
        <v>139</v>
      </c>
      <c r="D46" s="8" t="s">
        <v>140</v>
      </c>
      <c r="E46" s="8" t="s">
        <v>141</v>
      </c>
      <c r="F46" s="10">
        <v>7955</v>
      </c>
      <c r="G46" s="11">
        <v>29.85</v>
      </c>
      <c r="H46" s="11">
        <v>237456.75</v>
      </c>
    </row>
    <row r="47" spans="1:8" x14ac:dyDescent="0.2">
      <c r="A47" s="8" t="s">
        <v>11</v>
      </c>
      <c r="B47" s="9">
        <v>45747</v>
      </c>
      <c r="C47" s="8" t="s">
        <v>118</v>
      </c>
      <c r="D47" s="8" t="s">
        <v>119</v>
      </c>
      <c r="E47" s="8" t="s">
        <v>120</v>
      </c>
      <c r="F47" s="10">
        <v>18427</v>
      </c>
      <c r="G47" s="11">
        <v>27.04</v>
      </c>
      <c r="H47" s="11">
        <v>498266.08</v>
      </c>
    </row>
    <row r="48" spans="1:8" x14ac:dyDescent="0.2">
      <c r="A48" s="8" t="s">
        <v>11</v>
      </c>
      <c r="B48" s="9">
        <v>45747</v>
      </c>
      <c r="C48" s="8" t="s">
        <v>112</v>
      </c>
      <c r="D48" s="8" t="s">
        <v>113</v>
      </c>
      <c r="E48" s="8" t="s">
        <v>114</v>
      </c>
      <c r="F48" s="10">
        <v>68783</v>
      </c>
      <c r="G48" s="11">
        <v>24.25</v>
      </c>
      <c r="H48" s="11">
        <v>1667987.75</v>
      </c>
    </row>
    <row r="49" spans="1:8" x14ac:dyDescent="0.2">
      <c r="A49" s="8" t="s">
        <v>11</v>
      </c>
      <c r="B49" s="9">
        <v>45747</v>
      </c>
      <c r="C49" s="8" t="s">
        <v>91</v>
      </c>
      <c r="D49" s="8" t="s">
        <v>92</v>
      </c>
      <c r="E49" s="8" t="s">
        <v>93</v>
      </c>
      <c r="F49" s="10">
        <v>7869</v>
      </c>
      <c r="G49" s="11">
        <v>43.97</v>
      </c>
      <c r="H49" s="11">
        <v>345999.93</v>
      </c>
    </row>
    <row r="50" spans="1:8" x14ac:dyDescent="0.2">
      <c r="A50" s="8" t="s">
        <v>11</v>
      </c>
      <c r="B50" s="9">
        <v>45747</v>
      </c>
      <c r="C50" s="8" t="s">
        <v>520</v>
      </c>
      <c r="D50" s="8" t="s">
        <v>521</v>
      </c>
      <c r="E50" s="8" t="s">
        <v>522</v>
      </c>
      <c r="F50" s="10">
        <v>9707</v>
      </c>
      <c r="G50" s="11">
        <v>40.159999999999997</v>
      </c>
      <c r="H50" s="11">
        <v>389833.12</v>
      </c>
    </row>
    <row r="51" spans="1:8" x14ac:dyDescent="0.2">
      <c r="A51" s="8" t="s">
        <v>11</v>
      </c>
      <c r="B51" s="9">
        <v>45747</v>
      </c>
      <c r="C51" s="8" t="s">
        <v>103</v>
      </c>
      <c r="D51" s="8" t="s">
        <v>104</v>
      </c>
      <c r="E51" s="8" t="s">
        <v>105</v>
      </c>
      <c r="F51" s="10">
        <v>3143</v>
      </c>
      <c r="G51" s="11">
        <v>181.18</v>
      </c>
      <c r="H51" s="11">
        <v>569448.74</v>
      </c>
    </row>
    <row r="52" spans="1:8" x14ac:dyDescent="0.2">
      <c r="A52" s="8" t="s">
        <v>11</v>
      </c>
      <c r="B52" s="9">
        <v>45747</v>
      </c>
      <c r="C52" s="8" t="s">
        <v>124</v>
      </c>
      <c r="D52" s="8" t="s">
        <v>125</v>
      </c>
      <c r="E52" s="8" t="s">
        <v>126</v>
      </c>
      <c r="F52" s="10">
        <v>11273</v>
      </c>
      <c r="G52" s="11">
        <v>99.655000000000001</v>
      </c>
      <c r="H52" s="11">
        <v>1123410.81</v>
      </c>
    </row>
    <row r="53" spans="1:8" x14ac:dyDescent="0.2">
      <c r="A53" s="8" t="s">
        <v>11</v>
      </c>
      <c r="B53" s="9">
        <v>45747</v>
      </c>
      <c r="C53" s="8" t="s">
        <v>109</v>
      </c>
      <c r="D53" s="8" t="s">
        <v>110</v>
      </c>
      <c r="E53" s="8" t="s">
        <v>111</v>
      </c>
      <c r="F53" s="10">
        <v>30640</v>
      </c>
      <c r="G53" s="11">
        <v>20.02</v>
      </c>
      <c r="H53" s="11">
        <v>613412.80000000005</v>
      </c>
    </row>
    <row r="54" spans="1:8" x14ac:dyDescent="0.2">
      <c r="A54" s="8" t="s">
        <v>11</v>
      </c>
      <c r="B54" s="9">
        <v>45747</v>
      </c>
      <c r="C54" s="8" t="s">
        <v>508</v>
      </c>
      <c r="D54" s="8" t="s">
        <v>509</v>
      </c>
      <c r="E54" s="8" t="s">
        <v>510</v>
      </c>
      <c r="F54" s="10">
        <v>36108</v>
      </c>
      <c r="G54" s="11">
        <v>10.09</v>
      </c>
      <c r="H54" s="11">
        <v>364329.72</v>
      </c>
    </row>
    <row r="55" spans="1:8" x14ac:dyDescent="0.2">
      <c r="A55" s="8" t="s">
        <v>11</v>
      </c>
      <c r="B55" s="9">
        <v>45747</v>
      </c>
      <c r="C55" s="8" t="s">
        <v>145</v>
      </c>
      <c r="D55" s="8" t="s">
        <v>146</v>
      </c>
      <c r="E55" s="8" t="s">
        <v>147</v>
      </c>
      <c r="F55" s="10">
        <v>54873</v>
      </c>
      <c r="G55" s="11">
        <v>4.01</v>
      </c>
      <c r="H55" s="11">
        <v>220040.73</v>
      </c>
    </row>
    <row r="56" spans="1:8" x14ac:dyDescent="0.2">
      <c r="A56" s="8" t="s">
        <v>11</v>
      </c>
      <c r="B56" s="9">
        <v>45747</v>
      </c>
      <c r="C56" s="8" t="s">
        <v>97</v>
      </c>
      <c r="D56" s="8" t="s">
        <v>98</v>
      </c>
      <c r="E56" s="8" t="s">
        <v>99</v>
      </c>
      <c r="F56" s="10">
        <v>24435</v>
      </c>
      <c r="G56" s="11">
        <v>28.58</v>
      </c>
      <c r="H56" s="11">
        <v>698352.3</v>
      </c>
    </row>
    <row r="57" spans="1:8" x14ac:dyDescent="0.2">
      <c r="A57" s="8" t="s">
        <v>11</v>
      </c>
      <c r="B57" s="9">
        <v>45747</v>
      </c>
      <c r="C57" s="8" t="s">
        <v>115</v>
      </c>
      <c r="D57" s="8" t="s">
        <v>116</v>
      </c>
      <c r="E57" s="8" t="s">
        <v>117</v>
      </c>
      <c r="F57" s="10">
        <v>520</v>
      </c>
      <c r="G57" s="11">
        <v>519.63</v>
      </c>
      <c r="H57" s="11">
        <v>270207.59999999998</v>
      </c>
    </row>
    <row r="58" spans="1:8" x14ac:dyDescent="0.2">
      <c r="A58" s="8" t="s">
        <v>11</v>
      </c>
      <c r="B58" s="9">
        <v>45747</v>
      </c>
      <c r="C58" s="8" t="s">
        <v>142</v>
      </c>
      <c r="D58" s="8" t="s">
        <v>143</v>
      </c>
      <c r="E58" s="8" t="s">
        <v>144</v>
      </c>
      <c r="F58" s="10">
        <v>7506</v>
      </c>
      <c r="G58" s="11">
        <v>157.76</v>
      </c>
      <c r="H58" s="11">
        <v>1184146.56</v>
      </c>
    </row>
    <row r="59" spans="1:8" x14ac:dyDescent="0.2">
      <c r="A59" s="8" t="s">
        <v>11</v>
      </c>
      <c r="B59" s="9">
        <v>45747</v>
      </c>
      <c r="C59" s="8" t="s">
        <v>148</v>
      </c>
      <c r="D59" s="8" t="s">
        <v>149</v>
      </c>
      <c r="E59" s="8" t="s">
        <v>150</v>
      </c>
      <c r="F59" s="10">
        <v>17069</v>
      </c>
      <c r="G59" s="11">
        <v>12.18</v>
      </c>
      <c r="H59" s="11">
        <v>207900.42</v>
      </c>
    </row>
    <row r="60" spans="1:8" x14ac:dyDescent="0.2">
      <c r="A60" s="8" t="s">
        <v>11</v>
      </c>
      <c r="B60" s="9">
        <v>45747</v>
      </c>
      <c r="C60" s="8" t="s">
        <v>484</v>
      </c>
      <c r="D60" s="8" t="s">
        <v>485</v>
      </c>
      <c r="E60" s="8" t="s">
        <v>486</v>
      </c>
      <c r="F60" s="10">
        <v>8736</v>
      </c>
      <c r="G60" s="11">
        <v>12.41</v>
      </c>
      <c r="H60" s="11">
        <v>108413.75999999999</v>
      </c>
    </row>
    <row r="61" spans="1:8" x14ac:dyDescent="0.2">
      <c r="A61" s="8" t="s">
        <v>11</v>
      </c>
      <c r="B61" s="9">
        <v>45747</v>
      </c>
      <c r="C61" s="8" t="s">
        <v>157</v>
      </c>
      <c r="D61" s="8" t="s">
        <v>158</v>
      </c>
      <c r="E61" s="8" t="s">
        <v>159</v>
      </c>
      <c r="F61" s="10">
        <v>18994</v>
      </c>
      <c r="G61" s="11">
        <v>28.68</v>
      </c>
      <c r="H61" s="11">
        <v>544747.92000000004</v>
      </c>
    </row>
    <row r="62" spans="1:8" x14ac:dyDescent="0.2">
      <c r="A62" s="8" t="s">
        <v>11</v>
      </c>
      <c r="B62" s="9">
        <v>45747</v>
      </c>
      <c r="C62" s="8" t="s">
        <v>151</v>
      </c>
      <c r="D62" s="8" t="s">
        <v>152</v>
      </c>
      <c r="E62" s="8" t="s">
        <v>153</v>
      </c>
      <c r="F62" s="10">
        <v>2603</v>
      </c>
      <c r="G62" s="11">
        <v>369.63</v>
      </c>
      <c r="H62" s="11">
        <v>962146.89</v>
      </c>
    </row>
    <row r="63" spans="1:8" x14ac:dyDescent="0.2">
      <c r="A63" s="8" t="s">
        <v>11</v>
      </c>
      <c r="B63" s="9">
        <v>45747</v>
      </c>
      <c r="C63" s="8" t="s">
        <v>154</v>
      </c>
      <c r="D63" s="8" t="s">
        <v>155</v>
      </c>
      <c r="E63" s="8" t="s">
        <v>156</v>
      </c>
      <c r="F63" s="10">
        <v>12207</v>
      </c>
      <c r="G63" s="11">
        <v>96.56</v>
      </c>
      <c r="H63" s="11">
        <v>1178707.92</v>
      </c>
    </row>
    <row r="64" spans="1:8" x14ac:dyDescent="0.2">
      <c r="A64" s="8" t="s">
        <v>11</v>
      </c>
      <c r="B64" s="9">
        <v>45747</v>
      </c>
      <c r="C64" s="8" t="s">
        <v>523</v>
      </c>
      <c r="D64" s="8" t="s">
        <v>524</v>
      </c>
      <c r="E64" s="8" t="s">
        <v>525</v>
      </c>
      <c r="F64" s="10">
        <v>22741</v>
      </c>
      <c r="G64" s="11">
        <v>57.72</v>
      </c>
      <c r="H64" s="11">
        <v>1312610.52</v>
      </c>
    </row>
    <row r="65" spans="1:8" x14ac:dyDescent="0.2">
      <c r="A65" s="8" t="s">
        <v>11</v>
      </c>
      <c r="B65" s="9">
        <v>45747</v>
      </c>
      <c r="C65" s="8" t="s">
        <v>172</v>
      </c>
      <c r="D65" s="8" t="s">
        <v>173</v>
      </c>
      <c r="E65" s="8" t="s">
        <v>174</v>
      </c>
      <c r="F65" s="10">
        <v>3858</v>
      </c>
      <c r="G65" s="11">
        <v>47.15</v>
      </c>
      <c r="H65" s="11">
        <v>181904.7</v>
      </c>
    </row>
    <row r="66" spans="1:8" x14ac:dyDescent="0.2">
      <c r="A66" s="8" t="s">
        <v>11</v>
      </c>
      <c r="B66" s="9">
        <v>45747</v>
      </c>
      <c r="C66" s="8" t="s">
        <v>160</v>
      </c>
      <c r="D66" s="8" t="s">
        <v>161</v>
      </c>
      <c r="E66" s="8" t="s">
        <v>162</v>
      </c>
      <c r="F66" s="10">
        <v>19255</v>
      </c>
      <c r="G66" s="11">
        <v>46.36</v>
      </c>
      <c r="H66" s="11">
        <v>892661.8</v>
      </c>
    </row>
    <row r="67" spans="1:8" x14ac:dyDescent="0.2">
      <c r="A67" s="8" t="s">
        <v>11</v>
      </c>
      <c r="B67" s="9">
        <v>45747</v>
      </c>
      <c r="C67" s="8" t="s">
        <v>169</v>
      </c>
      <c r="D67" s="8" t="s">
        <v>170</v>
      </c>
      <c r="E67" s="8" t="s">
        <v>171</v>
      </c>
      <c r="F67" s="10">
        <v>42503</v>
      </c>
      <c r="G67" s="11">
        <v>19.170000000000002</v>
      </c>
      <c r="H67" s="11">
        <v>814782.51</v>
      </c>
    </row>
    <row r="68" spans="1:8" x14ac:dyDescent="0.2">
      <c r="A68" s="8" t="s">
        <v>11</v>
      </c>
      <c r="B68" s="9">
        <v>45747</v>
      </c>
      <c r="C68" s="8" t="s">
        <v>175</v>
      </c>
      <c r="D68" s="8" t="s">
        <v>176</v>
      </c>
      <c r="E68" s="8" t="s">
        <v>177</v>
      </c>
      <c r="F68" s="10">
        <v>32009</v>
      </c>
      <c r="G68" s="11">
        <v>21.14</v>
      </c>
      <c r="H68" s="11">
        <v>676670.26</v>
      </c>
    </row>
    <row r="69" spans="1:8" x14ac:dyDescent="0.2">
      <c r="A69" s="8" t="s">
        <v>11</v>
      </c>
      <c r="B69" s="9">
        <v>45747</v>
      </c>
      <c r="C69" s="8" t="s">
        <v>163</v>
      </c>
      <c r="D69" s="8" t="s">
        <v>164</v>
      </c>
      <c r="E69" s="8" t="s">
        <v>165</v>
      </c>
      <c r="F69" s="10">
        <v>1407</v>
      </c>
      <c r="G69" s="11">
        <v>38.01</v>
      </c>
      <c r="H69" s="11">
        <v>53480.07</v>
      </c>
    </row>
    <row r="70" spans="1:8" x14ac:dyDescent="0.2">
      <c r="A70" s="8" t="s">
        <v>11</v>
      </c>
      <c r="B70" s="9">
        <v>45747</v>
      </c>
      <c r="C70" s="8" t="s">
        <v>166</v>
      </c>
      <c r="D70" s="8" t="s">
        <v>167</v>
      </c>
      <c r="E70" s="8" t="s">
        <v>168</v>
      </c>
      <c r="F70" s="10">
        <v>4512</v>
      </c>
      <c r="G70" s="11">
        <v>73.55</v>
      </c>
      <c r="H70" s="11">
        <v>331857.59999999998</v>
      </c>
    </row>
    <row r="71" spans="1:8" x14ac:dyDescent="0.2">
      <c r="A71" s="8" t="s">
        <v>11</v>
      </c>
      <c r="B71" s="9">
        <v>45747</v>
      </c>
      <c r="C71" s="8" t="s">
        <v>178</v>
      </c>
      <c r="D71" s="8" t="s">
        <v>179</v>
      </c>
      <c r="E71" s="8" t="s">
        <v>180</v>
      </c>
      <c r="F71" s="10">
        <v>26048</v>
      </c>
      <c r="G71" s="11">
        <v>38.42</v>
      </c>
      <c r="H71" s="11">
        <v>1000764.16</v>
      </c>
    </row>
    <row r="72" spans="1:8" x14ac:dyDescent="0.2">
      <c r="A72" s="8" t="s">
        <v>11</v>
      </c>
      <c r="B72" s="9">
        <v>45747</v>
      </c>
      <c r="C72" s="8" t="s">
        <v>181</v>
      </c>
      <c r="D72" s="8" t="s">
        <v>182</v>
      </c>
      <c r="E72" s="8" t="s">
        <v>183</v>
      </c>
      <c r="F72" s="10">
        <v>9625</v>
      </c>
      <c r="G72" s="11">
        <v>21.23</v>
      </c>
      <c r="H72" s="11">
        <v>204338.75</v>
      </c>
    </row>
    <row r="73" spans="1:8" x14ac:dyDescent="0.2">
      <c r="A73" s="8" t="s">
        <v>11</v>
      </c>
      <c r="B73" s="9">
        <v>45747</v>
      </c>
      <c r="C73" s="8" t="s">
        <v>199</v>
      </c>
      <c r="D73" s="8" t="s">
        <v>200</v>
      </c>
      <c r="E73" s="8" t="s">
        <v>201</v>
      </c>
      <c r="F73" s="10">
        <v>3973</v>
      </c>
      <c r="G73" s="11">
        <v>71.5</v>
      </c>
      <c r="H73" s="11">
        <v>284069.5</v>
      </c>
    </row>
    <row r="74" spans="1:8" x14ac:dyDescent="0.2">
      <c r="A74" s="8" t="s">
        <v>11</v>
      </c>
      <c r="B74" s="9">
        <v>45747</v>
      </c>
      <c r="C74" s="8" t="s">
        <v>193</v>
      </c>
      <c r="D74" s="8" t="s">
        <v>194</v>
      </c>
      <c r="E74" s="8" t="s">
        <v>195</v>
      </c>
      <c r="F74" s="10">
        <v>1175</v>
      </c>
      <c r="G74" s="11">
        <v>960.86</v>
      </c>
      <c r="H74" s="11">
        <v>1129010.5</v>
      </c>
    </row>
    <row r="75" spans="1:8" x14ac:dyDescent="0.2">
      <c r="A75" s="8" t="s">
        <v>11</v>
      </c>
      <c r="B75" s="9">
        <v>45747</v>
      </c>
      <c r="C75" s="8" t="s">
        <v>190</v>
      </c>
      <c r="D75" s="8" t="s">
        <v>191</v>
      </c>
      <c r="E75" s="8" t="s">
        <v>192</v>
      </c>
      <c r="F75" s="10">
        <v>6105</v>
      </c>
      <c r="G75" s="11">
        <v>28.82</v>
      </c>
      <c r="H75" s="11">
        <v>175946.1</v>
      </c>
    </row>
    <row r="76" spans="1:8" x14ac:dyDescent="0.2">
      <c r="A76" s="8" t="s">
        <v>11</v>
      </c>
      <c r="B76" s="9">
        <v>45747</v>
      </c>
      <c r="C76" s="8" t="s">
        <v>187</v>
      </c>
      <c r="D76" s="8" t="s">
        <v>188</v>
      </c>
      <c r="E76" s="8" t="s">
        <v>189</v>
      </c>
      <c r="F76" s="10">
        <v>11831</v>
      </c>
      <c r="G76" s="11">
        <v>35.1</v>
      </c>
      <c r="H76" s="11">
        <v>415268.1</v>
      </c>
    </row>
    <row r="77" spans="1:8" x14ac:dyDescent="0.2">
      <c r="A77" s="8" t="s">
        <v>11</v>
      </c>
      <c r="B77" s="9">
        <v>45747</v>
      </c>
      <c r="C77" s="8" t="s">
        <v>184</v>
      </c>
      <c r="D77" s="8" t="s">
        <v>185</v>
      </c>
      <c r="E77" s="8" t="s">
        <v>186</v>
      </c>
      <c r="F77" s="10">
        <v>14844</v>
      </c>
      <c r="G77" s="11">
        <v>47</v>
      </c>
      <c r="H77" s="11">
        <v>697668</v>
      </c>
    </row>
    <row r="78" spans="1:8" x14ac:dyDescent="0.2">
      <c r="A78" s="8" t="s">
        <v>11</v>
      </c>
      <c r="B78" s="9">
        <v>45747</v>
      </c>
      <c r="C78" s="8" t="s">
        <v>202</v>
      </c>
      <c r="D78" s="8" t="s">
        <v>203</v>
      </c>
      <c r="E78" s="8" t="s">
        <v>204</v>
      </c>
      <c r="F78" s="10">
        <v>26574</v>
      </c>
      <c r="G78" s="11">
        <v>22.66</v>
      </c>
      <c r="H78" s="11">
        <v>602166.84</v>
      </c>
    </row>
    <row r="79" spans="1:8" x14ac:dyDescent="0.2">
      <c r="A79" s="8" t="s">
        <v>11</v>
      </c>
      <c r="B79" s="9">
        <v>45747</v>
      </c>
      <c r="C79" s="8" t="s">
        <v>217</v>
      </c>
      <c r="D79" s="8" t="s">
        <v>218</v>
      </c>
      <c r="E79" s="8" t="s">
        <v>219</v>
      </c>
      <c r="F79" s="10">
        <v>13936</v>
      </c>
      <c r="G79" s="11">
        <v>15.08</v>
      </c>
      <c r="H79" s="11">
        <v>210154.88</v>
      </c>
    </row>
    <row r="80" spans="1:8" x14ac:dyDescent="0.2">
      <c r="A80" s="8" t="s">
        <v>11</v>
      </c>
      <c r="B80" s="9">
        <v>45747</v>
      </c>
      <c r="C80" s="8" t="s">
        <v>208</v>
      </c>
      <c r="D80" s="8" t="s">
        <v>209</v>
      </c>
      <c r="E80" s="8" t="s">
        <v>210</v>
      </c>
      <c r="F80" s="10">
        <v>26739</v>
      </c>
      <c r="G80" s="11">
        <v>4.53</v>
      </c>
      <c r="H80" s="11">
        <v>121127.67</v>
      </c>
    </row>
    <row r="81" spans="1:8" x14ac:dyDescent="0.2">
      <c r="A81" s="8" t="s">
        <v>11</v>
      </c>
      <c r="B81" s="9">
        <v>45747</v>
      </c>
      <c r="C81" s="8" t="s">
        <v>214</v>
      </c>
      <c r="D81" s="8" t="s">
        <v>215</v>
      </c>
      <c r="E81" s="8" t="s">
        <v>216</v>
      </c>
      <c r="F81" s="10">
        <v>62745</v>
      </c>
      <c r="G81" s="11">
        <v>4.7</v>
      </c>
      <c r="H81" s="11">
        <v>294901.5</v>
      </c>
    </row>
    <row r="82" spans="1:8" x14ac:dyDescent="0.2">
      <c r="A82" s="8" t="s">
        <v>11</v>
      </c>
      <c r="B82" s="9">
        <v>45747</v>
      </c>
      <c r="C82" s="8" t="s">
        <v>211</v>
      </c>
      <c r="D82" s="8" t="s">
        <v>212</v>
      </c>
      <c r="E82" s="8" t="s">
        <v>213</v>
      </c>
      <c r="F82" s="10">
        <v>5613</v>
      </c>
      <c r="G82" s="11">
        <v>134.27000000000001</v>
      </c>
      <c r="H82" s="11">
        <v>753657.51</v>
      </c>
    </row>
    <row r="83" spans="1:8" x14ac:dyDescent="0.2">
      <c r="A83" s="8" t="s">
        <v>11</v>
      </c>
      <c r="B83" s="9">
        <v>45747</v>
      </c>
      <c r="C83" s="8" t="s">
        <v>205</v>
      </c>
      <c r="D83" s="8" t="s">
        <v>206</v>
      </c>
      <c r="E83" s="8" t="s">
        <v>207</v>
      </c>
      <c r="F83" s="10">
        <v>29182</v>
      </c>
      <c r="G83" s="11">
        <v>33.19</v>
      </c>
      <c r="H83" s="11">
        <v>968550.58</v>
      </c>
    </row>
    <row r="84" spans="1:8" x14ac:dyDescent="0.2">
      <c r="A84" s="8" t="s">
        <v>11</v>
      </c>
      <c r="B84" s="9">
        <v>45747</v>
      </c>
      <c r="C84" s="8" t="s">
        <v>229</v>
      </c>
      <c r="D84" s="8" t="s">
        <v>230</v>
      </c>
      <c r="E84" s="8" t="s">
        <v>231</v>
      </c>
      <c r="F84" s="10">
        <v>5195</v>
      </c>
      <c r="G84" s="11">
        <v>63.06</v>
      </c>
      <c r="H84" s="11">
        <v>327596.7</v>
      </c>
    </row>
    <row r="85" spans="1:8" x14ac:dyDescent="0.2">
      <c r="A85" s="8" t="s">
        <v>11</v>
      </c>
      <c r="B85" s="9">
        <v>45747</v>
      </c>
      <c r="C85" s="8" t="s">
        <v>526</v>
      </c>
      <c r="D85" s="8" t="s">
        <v>527</v>
      </c>
      <c r="E85" s="8" t="s">
        <v>528</v>
      </c>
      <c r="F85" s="10">
        <v>6943</v>
      </c>
      <c r="G85" s="11">
        <v>22.61</v>
      </c>
      <c r="H85" s="11">
        <v>156981.23000000001</v>
      </c>
    </row>
    <row r="86" spans="1:8" x14ac:dyDescent="0.2">
      <c r="A86" s="8" t="s">
        <v>11</v>
      </c>
      <c r="B86" s="9">
        <v>45747</v>
      </c>
      <c r="C86" s="8" t="s">
        <v>223</v>
      </c>
      <c r="D86" s="8" t="s">
        <v>224</v>
      </c>
      <c r="E86" s="8" t="s">
        <v>225</v>
      </c>
      <c r="F86" s="10">
        <v>5857</v>
      </c>
      <c r="G86" s="11">
        <v>65.13</v>
      </c>
      <c r="H86" s="11">
        <v>381466.41</v>
      </c>
    </row>
    <row r="87" spans="1:8" x14ac:dyDescent="0.2">
      <c r="A87" s="8" t="s">
        <v>11</v>
      </c>
      <c r="B87" s="9">
        <v>45747</v>
      </c>
      <c r="C87" s="8" t="s">
        <v>220</v>
      </c>
      <c r="D87" s="8" t="s">
        <v>221</v>
      </c>
      <c r="E87" s="8" t="s">
        <v>222</v>
      </c>
      <c r="F87" s="10">
        <v>10033</v>
      </c>
      <c r="G87" s="11">
        <v>5.38</v>
      </c>
      <c r="H87" s="11">
        <v>53977.54</v>
      </c>
    </row>
    <row r="88" spans="1:8" x14ac:dyDescent="0.2">
      <c r="A88" s="8" t="s">
        <v>11</v>
      </c>
      <c r="B88" s="9">
        <v>45747</v>
      </c>
      <c r="C88" s="8" t="s">
        <v>232</v>
      </c>
      <c r="D88" s="8" t="s">
        <v>233</v>
      </c>
      <c r="E88" s="8" t="s">
        <v>234</v>
      </c>
      <c r="F88" s="10">
        <v>14199</v>
      </c>
      <c r="G88" s="11">
        <v>29.39</v>
      </c>
      <c r="H88" s="11">
        <v>417308.61</v>
      </c>
    </row>
    <row r="89" spans="1:8" x14ac:dyDescent="0.2">
      <c r="A89" s="8" t="s">
        <v>11</v>
      </c>
      <c r="B89" s="9">
        <v>45747</v>
      </c>
      <c r="C89" s="8" t="s">
        <v>238</v>
      </c>
      <c r="D89" s="8" t="s">
        <v>239</v>
      </c>
      <c r="E89" s="8" t="s">
        <v>240</v>
      </c>
      <c r="F89" s="10">
        <v>7121</v>
      </c>
      <c r="G89" s="11">
        <v>52.48</v>
      </c>
      <c r="H89" s="11">
        <v>373710.08000000002</v>
      </c>
    </row>
    <row r="90" spans="1:8" x14ac:dyDescent="0.2">
      <c r="A90" s="8" t="s">
        <v>11</v>
      </c>
      <c r="B90" s="9">
        <v>45747</v>
      </c>
      <c r="C90" s="8" t="s">
        <v>235</v>
      </c>
      <c r="D90" s="8" t="s">
        <v>236</v>
      </c>
      <c r="E90" s="8" t="s">
        <v>237</v>
      </c>
      <c r="F90" s="10">
        <v>27694</v>
      </c>
      <c r="G90" s="11">
        <v>29.37</v>
      </c>
      <c r="H90" s="11">
        <v>813372.78</v>
      </c>
    </row>
    <row r="91" spans="1:8" x14ac:dyDescent="0.2">
      <c r="A91" s="8" t="s">
        <v>11</v>
      </c>
      <c r="B91" s="9">
        <v>45747</v>
      </c>
      <c r="C91" s="8" t="s">
        <v>241</v>
      </c>
      <c r="D91" s="8" t="s">
        <v>242</v>
      </c>
      <c r="E91" s="8" t="s">
        <v>243</v>
      </c>
      <c r="F91" s="10">
        <v>6200</v>
      </c>
      <c r="G91" s="11">
        <v>199.49</v>
      </c>
      <c r="H91" s="11">
        <v>1236838</v>
      </c>
    </row>
    <row r="92" spans="1:8" x14ac:dyDescent="0.2">
      <c r="A92" s="8" t="s">
        <v>11</v>
      </c>
      <c r="B92" s="9">
        <v>45747</v>
      </c>
      <c r="C92" s="8" t="s">
        <v>244</v>
      </c>
      <c r="D92" s="8" t="s">
        <v>245</v>
      </c>
      <c r="E92" s="8" t="s">
        <v>246</v>
      </c>
      <c r="F92" s="10">
        <v>4763</v>
      </c>
      <c r="G92" s="11">
        <v>19.53</v>
      </c>
      <c r="H92" s="11">
        <v>93021.39</v>
      </c>
    </row>
    <row r="93" spans="1:8" x14ac:dyDescent="0.2">
      <c r="A93" s="8" t="s">
        <v>11</v>
      </c>
      <c r="B93" s="9">
        <v>45747</v>
      </c>
      <c r="C93" s="8" t="s">
        <v>247</v>
      </c>
      <c r="D93" s="8" t="s">
        <v>248</v>
      </c>
      <c r="E93" s="8" t="s">
        <v>249</v>
      </c>
      <c r="F93" s="10">
        <v>13597</v>
      </c>
      <c r="G93" s="11">
        <v>83.78</v>
      </c>
      <c r="H93" s="11">
        <v>1139156.6599999999</v>
      </c>
    </row>
    <row r="94" spans="1:8" x14ac:dyDescent="0.2">
      <c r="A94" s="8" t="s">
        <v>11</v>
      </c>
      <c r="B94" s="9">
        <v>45747</v>
      </c>
      <c r="C94" s="8" t="s">
        <v>250</v>
      </c>
      <c r="D94" s="8" t="s">
        <v>251</v>
      </c>
      <c r="E94" s="8" t="s">
        <v>252</v>
      </c>
      <c r="F94" s="10">
        <v>10012</v>
      </c>
      <c r="G94" s="11">
        <v>101.01</v>
      </c>
      <c r="H94" s="11">
        <v>1011312.12</v>
      </c>
    </row>
    <row r="95" spans="1:8" x14ac:dyDescent="0.2">
      <c r="A95" s="8" t="s">
        <v>11</v>
      </c>
      <c r="B95" s="9">
        <v>45747</v>
      </c>
      <c r="C95" s="8" t="s">
        <v>256</v>
      </c>
      <c r="D95" s="8" t="s">
        <v>257</v>
      </c>
      <c r="E95" s="8" t="s">
        <v>258</v>
      </c>
      <c r="F95" s="10">
        <v>18313</v>
      </c>
      <c r="G95" s="11">
        <v>67.83</v>
      </c>
      <c r="H95" s="11">
        <v>1242170.79</v>
      </c>
    </row>
    <row r="96" spans="1:8" x14ac:dyDescent="0.2">
      <c r="A96" s="8" t="s">
        <v>11</v>
      </c>
      <c r="B96" s="9">
        <v>45747</v>
      </c>
      <c r="C96" s="8" t="s">
        <v>259</v>
      </c>
      <c r="D96" s="8" t="s">
        <v>260</v>
      </c>
      <c r="E96" s="8" t="s">
        <v>261</v>
      </c>
      <c r="F96" s="10">
        <v>4711</v>
      </c>
      <c r="G96" s="11">
        <v>180.3</v>
      </c>
      <c r="H96" s="11">
        <v>849393.3</v>
      </c>
    </row>
    <row r="97" spans="1:8" x14ac:dyDescent="0.2">
      <c r="A97" s="8" t="s">
        <v>11</v>
      </c>
      <c r="B97" s="9">
        <v>45747</v>
      </c>
      <c r="C97" s="8" t="s">
        <v>253</v>
      </c>
      <c r="D97" s="8" t="s">
        <v>254</v>
      </c>
      <c r="E97" s="8" t="s">
        <v>255</v>
      </c>
      <c r="F97" s="10">
        <v>8695</v>
      </c>
      <c r="G97" s="11">
        <v>64.13</v>
      </c>
      <c r="H97" s="11">
        <v>557610.35</v>
      </c>
    </row>
    <row r="98" spans="1:8" x14ac:dyDescent="0.2">
      <c r="A98" s="8" t="s">
        <v>11</v>
      </c>
      <c r="B98" s="9">
        <v>45747</v>
      </c>
      <c r="C98" s="8" t="s">
        <v>271</v>
      </c>
      <c r="D98" s="8" t="s">
        <v>272</v>
      </c>
      <c r="E98" s="8" t="s">
        <v>273</v>
      </c>
      <c r="F98" s="10">
        <v>36113</v>
      </c>
      <c r="G98" s="11">
        <v>6.66</v>
      </c>
      <c r="H98" s="11">
        <v>240512.58</v>
      </c>
    </row>
    <row r="99" spans="1:8" x14ac:dyDescent="0.2">
      <c r="A99" s="8" t="s">
        <v>11</v>
      </c>
      <c r="B99" s="9">
        <v>45747</v>
      </c>
      <c r="C99" s="8" t="s">
        <v>268</v>
      </c>
      <c r="D99" s="8" t="s">
        <v>269</v>
      </c>
      <c r="E99" s="8" t="s">
        <v>270</v>
      </c>
      <c r="F99" s="10">
        <v>10825</v>
      </c>
      <c r="G99" s="11">
        <v>105.14</v>
      </c>
      <c r="H99" s="11">
        <v>1138140.5</v>
      </c>
    </row>
    <row r="100" spans="1:8" x14ac:dyDescent="0.2">
      <c r="A100" s="8" t="s">
        <v>11</v>
      </c>
      <c r="B100" s="9">
        <v>45747</v>
      </c>
      <c r="C100" s="8" t="s">
        <v>274</v>
      </c>
      <c r="D100" s="8" t="s">
        <v>275</v>
      </c>
      <c r="E100" s="8" t="s">
        <v>276</v>
      </c>
      <c r="F100" s="10">
        <v>24480</v>
      </c>
      <c r="G100" s="11">
        <v>9.27</v>
      </c>
      <c r="H100" s="11">
        <v>226929.6</v>
      </c>
    </row>
    <row r="101" spans="1:8" x14ac:dyDescent="0.2">
      <c r="A101" s="8" t="s">
        <v>11</v>
      </c>
      <c r="B101" s="9">
        <v>45747</v>
      </c>
      <c r="C101" s="8" t="s">
        <v>196</v>
      </c>
      <c r="D101" s="8" t="s">
        <v>197</v>
      </c>
      <c r="E101" s="8" t="s">
        <v>198</v>
      </c>
      <c r="F101" s="10">
        <v>3756</v>
      </c>
      <c r="G101" s="11">
        <v>173.02</v>
      </c>
      <c r="H101" s="11">
        <v>649863.12</v>
      </c>
    </row>
    <row r="102" spans="1:8" x14ac:dyDescent="0.2">
      <c r="A102" s="8" t="s">
        <v>11</v>
      </c>
      <c r="B102" s="9">
        <v>45747</v>
      </c>
      <c r="C102" s="8" t="s">
        <v>265</v>
      </c>
      <c r="D102" s="8" t="s">
        <v>266</v>
      </c>
      <c r="E102" s="8" t="s">
        <v>267</v>
      </c>
      <c r="F102" s="10">
        <v>21272</v>
      </c>
      <c r="G102" s="11">
        <v>30.2</v>
      </c>
      <c r="H102" s="11">
        <v>642414.4</v>
      </c>
    </row>
    <row r="103" spans="1:8" x14ac:dyDescent="0.2">
      <c r="A103" s="8" t="s">
        <v>11</v>
      </c>
      <c r="B103" s="9">
        <v>45747</v>
      </c>
      <c r="C103" s="8" t="s">
        <v>262</v>
      </c>
      <c r="D103" s="8" t="s">
        <v>263</v>
      </c>
      <c r="E103" s="8" t="s">
        <v>264</v>
      </c>
      <c r="F103" s="10">
        <v>27001</v>
      </c>
      <c r="G103" s="11">
        <v>17</v>
      </c>
      <c r="H103" s="11">
        <v>459017</v>
      </c>
    </row>
    <row r="104" spans="1:8" x14ac:dyDescent="0.2">
      <c r="A104" s="8" t="s">
        <v>11</v>
      </c>
      <c r="B104" s="9">
        <v>45747</v>
      </c>
      <c r="C104" s="8" t="s">
        <v>283</v>
      </c>
      <c r="D104" s="8" t="s">
        <v>284</v>
      </c>
      <c r="E104" s="8" t="s">
        <v>285</v>
      </c>
      <c r="F104" s="10">
        <v>9168</v>
      </c>
      <c r="G104" s="11">
        <v>128.16999999999999</v>
      </c>
      <c r="H104" s="11">
        <v>1175062.56</v>
      </c>
    </row>
    <row r="105" spans="1:8" x14ac:dyDescent="0.2">
      <c r="A105" s="8" t="s">
        <v>11</v>
      </c>
      <c r="B105" s="9">
        <v>45747</v>
      </c>
      <c r="C105" s="8" t="s">
        <v>280</v>
      </c>
      <c r="D105" s="8" t="s">
        <v>281</v>
      </c>
      <c r="E105" s="8" t="s">
        <v>282</v>
      </c>
      <c r="F105" s="10">
        <v>53774</v>
      </c>
      <c r="G105" s="11">
        <v>13.06</v>
      </c>
      <c r="H105" s="11">
        <v>702288.44</v>
      </c>
    </row>
    <row r="106" spans="1:8" x14ac:dyDescent="0.2">
      <c r="A106" s="8" t="s">
        <v>11</v>
      </c>
      <c r="B106" s="9">
        <v>45747</v>
      </c>
      <c r="C106" s="8" t="s">
        <v>286</v>
      </c>
      <c r="D106" s="8" t="s">
        <v>287</v>
      </c>
      <c r="E106" s="8" t="s">
        <v>288</v>
      </c>
      <c r="F106" s="10">
        <v>4857</v>
      </c>
      <c r="G106" s="11">
        <v>111.4</v>
      </c>
      <c r="H106" s="11">
        <v>541069.80000000005</v>
      </c>
    </row>
    <row r="107" spans="1:8" x14ac:dyDescent="0.2">
      <c r="A107" s="8" t="s">
        <v>11</v>
      </c>
      <c r="B107" s="9">
        <v>45747</v>
      </c>
      <c r="C107" s="8" t="s">
        <v>277</v>
      </c>
      <c r="D107" s="8" t="s">
        <v>278</v>
      </c>
      <c r="E107" s="8" t="s">
        <v>279</v>
      </c>
      <c r="F107" s="10">
        <v>5803</v>
      </c>
      <c r="G107" s="11">
        <v>80.150000000000006</v>
      </c>
      <c r="H107" s="11">
        <v>465110.45</v>
      </c>
    </row>
    <row r="108" spans="1:8" x14ac:dyDescent="0.2">
      <c r="A108" s="8" t="s">
        <v>11</v>
      </c>
      <c r="B108" s="9">
        <v>45747</v>
      </c>
      <c r="C108" s="8" t="s">
        <v>292</v>
      </c>
      <c r="D108" s="8" t="s">
        <v>293</v>
      </c>
      <c r="E108" s="8" t="s">
        <v>294</v>
      </c>
      <c r="F108" s="10">
        <v>14830</v>
      </c>
      <c r="G108" s="11">
        <v>76.14</v>
      </c>
      <c r="H108" s="11">
        <v>1129156.2</v>
      </c>
    </row>
    <row r="109" spans="1:8" x14ac:dyDescent="0.2">
      <c r="A109" s="8" t="s">
        <v>11</v>
      </c>
      <c r="B109" s="9">
        <v>45747</v>
      </c>
      <c r="C109" s="8" t="s">
        <v>289</v>
      </c>
      <c r="D109" s="8" t="s">
        <v>290</v>
      </c>
      <c r="E109" s="8" t="s">
        <v>291</v>
      </c>
      <c r="F109" s="10">
        <v>3007</v>
      </c>
      <c r="G109" s="11">
        <v>70.88</v>
      </c>
      <c r="H109" s="11">
        <v>213136.16</v>
      </c>
    </row>
    <row r="110" spans="1:8" x14ac:dyDescent="0.2">
      <c r="A110" s="8" t="s">
        <v>11</v>
      </c>
      <c r="B110" s="9">
        <v>45747</v>
      </c>
      <c r="C110" s="8" t="s">
        <v>295</v>
      </c>
      <c r="D110" s="8" t="s">
        <v>296</v>
      </c>
      <c r="E110" s="8" t="s">
        <v>297</v>
      </c>
      <c r="F110" s="10">
        <v>54013</v>
      </c>
      <c r="G110" s="11">
        <v>25.42</v>
      </c>
      <c r="H110" s="11">
        <v>1373010.46</v>
      </c>
    </row>
    <row r="111" spans="1:8" x14ac:dyDescent="0.2">
      <c r="A111" s="8" t="s">
        <v>11</v>
      </c>
      <c r="B111" s="9">
        <v>45747</v>
      </c>
      <c r="C111" s="8" t="s">
        <v>316</v>
      </c>
      <c r="D111" s="8" t="s">
        <v>317</v>
      </c>
      <c r="E111" s="8" t="s">
        <v>318</v>
      </c>
      <c r="F111" s="10">
        <v>8652</v>
      </c>
      <c r="G111" s="11">
        <v>91.54</v>
      </c>
      <c r="H111" s="11">
        <v>792004.08</v>
      </c>
    </row>
    <row r="112" spans="1:8" x14ac:dyDescent="0.2">
      <c r="A112" s="8" t="s">
        <v>11</v>
      </c>
      <c r="B112" s="9">
        <v>45747</v>
      </c>
      <c r="C112" s="8" t="s">
        <v>319</v>
      </c>
      <c r="D112" s="8" t="s">
        <v>320</v>
      </c>
      <c r="E112" s="8" t="s">
        <v>321</v>
      </c>
      <c r="F112" s="10">
        <v>5486</v>
      </c>
      <c r="G112" s="11">
        <v>23.44</v>
      </c>
      <c r="H112" s="11">
        <v>128591.84</v>
      </c>
    </row>
    <row r="113" spans="1:8" x14ac:dyDescent="0.2">
      <c r="A113" s="8" t="s">
        <v>11</v>
      </c>
      <c r="B113" s="9">
        <v>45747</v>
      </c>
      <c r="C113" s="8" t="s">
        <v>304</v>
      </c>
      <c r="D113" s="8" t="s">
        <v>305</v>
      </c>
      <c r="E113" s="8" t="s">
        <v>306</v>
      </c>
      <c r="F113" s="10">
        <v>21593</v>
      </c>
      <c r="G113" s="11">
        <v>79.19</v>
      </c>
      <c r="H113" s="11">
        <v>1709949.67</v>
      </c>
    </row>
    <row r="114" spans="1:8" x14ac:dyDescent="0.2">
      <c r="A114" s="8" t="s">
        <v>11</v>
      </c>
      <c r="B114" s="9">
        <v>45747</v>
      </c>
      <c r="C114" s="8" t="s">
        <v>307</v>
      </c>
      <c r="D114" s="8" t="s">
        <v>308</v>
      </c>
      <c r="E114" s="8" t="s">
        <v>309</v>
      </c>
      <c r="F114" s="10">
        <v>2763</v>
      </c>
      <c r="G114" s="11">
        <v>21.97</v>
      </c>
      <c r="H114" s="11">
        <v>60703.11</v>
      </c>
    </row>
    <row r="115" spans="1:8" x14ac:dyDescent="0.2">
      <c r="A115" s="8" t="s">
        <v>11</v>
      </c>
      <c r="B115" s="9">
        <v>45747</v>
      </c>
      <c r="C115" s="8" t="s">
        <v>301</v>
      </c>
      <c r="D115" s="8" t="s">
        <v>302</v>
      </c>
      <c r="E115" s="8" t="s">
        <v>303</v>
      </c>
      <c r="F115" s="10">
        <v>10745</v>
      </c>
      <c r="G115" s="11">
        <v>92.8</v>
      </c>
      <c r="H115" s="11">
        <v>997136</v>
      </c>
    </row>
    <row r="116" spans="1:8" x14ac:dyDescent="0.2">
      <c r="A116" s="8" t="s">
        <v>11</v>
      </c>
      <c r="B116" s="9">
        <v>45747</v>
      </c>
      <c r="C116" s="8" t="s">
        <v>310</v>
      </c>
      <c r="D116" s="8" t="s">
        <v>311</v>
      </c>
      <c r="E116" s="8" t="s">
        <v>312</v>
      </c>
      <c r="F116" s="10">
        <v>9605</v>
      </c>
      <c r="G116" s="11">
        <v>49.06</v>
      </c>
      <c r="H116" s="11">
        <v>471221.3</v>
      </c>
    </row>
    <row r="117" spans="1:8" x14ac:dyDescent="0.2">
      <c r="A117" s="8" t="s">
        <v>11</v>
      </c>
      <c r="B117" s="9">
        <v>45747</v>
      </c>
      <c r="C117" s="8" t="s">
        <v>298</v>
      </c>
      <c r="D117" s="8" t="s">
        <v>299</v>
      </c>
      <c r="E117" s="8" t="s">
        <v>300</v>
      </c>
      <c r="F117" s="10">
        <v>39876</v>
      </c>
      <c r="G117" s="11">
        <v>36.049999999999997</v>
      </c>
      <c r="H117" s="11">
        <v>1437529.8</v>
      </c>
    </row>
    <row r="118" spans="1:8" x14ac:dyDescent="0.2">
      <c r="A118" s="8" t="s">
        <v>11</v>
      </c>
      <c r="B118" s="9">
        <v>45747</v>
      </c>
      <c r="C118" s="8" t="s">
        <v>313</v>
      </c>
      <c r="D118" s="8" t="s">
        <v>314</v>
      </c>
      <c r="E118" s="8" t="s">
        <v>315</v>
      </c>
      <c r="F118" s="10">
        <v>85015</v>
      </c>
      <c r="G118" s="11">
        <v>12.17</v>
      </c>
      <c r="H118" s="11">
        <v>1034632.55</v>
      </c>
    </row>
    <row r="119" spans="1:8" x14ac:dyDescent="0.2">
      <c r="A119" s="8" t="s">
        <v>11</v>
      </c>
      <c r="B119" s="9">
        <v>45747</v>
      </c>
      <c r="C119" s="8" t="s">
        <v>322</v>
      </c>
      <c r="D119" s="8" t="s">
        <v>323</v>
      </c>
      <c r="E119" s="8" t="s">
        <v>324</v>
      </c>
      <c r="F119" s="10">
        <v>4430</v>
      </c>
      <c r="G119" s="11">
        <v>73.22</v>
      </c>
      <c r="H119" s="11">
        <v>324364.59999999998</v>
      </c>
    </row>
    <row r="120" spans="1:8" x14ac:dyDescent="0.2">
      <c r="A120" s="8" t="s">
        <v>11</v>
      </c>
      <c r="B120" s="9">
        <v>45747</v>
      </c>
      <c r="C120" s="8" t="s">
        <v>325</v>
      </c>
      <c r="D120" s="8" t="s">
        <v>326</v>
      </c>
      <c r="E120" s="8" t="s">
        <v>327</v>
      </c>
      <c r="F120" s="10">
        <v>23204</v>
      </c>
      <c r="G120" s="11">
        <v>42.72</v>
      </c>
      <c r="H120" s="11">
        <v>991274.88</v>
      </c>
    </row>
    <row r="121" spans="1:8" x14ac:dyDescent="0.2">
      <c r="A121" s="8" t="s">
        <v>11</v>
      </c>
      <c r="B121" s="9">
        <v>45747</v>
      </c>
      <c r="C121" s="8" t="s">
        <v>328</v>
      </c>
      <c r="D121" s="8" t="s">
        <v>329</v>
      </c>
      <c r="E121" s="8" t="s">
        <v>330</v>
      </c>
      <c r="F121" s="10">
        <v>7494</v>
      </c>
      <c r="G121" s="11">
        <v>41.3</v>
      </c>
      <c r="H121" s="11">
        <v>309502.2</v>
      </c>
    </row>
    <row r="122" spans="1:8" x14ac:dyDescent="0.2">
      <c r="A122" s="8" t="s">
        <v>11</v>
      </c>
      <c r="B122" s="9">
        <v>45747</v>
      </c>
      <c r="C122" s="8" t="s">
        <v>331</v>
      </c>
      <c r="D122" s="8" t="s">
        <v>332</v>
      </c>
      <c r="E122" s="8" t="s">
        <v>333</v>
      </c>
      <c r="F122" s="10">
        <v>13735</v>
      </c>
      <c r="G122" s="11">
        <v>40.020000000000003</v>
      </c>
      <c r="H122" s="11">
        <v>549674.69999999995</v>
      </c>
    </row>
    <row r="123" spans="1:8" x14ac:dyDescent="0.2">
      <c r="A123" s="8" t="s">
        <v>11</v>
      </c>
      <c r="B123" s="9">
        <v>45747</v>
      </c>
      <c r="C123" s="8" t="s">
        <v>334</v>
      </c>
      <c r="D123" s="8" t="s">
        <v>335</v>
      </c>
      <c r="E123" s="8" t="s">
        <v>336</v>
      </c>
      <c r="F123" s="10">
        <v>3505</v>
      </c>
      <c r="G123" s="11">
        <v>15.25</v>
      </c>
      <c r="H123" s="11">
        <v>53451.25</v>
      </c>
    </row>
    <row r="124" spans="1:8" x14ac:dyDescent="0.2">
      <c r="A124" s="8" t="s">
        <v>11</v>
      </c>
      <c r="B124" s="9">
        <v>45747</v>
      </c>
      <c r="C124" s="8" t="s">
        <v>343</v>
      </c>
      <c r="D124" s="8" t="s">
        <v>344</v>
      </c>
      <c r="E124" s="8" t="s">
        <v>345</v>
      </c>
      <c r="F124" s="10">
        <v>37989</v>
      </c>
      <c r="G124" s="11">
        <v>21.36</v>
      </c>
      <c r="H124" s="11">
        <v>811445.04</v>
      </c>
    </row>
    <row r="125" spans="1:8" x14ac:dyDescent="0.2">
      <c r="A125" s="8" t="s">
        <v>11</v>
      </c>
      <c r="B125" s="9">
        <v>45747</v>
      </c>
      <c r="C125" s="8" t="s">
        <v>466</v>
      </c>
      <c r="D125" s="8" t="s">
        <v>467</v>
      </c>
      <c r="E125" s="8" t="s">
        <v>468</v>
      </c>
      <c r="F125" s="10">
        <v>24624</v>
      </c>
      <c r="G125" s="11">
        <v>10.3</v>
      </c>
      <c r="H125" s="11">
        <v>253627.2</v>
      </c>
    </row>
    <row r="126" spans="1:8" x14ac:dyDescent="0.2">
      <c r="A126" s="8" t="s">
        <v>11</v>
      </c>
      <c r="B126" s="9">
        <v>45747</v>
      </c>
      <c r="C126" s="8" t="s">
        <v>349</v>
      </c>
      <c r="D126" s="8" t="s">
        <v>350</v>
      </c>
      <c r="E126" s="8" t="s">
        <v>351</v>
      </c>
      <c r="F126" s="10">
        <v>96397</v>
      </c>
      <c r="G126" s="11">
        <v>7.37</v>
      </c>
      <c r="H126" s="11">
        <v>710445.89</v>
      </c>
    </row>
    <row r="127" spans="1:8" x14ac:dyDescent="0.2">
      <c r="A127" s="8" t="s">
        <v>11</v>
      </c>
      <c r="B127" s="9">
        <v>45747</v>
      </c>
      <c r="C127" s="8" t="s">
        <v>346</v>
      </c>
      <c r="D127" s="8" t="s">
        <v>347</v>
      </c>
      <c r="E127" s="8" t="s">
        <v>348</v>
      </c>
      <c r="F127" s="10">
        <v>2443</v>
      </c>
      <c r="G127" s="11">
        <v>20.76</v>
      </c>
      <c r="H127" s="11">
        <v>50716.68</v>
      </c>
    </row>
    <row r="128" spans="1:8" x14ac:dyDescent="0.2">
      <c r="A128" s="8" t="s">
        <v>11</v>
      </c>
      <c r="B128" s="9">
        <v>45747</v>
      </c>
      <c r="C128" s="8" t="s">
        <v>85</v>
      </c>
      <c r="D128" s="8" t="s">
        <v>86</v>
      </c>
      <c r="E128" s="8" t="s">
        <v>87</v>
      </c>
      <c r="F128" s="10">
        <v>3981</v>
      </c>
      <c r="G128" s="11">
        <v>29.17</v>
      </c>
      <c r="H128" s="11">
        <v>116125.77</v>
      </c>
    </row>
    <row r="129" spans="1:8" x14ac:dyDescent="0.2">
      <c r="A129" s="8" t="s">
        <v>11</v>
      </c>
      <c r="B129" s="9">
        <v>45747</v>
      </c>
      <c r="C129" s="8" t="s">
        <v>337</v>
      </c>
      <c r="D129" s="8" t="s">
        <v>338</v>
      </c>
      <c r="E129" s="8" t="s">
        <v>339</v>
      </c>
      <c r="F129" s="10">
        <v>11427</v>
      </c>
      <c r="G129" s="11">
        <v>25.15</v>
      </c>
      <c r="H129" s="11">
        <v>287389.05</v>
      </c>
    </row>
    <row r="130" spans="1:8" x14ac:dyDescent="0.2">
      <c r="A130" s="8" t="s">
        <v>11</v>
      </c>
      <c r="B130" s="9">
        <v>45747</v>
      </c>
      <c r="C130" s="8" t="s">
        <v>355</v>
      </c>
      <c r="D130" s="8" t="s">
        <v>356</v>
      </c>
      <c r="E130" s="8" t="s">
        <v>357</v>
      </c>
      <c r="F130" s="10">
        <v>17011</v>
      </c>
      <c r="G130" s="11">
        <v>57.41</v>
      </c>
      <c r="H130" s="11">
        <v>976601.51</v>
      </c>
    </row>
    <row r="131" spans="1:8" x14ac:dyDescent="0.2">
      <c r="A131" s="8" t="s">
        <v>11</v>
      </c>
      <c r="B131" s="9">
        <v>45747</v>
      </c>
      <c r="C131" s="8" t="s">
        <v>340</v>
      </c>
      <c r="D131" s="8" t="s">
        <v>341</v>
      </c>
      <c r="E131" s="8" t="s">
        <v>342</v>
      </c>
      <c r="F131" s="10">
        <v>78523</v>
      </c>
      <c r="G131" s="11">
        <v>10.07</v>
      </c>
      <c r="H131" s="11">
        <v>790726.61</v>
      </c>
    </row>
    <row r="132" spans="1:8" x14ac:dyDescent="0.2">
      <c r="A132" s="8" t="s">
        <v>11</v>
      </c>
      <c r="B132" s="9">
        <v>45747</v>
      </c>
      <c r="C132" s="8" t="s">
        <v>358</v>
      </c>
      <c r="D132" s="8" t="s">
        <v>359</v>
      </c>
      <c r="E132" s="8" t="s">
        <v>360</v>
      </c>
      <c r="F132" s="10">
        <v>27348</v>
      </c>
      <c r="G132" s="11">
        <v>19.03</v>
      </c>
      <c r="H132" s="11">
        <v>520432.44</v>
      </c>
    </row>
    <row r="133" spans="1:8" x14ac:dyDescent="0.2">
      <c r="A133" s="8" t="s">
        <v>11</v>
      </c>
      <c r="B133" s="9">
        <v>45747</v>
      </c>
      <c r="C133" s="8" t="s">
        <v>361</v>
      </c>
      <c r="D133" s="8" t="s">
        <v>362</v>
      </c>
      <c r="E133" s="8" t="s">
        <v>363</v>
      </c>
      <c r="F133" s="10">
        <v>5860</v>
      </c>
      <c r="G133" s="11">
        <v>71.319999999999993</v>
      </c>
      <c r="H133" s="11">
        <v>417935.2</v>
      </c>
    </row>
    <row r="134" spans="1:8" x14ac:dyDescent="0.2">
      <c r="A134" s="8" t="s">
        <v>11</v>
      </c>
      <c r="B134" s="9">
        <v>45747</v>
      </c>
      <c r="C134" s="8" t="s">
        <v>367</v>
      </c>
      <c r="D134" s="8" t="s">
        <v>368</v>
      </c>
      <c r="E134" s="8" t="s">
        <v>369</v>
      </c>
      <c r="F134" s="10">
        <v>26678</v>
      </c>
      <c r="G134" s="11">
        <v>17.84</v>
      </c>
      <c r="H134" s="11">
        <v>475935.52</v>
      </c>
    </row>
    <row r="135" spans="1:8" x14ac:dyDescent="0.2">
      <c r="A135" s="8" t="s">
        <v>11</v>
      </c>
      <c r="B135" s="9">
        <v>45747</v>
      </c>
      <c r="C135" s="8" t="s">
        <v>364</v>
      </c>
      <c r="D135" s="8" t="s">
        <v>365</v>
      </c>
      <c r="E135" s="8" t="s">
        <v>366</v>
      </c>
      <c r="F135" s="10">
        <v>9902</v>
      </c>
      <c r="G135" s="11">
        <v>80.010000000000005</v>
      </c>
      <c r="H135" s="11">
        <v>792259.02</v>
      </c>
    </row>
    <row r="136" spans="1:8" x14ac:dyDescent="0.2">
      <c r="A136" s="8" t="s">
        <v>11</v>
      </c>
      <c r="B136" s="9">
        <v>45747</v>
      </c>
      <c r="C136" s="8" t="s">
        <v>385</v>
      </c>
      <c r="D136" s="8" t="s">
        <v>386</v>
      </c>
      <c r="E136" s="8" t="s">
        <v>387</v>
      </c>
      <c r="F136" s="10">
        <v>10506</v>
      </c>
      <c r="G136" s="11">
        <v>17.37</v>
      </c>
      <c r="H136" s="11">
        <v>182489.22</v>
      </c>
    </row>
    <row r="137" spans="1:8" x14ac:dyDescent="0.2">
      <c r="A137" s="8" t="s">
        <v>11</v>
      </c>
      <c r="B137" s="9">
        <v>45747</v>
      </c>
      <c r="C137" s="8" t="s">
        <v>379</v>
      </c>
      <c r="D137" s="8" t="s">
        <v>380</v>
      </c>
      <c r="E137" s="8" t="s">
        <v>381</v>
      </c>
      <c r="F137" s="10">
        <v>14674</v>
      </c>
      <c r="G137" s="11">
        <v>29.17</v>
      </c>
      <c r="H137" s="11">
        <v>428040.58</v>
      </c>
    </row>
    <row r="138" spans="1:8" x14ac:dyDescent="0.2">
      <c r="A138" s="8" t="s">
        <v>11</v>
      </c>
      <c r="B138" s="9">
        <v>45747</v>
      </c>
      <c r="C138" s="8" t="s">
        <v>394</v>
      </c>
      <c r="D138" s="8" t="s">
        <v>395</v>
      </c>
      <c r="E138" s="8" t="s">
        <v>396</v>
      </c>
      <c r="F138" s="10">
        <v>7707</v>
      </c>
      <c r="G138" s="11">
        <v>91.44</v>
      </c>
      <c r="H138" s="11">
        <v>704728.08</v>
      </c>
    </row>
    <row r="139" spans="1:8" x14ac:dyDescent="0.2">
      <c r="A139" s="8" t="s">
        <v>11</v>
      </c>
      <c r="B139" s="9">
        <v>45747</v>
      </c>
      <c r="C139" s="8" t="s">
        <v>373</v>
      </c>
      <c r="D139" s="8" t="s">
        <v>374</v>
      </c>
      <c r="E139" s="8" t="s">
        <v>375</v>
      </c>
      <c r="F139" s="10">
        <v>5005</v>
      </c>
      <c r="G139" s="11">
        <v>51.774999999999999</v>
      </c>
      <c r="H139" s="11">
        <v>259133.88</v>
      </c>
    </row>
    <row r="140" spans="1:8" x14ac:dyDescent="0.2">
      <c r="A140" s="8" t="s">
        <v>11</v>
      </c>
      <c r="B140" s="9">
        <v>45747</v>
      </c>
      <c r="C140" s="8" t="s">
        <v>370</v>
      </c>
      <c r="D140" s="8" t="s">
        <v>371</v>
      </c>
      <c r="E140" s="8" t="s">
        <v>372</v>
      </c>
      <c r="F140" s="10">
        <v>8973</v>
      </c>
      <c r="G140" s="11">
        <v>16.649999999999999</v>
      </c>
      <c r="H140" s="11">
        <v>149400.45000000001</v>
      </c>
    </row>
    <row r="141" spans="1:8" x14ac:dyDescent="0.2">
      <c r="A141" s="8" t="s">
        <v>11</v>
      </c>
      <c r="B141" s="9">
        <v>45747</v>
      </c>
      <c r="C141" s="8" t="s">
        <v>382</v>
      </c>
      <c r="D141" s="8" t="s">
        <v>383</v>
      </c>
      <c r="E141" s="8" t="s">
        <v>384</v>
      </c>
      <c r="F141" s="10">
        <v>27126</v>
      </c>
      <c r="G141" s="11">
        <v>24.76</v>
      </c>
      <c r="H141" s="11">
        <v>671639.76</v>
      </c>
    </row>
    <row r="142" spans="1:8" x14ac:dyDescent="0.2">
      <c r="A142" s="8" t="s">
        <v>11</v>
      </c>
      <c r="B142" s="9">
        <v>45747</v>
      </c>
      <c r="C142" s="8" t="s">
        <v>388</v>
      </c>
      <c r="D142" s="8" t="s">
        <v>389</v>
      </c>
      <c r="E142" s="8" t="s">
        <v>390</v>
      </c>
      <c r="F142" s="10">
        <v>2332</v>
      </c>
      <c r="G142" s="11">
        <v>56.52</v>
      </c>
      <c r="H142" s="11">
        <v>131804.64000000001</v>
      </c>
    </row>
    <row r="143" spans="1:8" x14ac:dyDescent="0.2">
      <c r="A143" s="8" t="s">
        <v>11</v>
      </c>
      <c r="B143" s="9">
        <v>45747</v>
      </c>
      <c r="C143" s="8" t="s">
        <v>391</v>
      </c>
      <c r="D143" s="8" t="s">
        <v>392</v>
      </c>
      <c r="E143" s="8" t="s">
        <v>393</v>
      </c>
      <c r="F143" s="10">
        <v>8393</v>
      </c>
      <c r="G143" s="11">
        <v>25.25</v>
      </c>
      <c r="H143" s="11">
        <v>211923.25</v>
      </c>
    </row>
    <row r="144" spans="1:8" x14ac:dyDescent="0.2">
      <c r="A144" s="8" t="s">
        <v>11</v>
      </c>
      <c r="B144" s="9">
        <v>45747</v>
      </c>
      <c r="C144" s="8" t="s">
        <v>376</v>
      </c>
      <c r="D144" s="8" t="s">
        <v>377</v>
      </c>
      <c r="E144" s="8" t="s">
        <v>378</v>
      </c>
      <c r="F144" s="10">
        <v>16519</v>
      </c>
      <c r="G144" s="11">
        <v>5.75</v>
      </c>
      <c r="H144" s="11">
        <v>94984.25</v>
      </c>
    </row>
    <row r="145" spans="1:8" x14ac:dyDescent="0.2">
      <c r="A145" s="8" t="s">
        <v>11</v>
      </c>
      <c r="B145" s="9">
        <v>45747</v>
      </c>
      <c r="C145" s="8" t="s">
        <v>406</v>
      </c>
      <c r="D145" s="8" t="s">
        <v>407</v>
      </c>
      <c r="E145" s="8" t="s">
        <v>408</v>
      </c>
      <c r="F145" s="10">
        <v>4716</v>
      </c>
      <c r="G145" s="11">
        <v>9.33</v>
      </c>
      <c r="H145" s="11">
        <v>44000.28</v>
      </c>
    </row>
    <row r="146" spans="1:8" x14ac:dyDescent="0.2">
      <c r="A146" s="8" t="s">
        <v>11</v>
      </c>
      <c r="B146" s="9">
        <v>45747</v>
      </c>
      <c r="C146" s="8" t="s">
        <v>427</v>
      </c>
      <c r="D146" s="8" t="s">
        <v>428</v>
      </c>
      <c r="E146" s="8" t="s">
        <v>429</v>
      </c>
      <c r="F146" s="10">
        <v>7770</v>
      </c>
      <c r="G146" s="11">
        <v>152.63999999999999</v>
      </c>
      <c r="H146" s="11">
        <v>1186012.8</v>
      </c>
    </row>
    <row r="147" spans="1:8" x14ac:dyDescent="0.2">
      <c r="A147" s="8" t="s">
        <v>11</v>
      </c>
      <c r="B147" s="9">
        <v>45747</v>
      </c>
      <c r="C147" s="8" t="s">
        <v>415</v>
      </c>
      <c r="D147" s="8" t="s">
        <v>416</v>
      </c>
      <c r="E147" s="8" t="s">
        <v>417</v>
      </c>
      <c r="F147" s="10">
        <v>26262</v>
      </c>
      <c r="G147" s="11">
        <v>52.92</v>
      </c>
      <c r="H147" s="11">
        <v>1389785.04</v>
      </c>
    </row>
    <row r="148" spans="1:8" x14ac:dyDescent="0.2">
      <c r="A148" s="8" t="s">
        <v>11</v>
      </c>
      <c r="B148" s="9">
        <v>45747</v>
      </c>
      <c r="C148" s="8" t="s">
        <v>412</v>
      </c>
      <c r="D148" s="8" t="s">
        <v>413</v>
      </c>
      <c r="E148" s="8" t="s">
        <v>414</v>
      </c>
      <c r="F148" s="10">
        <v>9690</v>
      </c>
      <c r="G148" s="11">
        <v>87.37</v>
      </c>
      <c r="H148" s="11">
        <v>846615.3</v>
      </c>
    </row>
    <row r="149" spans="1:8" x14ac:dyDescent="0.2">
      <c r="A149" s="8" t="s">
        <v>11</v>
      </c>
      <c r="B149" s="9">
        <v>45747</v>
      </c>
      <c r="C149" s="8" t="s">
        <v>397</v>
      </c>
      <c r="D149" s="8" t="s">
        <v>398</v>
      </c>
      <c r="E149" s="8" t="s">
        <v>399</v>
      </c>
      <c r="F149" s="10">
        <v>21799</v>
      </c>
      <c r="G149" s="11">
        <v>29.95</v>
      </c>
      <c r="H149" s="11">
        <v>652880.05000000005</v>
      </c>
    </row>
    <row r="150" spans="1:8" x14ac:dyDescent="0.2">
      <c r="A150" s="8" t="s">
        <v>11</v>
      </c>
      <c r="B150" s="9">
        <v>45747</v>
      </c>
      <c r="C150" s="8" t="s">
        <v>418</v>
      </c>
      <c r="D150" s="8" t="s">
        <v>419</v>
      </c>
      <c r="E150" s="8" t="s">
        <v>420</v>
      </c>
      <c r="F150" s="10">
        <v>4517</v>
      </c>
      <c r="G150" s="11">
        <v>31.08</v>
      </c>
      <c r="H150" s="11">
        <v>140388.35999999999</v>
      </c>
    </row>
    <row r="151" spans="1:8" x14ac:dyDescent="0.2">
      <c r="A151" s="8" t="s">
        <v>11</v>
      </c>
      <c r="B151" s="9">
        <v>45747</v>
      </c>
      <c r="C151" s="8" t="s">
        <v>400</v>
      </c>
      <c r="D151" s="8" t="s">
        <v>401</v>
      </c>
      <c r="E151" s="8" t="s">
        <v>402</v>
      </c>
      <c r="F151" s="10">
        <v>6291</v>
      </c>
      <c r="G151" s="11">
        <v>54.89</v>
      </c>
      <c r="H151" s="11">
        <v>345312.99</v>
      </c>
    </row>
    <row r="152" spans="1:8" x14ac:dyDescent="0.2">
      <c r="A152" s="8" t="s">
        <v>11</v>
      </c>
      <c r="B152" s="9">
        <v>45747</v>
      </c>
      <c r="C152" s="8" t="s">
        <v>433</v>
      </c>
      <c r="D152" s="8" t="s">
        <v>434</v>
      </c>
      <c r="E152" s="8" t="s">
        <v>435</v>
      </c>
      <c r="F152" s="10">
        <v>24532</v>
      </c>
      <c r="G152" s="11">
        <v>46.74</v>
      </c>
      <c r="H152" s="11">
        <v>1146625.68</v>
      </c>
    </row>
    <row r="153" spans="1:8" x14ac:dyDescent="0.2">
      <c r="A153" s="8" t="s">
        <v>11</v>
      </c>
      <c r="B153" s="9">
        <v>45747</v>
      </c>
      <c r="C153" s="8" t="s">
        <v>421</v>
      </c>
      <c r="D153" s="8" t="s">
        <v>422</v>
      </c>
      <c r="E153" s="8" t="s">
        <v>423</v>
      </c>
      <c r="F153" s="10">
        <v>7035</v>
      </c>
      <c r="G153" s="11">
        <v>33.119999999999997</v>
      </c>
      <c r="H153" s="11">
        <v>232999.2</v>
      </c>
    </row>
    <row r="154" spans="1:8" x14ac:dyDescent="0.2">
      <c r="A154" s="8" t="s">
        <v>11</v>
      </c>
      <c r="B154" s="9">
        <v>45747</v>
      </c>
      <c r="C154" s="8" t="s">
        <v>409</v>
      </c>
      <c r="D154" s="8" t="s">
        <v>410</v>
      </c>
      <c r="E154" s="8" t="s">
        <v>411</v>
      </c>
      <c r="F154" s="10">
        <v>12487</v>
      </c>
      <c r="G154" s="11">
        <v>19.87</v>
      </c>
      <c r="H154" s="11">
        <v>248116.69</v>
      </c>
    </row>
    <row r="155" spans="1:8" x14ac:dyDescent="0.2">
      <c r="A155" s="8" t="s">
        <v>11</v>
      </c>
      <c r="B155" s="9">
        <v>45747</v>
      </c>
      <c r="C155" s="8" t="s">
        <v>430</v>
      </c>
      <c r="D155" s="8" t="s">
        <v>431</v>
      </c>
      <c r="E155" s="8" t="s">
        <v>432</v>
      </c>
      <c r="F155" s="10">
        <v>8416</v>
      </c>
      <c r="G155" s="11">
        <v>113.21</v>
      </c>
      <c r="H155" s="11">
        <v>952775.36</v>
      </c>
    </row>
    <row r="156" spans="1:8" x14ac:dyDescent="0.2">
      <c r="A156" s="8" t="s">
        <v>11</v>
      </c>
      <c r="B156" s="9">
        <v>45747</v>
      </c>
      <c r="C156" s="8" t="s">
        <v>424</v>
      </c>
      <c r="D156" s="8" t="s">
        <v>425</v>
      </c>
      <c r="E156" s="8" t="s">
        <v>426</v>
      </c>
      <c r="F156" s="10">
        <v>8644</v>
      </c>
      <c r="G156" s="11">
        <v>71.8</v>
      </c>
      <c r="H156" s="11">
        <v>620639.19999999995</v>
      </c>
    </row>
    <row r="157" spans="1:8" x14ac:dyDescent="0.2">
      <c r="A157" s="8" t="s">
        <v>11</v>
      </c>
      <c r="B157" s="9">
        <v>45747</v>
      </c>
      <c r="C157" s="8" t="s">
        <v>439</v>
      </c>
      <c r="D157" s="8" t="s">
        <v>440</v>
      </c>
      <c r="E157" s="8" t="s">
        <v>441</v>
      </c>
      <c r="F157" s="10">
        <v>163715</v>
      </c>
      <c r="G157" s="11">
        <v>2.56</v>
      </c>
      <c r="H157" s="11">
        <v>419110.40000000002</v>
      </c>
    </row>
    <row r="158" spans="1:8" x14ac:dyDescent="0.2">
      <c r="A158" s="8" t="s">
        <v>11</v>
      </c>
      <c r="B158" s="9">
        <v>45747</v>
      </c>
      <c r="C158" s="8" t="s">
        <v>448</v>
      </c>
      <c r="D158" s="8" t="s">
        <v>449</v>
      </c>
      <c r="E158" s="8" t="s">
        <v>450</v>
      </c>
      <c r="F158" s="10">
        <v>15045</v>
      </c>
      <c r="G158" s="11">
        <v>74.7</v>
      </c>
      <c r="H158" s="11">
        <v>1123861.5</v>
      </c>
    </row>
    <row r="159" spans="1:8" x14ac:dyDescent="0.2">
      <c r="A159" s="8" t="s">
        <v>11</v>
      </c>
      <c r="B159" s="9">
        <v>45747</v>
      </c>
      <c r="C159" s="8" t="s">
        <v>451</v>
      </c>
      <c r="D159" s="8" t="s">
        <v>452</v>
      </c>
      <c r="E159" s="8" t="s">
        <v>453</v>
      </c>
      <c r="F159" s="10">
        <v>6512</v>
      </c>
      <c r="G159" s="11">
        <v>33.369999999999997</v>
      </c>
      <c r="H159" s="11">
        <v>217305.44</v>
      </c>
    </row>
    <row r="160" spans="1:8" x14ac:dyDescent="0.2">
      <c r="A160" s="8" t="s">
        <v>11</v>
      </c>
      <c r="B160" s="9">
        <v>45747</v>
      </c>
      <c r="C160" s="8" t="s">
        <v>442</v>
      </c>
      <c r="D160" s="8" t="s">
        <v>443</v>
      </c>
      <c r="E160" s="8" t="s">
        <v>444</v>
      </c>
      <c r="F160" s="10">
        <v>21010</v>
      </c>
      <c r="G160" s="11">
        <v>38.74</v>
      </c>
      <c r="H160" s="11">
        <v>813927.4</v>
      </c>
    </row>
    <row r="161" spans="1:8" x14ac:dyDescent="0.2">
      <c r="A161" s="8" t="s">
        <v>11</v>
      </c>
      <c r="B161" s="9">
        <v>45747</v>
      </c>
      <c r="C161" s="8" t="s">
        <v>445</v>
      </c>
      <c r="D161" s="8" t="s">
        <v>446</v>
      </c>
      <c r="E161" s="8" t="s">
        <v>447</v>
      </c>
      <c r="F161" s="10">
        <v>29183</v>
      </c>
      <c r="G161" s="11">
        <v>34.979999999999997</v>
      </c>
      <c r="H161" s="11">
        <v>1020821.34</v>
      </c>
    </row>
    <row r="162" spans="1:8" x14ac:dyDescent="0.2">
      <c r="A162" s="8" t="s">
        <v>11</v>
      </c>
      <c r="B162" s="9">
        <v>45747</v>
      </c>
      <c r="C162" s="8" t="s">
        <v>226</v>
      </c>
      <c r="D162" s="8" t="s">
        <v>227</v>
      </c>
      <c r="E162" s="8" t="s">
        <v>228</v>
      </c>
      <c r="F162" s="10">
        <v>47088</v>
      </c>
      <c r="G162" s="11">
        <v>19.84</v>
      </c>
      <c r="H162" s="11">
        <v>934225.92000000004</v>
      </c>
    </row>
    <row r="163" spans="1:8" x14ac:dyDescent="0.2">
      <c r="A163" s="8" t="s">
        <v>11</v>
      </c>
      <c r="B163" s="9">
        <v>45747</v>
      </c>
      <c r="C163" s="8" t="s">
        <v>532</v>
      </c>
      <c r="D163" s="8" t="s">
        <v>533</v>
      </c>
      <c r="E163" s="8" t="s">
        <v>534</v>
      </c>
      <c r="F163" s="10">
        <v>114133</v>
      </c>
      <c r="G163" s="11">
        <v>6.57</v>
      </c>
      <c r="H163" s="11">
        <v>749853.81</v>
      </c>
    </row>
    <row r="164" spans="1:8" x14ac:dyDescent="0.2">
      <c r="A164" s="8" t="s">
        <v>11</v>
      </c>
      <c r="B164" s="9">
        <v>45747</v>
      </c>
      <c r="C164" s="8" t="s">
        <v>535</v>
      </c>
      <c r="D164" s="8" t="s">
        <v>536</v>
      </c>
      <c r="E164" s="8" t="s">
        <v>537</v>
      </c>
      <c r="F164" s="10">
        <v>15123</v>
      </c>
      <c r="G164" s="11">
        <v>38.270000000000003</v>
      </c>
      <c r="H164" s="11">
        <v>578757.21</v>
      </c>
    </row>
    <row r="165" spans="1:8" x14ac:dyDescent="0.2">
      <c r="A165" s="8" t="s">
        <v>11</v>
      </c>
      <c r="B165" s="9">
        <v>45747</v>
      </c>
      <c r="C165" s="8" t="s">
        <v>436</v>
      </c>
      <c r="D165" s="8" t="s">
        <v>437</v>
      </c>
      <c r="E165" s="8" t="s">
        <v>438</v>
      </c>
      <c r="F165" s="10">
        <v>27566</v>
      </c>
      <c r="G165" s="11">
        <v>31.92</v>
      </c>
      <c r="H165" s="11">
        <v>879906.72</v>
      </c>
    </row>
    <row r="166" spans="1:8" x14ac:dyDescent="0.2">
      <c r="A166" s="8" t="s">
        <v>11</v>
      </c>
      <c r="B166" s="9">
        <v>45747</v>
      </c>
      <c r="C166" s="8" t="s">
        <v>457</v>
      </c>
      <c r="D166" s="8" t="s">
        <v>458</v>
      </c>
      <c r="E166" s="8" t="s">
        <v>459</v>
      </c>
      <c r="F166" s="10">
        <v>993</v>
      </c>
      <c r="G166" s="11">
        <v>201.71</v>
      </c>
      <c r="H166" s="11">
        <v>200298.03</v>
      </c>
    </row>
    <row r="167" spans="1:8" x14ac:dyDescent="0.2">
      <c r="A167" s="8" t="s">
        <v>11</v>
      </c>
      <c r="B167" s="9">
        <v>45747</v>
      </c>
      <c r="C167" s="8" t="s">
        <v>469</v>
      </c>
      <c r="D167" s="8" t="s">
        <v>470</v>
      </c>
      <c r="E167" s="8" t="s">
        <v>471</v>
      </c>
      <c r="F167" s="10">
        <v>59978</v>
      </c>
      <c r="G167" s="11">
        <v>4.59</v>
      </c>
      <c r="H167" s="11">
        <v>275299.02</v>
      </c>
    </row>
    <row r="168" spans="1:8" x14ac:dyDescent="0.2">
      <c r="A168" s="8" t="s">
        <v>11</v>
      </c>
      <c r="B168" s="9">
        <v>45747</v>
      </c>
      <c r="C168" s="8" t="s">
        <v>460</v>
      </c>
      <c r="D168" s="8" t="s">
        <v>461</v>
      </c>
      <c r="E168" s="8" t="s">
        <v>462</v>
      </c>
      <c r="F168" s="10">
        <v>17255</v>
      </c>
      <c r="G168" s="11">
        <v>18.7</v>
      </c>
      <c r="H168" s="11">
        <v>322668.5</v>
      </c>
    </row>
    <row r="169" spans="1:8" x14ac:dyDescent="0.2">
      <c r="A169" s="8" t="s">
        <v>11</v>
      </c>
      <c r="B169" s="9">
        <v>45747</v>
      </c>
      <c r="C169" s="8" t="s">
        <v>463</v>
      </c>
      <c r="D169" s="8" t="s">
        <v>464</v>
      </c>
      <c r="E169" s="8" t="s">
        <v>465</v>
      </c>
      <c r="F169" s="10">
        <v>3409</v>
      </c>
      <c r="G169" s="11">
        <v>26.97</v>
      </c>
      <c r="H169" s="11">
        <v>91940.73</v>
      </c>
    </row>
    <row r="170" spans="1:8" x14ac:dyDescent="0.2">
      <c r="A170" s="8" t="s">
        <v>11</v>
      </c>
      <c r="B170" s="9">
        <v>45747</v>
      </c>
      <c r="C170" s="8" t="s">
        <v>472</v>
      </c>
      <c r="D170" s="8" t="s">
        <v>473</v>
      </c>
      <c r="E170" s="8" t="s">
        <v>474</v>
      </c>
      <c r="F170" s="10">
        <v>2628</v>
      </c>
      <c r="G170" s="11">
        <v>56.04</v>
      </c>
      <c r="H170" s="11">
        <v>147273.12</v>
      </c>
    </row>
    <row r="171" spans="1:8" x14ac:dyDescent="0.2">
      <c r="A171" s="8" t="s">
        <v>11</v>
      </c>
      <c r="B171" s="9">
        <v>45747</v>
      </c>
      <c r="C171" s="8" t="s">
        <v>481</v>
      </c>
      <c r="D171" s="8" t="s">
        <v>482</v>
      </c>
      <c r="E171" s="8" t="s">
        <v>483</v>
      </c>
      <c r="F171" s="10">
        <v>11663</v>
      </c>
      <c r="G171" s="11">
        <v>44.62</v>
      </c>
      <c r="H171" s="11">
        <v>520403.06</v>
      </c>
    </row>
    <row r="172" spans="1:8" x14ac:dyDescent="0.2">
      <c r="A172" s="8" t="s">
        <v>11</v>
      </c>
      <c r="B172" s="9">
        <v>45747</v>
      </c>
      <c r="C172" s="8" t="s">
        <v>493</v>
      </c>
      <c r="D172" s="8" t="s">
        <v>494</v>
      </c>
      <c r="E172" s="8" t="s">
        <v>495</v>
      </c>
      <c r="F172" s="10">
        <v>4052</v>
      </c>
      <c r="G172" s="11">
        <v>9.4600000000000009</v>
      </c>
      <c r="H172" s="11">
        <v>38331.919999999998</v>
      </c>
    </row>
    <row r="173" spans="1:8" x14ac:dyDescent="0.2">
      <c r="A173" s="8" t="s">
        <v>11</v>
      </c>
      <c r="B173" s="9">
        <v>45747</v>
      </c>
      <c r="C173" s="8" t="s">
        <v>490</v>
      </c>
      <c r="D173" s="8" t="s">
        <v>491</v>
      </c>
      <c r="E173" s="8" t="s">
        <v>492</v>
      </c>
      <c r="F173" s="10">
        <v>1966</v>
      </c>
      <c r="G173" s="11">
        <v>38.01</v>
      </c>
      <c r="H173" s="11">
        <v>74727.66</v>
      </c>
    </row>
    <row r="174" spans="1:8" x14ac:dyDescent="0.2">
      <c r="A174" s="8" t="s">
        <v>11</v>
      </c>
      <c r="B174" s="9">
        <v>45747</v>
      </c>
      <c r="C174" s="8" t="s">
        <v>487</v>
      </c>
      <c r="D174" s="8" t="s">
        <v>488</v>
      </c>
      <c r="E174" s="8" t="s">
        <v>489</v>
      </c>
      <c r="F174" s="10">
        <v>29862</v>
      </c>
      <c r="G174" s="11">
        <v>7.28</v>
      </c>
      <c r="H174" s="11">
        <v>217395.36</v>
      </c>
    </row>
    <row r="175" spans="1:8" x14ac:dyDescent="0.2">
      <c r="A175" s="8" t="s">
        <v>11</v>
      </c>
      <c r="B175" s="9">
        <v>45747</v>
      </c>
      <c r="C175" s="8" t="s">
        <v>475</v>
      </c>
      <c r="D175" s="8" t="s">
        <v>476</v>
      </c>
      <c r="E175" s="8" t="s">
        <v>477</v>
      </c>
      <c r="F175" s="10">
        <v>3544</v>
      </c>
      <c r="G175" s="11">
        <v>285.37</v>
      </c>
      <c r="H175" s="11">
        <v>1011351.28</v>
      </c>
    </row>
    <row r="176" spans="1:8" x14ac:dyDescent="0.2">
      <c r="A176" s="8" t="s">
        <v>11</v>
      </c>
      <c r="B176" s="9">
        <v>45747</v>
      </c>
      <c r="C176" s="8" t="s">
        <v>496</v>
      </c>
      <c r="D176" s="8" t="s">
        <v>497</v>
      </c>
      <c r="E176" s="8" t="s">
        <v>498</v>
      </c>
      <c r="F176" s="10">
        <v>4218</v>
      </c>
      <c r="G176" s="11">
        <v>45.15</v>
      </c>
      <c r="H176" s="11">
        <v>190442.7</v>
      </c>
    </row>
    <row r="177" spans="1:9" x14ac:dyDescent="0.2">
      <c r="A177" s="8" t="s">
        <v>11</v>
      </c>
      <c r="B177" s="9">
        <v>45747</v>
      </c>
      <c r="C177" s="8" t="s">
        <v>478</v>
      </c>
      <c r="D177" s="8" t="s">
        <v>479</v>
      </c>
      <c r="E177" s="8" t="s">
        <v>480</v>
      </c>
      <c r="F177" s="10">
        <v>18754</v>
      </c>
      <c r="G177" s="11">
        <v>80.650000000000006</v>
      </c>
      <c r="H177" s="11">
        <v>1512510.1</v>
      </c>
    </row>
    <row r="178" spans="1:9" x14ac:dyDescent="0.2">
      <c r="A178" s="8" t="s">
        <v>11</v>
      </c>
      <c r="B178" s="9">
        <v>45747</v>
      </c>
      <c r="C178" s="8" t="s">
        <v>529</v>
      </c>
      <c r="D178" s="8" t="s">
        <v>530</v>
      </c>
      <c r="E178" s="8" t="s">
        <v>531</v>
      </c>
      <c r="F178" s="10">
        <v>1731</v>
      </c>
      <c r="G178" s="11">
        <v>53.55</v>
      </c>
      <c r="H178" s="11">
        <v>92695.05</v>
      </c>
    </row>
    <row r="179" spans="1:9" x14ac:dyDescent="0.2">
      <c r="A179" s="8" t="s">
        <v>11</v>
      </c>
      <c r="B179" s="9">
        <v>45747</v>
      </c>
      <c r="C179" s="8" t="s">
        <v>502</v>
      </c>
      <c r="D179" s="8" t="s">
        <v>503</v>
      </c>
      <c r="E179" s="8" t="s">
        <v>504</v>
      </c>
      <c r="F179" s="10">
        <v>6343</v>
      </c>
      <c r="G179" s="11">
        <v>75.91</v>
      </c>
      <c r="H179" s="11">
        <v>481497.13</v>
      </c>
    </row>
    <row r="180" spans="1:9" x14ac:dyDescent="0.2">
      <c r="A180" s="8" t="s">
        <v>11</v>
      </c>
      <c r="B180" s="9">
        <v>45747</v>
      </c>
      <c r="C180" s="8" t="s">
        <v>499</v>
      </c>
      <c r="D180" s="8" t="s">
        <v>500</v>
      </c>
      <c r="E180" s="8" t="s">
        <v>501</v>
      </c>
      <c r="F180" s="10">
        <v>18451</v>
      </c>
      <c r="G180" s="11">
        <v>40.72</v>
      </c>
      <c r="H180" s="11">
        <v>751324.72</v>
      </c>
    </row>
    <row r="181" spans="1:9" x14ac:dyDescent="0.2">
      <c r="A181" s="8" t="s">
        <v>11</v>
      </c>
      <c r="B181" s="9">
        <v>45747</v>
      </c>
      <c r="C181" s="8" t="s">
        <v>403</v>
      </c>
      <c r="D181" s="8" t="s">
        <v>404</v>
      </c>
      <c r="E181" s="8" t="s">
        <v>405</v>
      </c>
      <c r="F181" s="10">
        <v>13392</v>
      </c>
      <c r="G181" s="11">
        <v>146.01</v>
      </c>
      <c r="H181" s="11">
        <v>1955365.92</v>
      </c>
    </row>
    <row r="182" spans="1:9" x14ac:dyDescent="0.2">
      <c r="A182" s="8" t="s">
        <v>11</v>
      </c>
      <c r="B182" s="9">
        <v>45747</v>
      </c>
      <c r="C182" s="8" t="s">
        <v>505</v>
      </c>
      <c r="D182" s="8" t="s">
        <v>506</v>
      </c>
      <c r="E182" s="8" t="s">
        <v>507</v>
      </c>
      <c r="F182" s="10">
        <v>7446</v>
      </c>
      <c r="G182" s="11">
        <v>66.86</v>
      </c>
      <c r="H182" s="11">
        <v>497839.56</v>
      </c>
      <c r="I182" s="15">
        <f>SUM(H5:H182)</f>
        <v>105065269.78</v>
      </c>
    </row>
    <row r="183" spans="1:9" x14ac:dyDescent="0.2">
      <c r="A183" s="8"/>
      <c r="B183" s="9"/>
      <c r="C183" s="8"/>
      <c r="D183" s="8"/>
      <c r="E183" s="8"/>
      <c r="F183" s="12"/>
      <c r="G183" s="11"/>
      <c r="H183" s="11"/>
    </row>
    <row r="184" spans="1:9" x14ac:dyDescent="0.2">
      <c r="A184" s="8" t="s">
        <v>544</v>
      </c>
      <c r="B184" s="9">
        <v>45747</v>
      </c>
      <c r="C184" s="8" t="s">
        <v>545</v>
      </c>
      <c r="D184" s="8" t="s">
        <v>546</v>
      </c>
      <c r="E184" s="8" t="s">
        <v>547</v>
      </c>
      <c r="F184" s="10">
        <v>310545.12</v>
      </c>
      <c r="G184" s="11">
        <v>1</v>
      </c>
      <c r="H184" s="11">
        <v>310545.12</v>
      </c>
    </row>
    <row r="185" spans="1:9" x14ac:dyDescent="0.2">
      <c r="A185" s="8"/>
      <c r="B185" s="9"/>
      <c r="C185" s="8"/>
      <c r="D185" s="8"/>
      <c r="E185" s="8"/>
      <c r="F185" s="10"/>
      <c r="G185" s="11"/>
      <c r="H185" s="11"/>
    </row>
    <row r="186" spans="1:9" x14ac:dyDescent="0.2">
      <c r="A186" s="8" t="s">
        <v>548</v>
      </c>
      <c r="B186" s="9">
        <v>45747</v>
      </c>
      <c r="C186" s="8" t="s">
        <v>545</v>
      </c>
      <c r="D186" s="8" t="s">
        <v>546</v>
      </c>
      <c r="E186" s="8" t="s">
        <v>547</v>
      </c>
      <c r="F186" s="10">
        <v>511025.06</v>
      </c>
      <c r="G186" s="11">
        <v>1</v>
      </c>
      <c r="H186" s="11">
        <v>511025.06</v>
      </c>
      <c r="I186" s="15">
        <f>SUM(H186:H188)</f>
        <v>513333.58999999997</v>
      </c>
    </row>
    <row r="187" spans="1:9" x14ac:dyDescent="0.2">
      <c r="A187" s="8" t="s">
        <v>548</v>
      </c>
      <c r="B187" s="9">
        <v>45747</v>
      </c>
      <c r="C187" s="8"/>
      <c r="D187" s="8"/>
      <c r="E187" s="8" t="s">
        <v>12</v>
      </c>
      <c r="F187" s="12"/>
      <c r="G187" s="11"/>
      <c r="H187" s="11">
        <v>46.36</v>
      </c>
    </row>
    <row r="188" spans="1:9" x14ac:dyDescent="0.2">
      <c r="A188" s="8" t="s">
        <v>885</v>
      </c>
      <c r="B188" s="9">
        <v>45747</v>
      </c>
      <c r="C188" s="8"/>
      <c r="D188" s="8"/>
      <c r="E188" s="8" t="s">
        <v>12</v>
      </c>
      <c r="F188" s="12"/>
      <c r="G188" s="11"/>
      <c r="H188" s="11">
        <v>2262.17</v>
      </c>
    </row>
    <row r="189" spans="1:9" x14ac:dyDescent="0.2">
      <c r="A189" s="8" t="s">
        <v>548</v>
      </c>
      <c r="B189" s="9">
        <v>45747</v>
      </c>
      <c r="C189" s="8" t="s">
        <v>558</v>
      </c>
      <c r="D189" s="8" t="s">
        <v>559</v>
      </c>
      <c r="E189" s="8" t="s">
        <v>560</v>
      </c>
      <c r="F189" s="10">
        <v>32</v>
      </c>
      <c r="G189" s="11">
        <v>209.52</v>
      </c>
      <c r="H189" s="11">
        <v>6704.64</v>
      </c>
    </row>
    <row r="190" spans="1:9" x14ac:dyDescent="0.2">
      <c r="A190" s="8" t="s">
        <v>885</v>
      </c>
      <c r="B190" s="9">
        <v>45747</v>
      </c>
      <c r="C190" s="8" t="s">
        <v>558</v>
      </c>
      <c r="D190" s="8" t="s">
        <v>559</v>
      </c>
      <c r="E190" s="8" t="s">
        <v>560</v>
      </c>
      <c r="F190" s="10">
        <v>1240</v>
      </c>
      <c r="G190" s="11">
        <v>209.52</v>
      </c>
      <c r="H190" s="11">
        <v>259804.79999999999</v>
      </c>
    </row>
    <row r="191" spans="1:9" x14ac:dyDescent="0.2">
      <c r="A191" s="8" t="s">
        <v>548</v>
      </c>
      <c r="B191" s="9">
        <v>45747</v>
      </c>
      <c r="C191" s="8" t="s">
        <v>561</v>
      </c>
      <c r="D191" s="8" t="s">
        <v>562</v>
      </c>
      <c r="E191" s="8" t="s">
        <v>563</v>
      </c>
      <c r="F191" s="10">
        <v>285</v>
      </c>
      <c r="G191" s="11">
        <v>38.24</v>
      </c>
      <c r="H191" s="11">
        <v>10898.4</v>
      </c>
    </row>
    <row r="192" spans="1:9" x14ac:dyDescent="0.2">
      <c r="A192" s="8" t="s">
        <v>885</v>
      </c>
      <c r="B192" s="9">
        <v>45747</v>
      </c>
      <c r="C192" s="8" t="s">
        <v>561</v>
      </c>
      <c r="D192" s="8" t="s">
        <v>562</v>
      </c>
      <c r="E192" s="8" t="s">
        <v>563</v>
      </c>
      <c r="F192" s="10">
        <v>11884</v>
      </c>
      <c r="G192" s="11">
        <v>38.24</v>
      </c>
      <c r="H192" s="11">
        <v>454444.16</v>
      </c>
    </row>
    <row r="193" spans="1:8" x14ac:dyDescent="0.2">
      <c r="A193" s="8" t="s">
        <v>548</v>
      </c>
      <c r="B193" s="9">
        <v>45747</v>
      </c>
      <c r="C193" s="8" t="s">
        <v>564</v>
      </c>
      <c r="D193" s="8" t="s">
        <v>565</v>
      </c>
      <c r="E193" s="8" t="s">
        <v>566</v>
      </c>
      <c r="F193" s="10">
        <v>43</v>
      </c>
      <c r="G193" s="11">
        <v>311.55</v>
      </c>
      <c r="H193" s="11">
        <v>13396.65</v>
      </c>
    </row>
    <row r="194" spans="1:8" x14ac:dyDescent="0.2">
      <c r="A194" s="8" t="s">
        <v>885</v>
      </c>
      <c r="B194" s="9">
        <v>45747</v>
      </c>
      <c r="C194" s="8" t="s">
        <v>564</v>
      </c>
      <c r="D194" s="8" t="s">
        <v>565</v>
      </c>
      <c r="E194" s="8" t="s">
        <v>566</v>
      </c>
      <c r="F194" s="10">
        <v>1749</v>
      </c>
      <c r="G194" s="11">
        <v>311.55</v>
      </c>
      <c r="H194" s="11">
        <v>544900.94999999995</v>
      </c>
    </row>
    <row r="195" spans="1:8" x14ac:dyDescent="0.2">
      <c r="A195" s="8" t="s">
        <v>548</v>
      </c>
      <c r="B195" s="9">
        <v>45747</v>
      </c>
      <c r="C195" s="8" t="s">
        <v>549</v>
      </c>
      <c r="D195" s="8" t="s">
        <v>550</v>
      </c>
      <c r="E195" s="8" t="s">
        <v>551</v>
      </c>
      <c r="F195" s="10">
        <v>370</v>
      </c>
      <c r="G195" s="11">
        <v>8.68</v>
      </c>
      <c r="H195" s="11">
        <v>3211.6</v>
      </c>
    </row>
    <row r="196" spans="1:8" x14ac:dyDescent="0.2">
      <c r="A196" s="8" t="s">
        <v>885</v>
      </c>
      <c r="B196" s="9">
        <v>45747</v>
      </c>
      <c r="C196" s="8" t="s">
        <v>549</v>
      </c>
      <c r="D196" s="8" t="s">
        <v>550</v>
      </c>
      <c r="E196" s="8" t="s">
        <v>551</v>
      </c>
      <c r="F196" s="10">
        <v>15372</v>
      </c>
      <c r="G196" s="11">
        <v>8.68</v>
      </c>
      <c r="H196" s="11">
        <v>133428.96</v>
      </c>
    </row>
    <row r="197" spans="1:8" x14ac:dyDescent="0.2">
      <c r="A197" s="8" t="s">
        <v>548</v>
      </c>
      <c r="B197" s="9">
        <v>45747</v>
      </c>
      <c r="C197" s="8" t="s">
        <v>570</v>
      </c>
      <c r="D197" s="8" t="s">
        <v>571</v>
      </c>
      <c r="E197" s="8" t="s">
        <v>572</v>
      </c>
      <c r="F197" s="10">
        <v>597</v>
      </c>
      <c r="G197" s="11">
        <v>14.98</v>
      </c>
      <c r="H197" s="11">
        <v>8943.06</v>
      </c>
    </row>
    <row r="198" spans="1:8" x14ac:dyDescent="0.2">
      <c r="A198" s="8" t="s">
        <v>885</v>
      </c>
      <c r="B198" s="9">
        <v>45747</v>
      </c>
      <c r="C198" s="8" t="s">
        <v>570</v>
      </c>
      <c r="D198" s="8" t="s">
        <v>571</v>
      </c>
      <c r="E198" s="8" t="s">
        <v>572</v>
      </c>
      <c r="F198" s="10">
        <v>24897</v>
      </c>
      <c r="G198" s="11">
        <v>14.98</v>
      </c>
      <c r="H198" s="11">
        <v>372957.06</v>
      </c>
    </row>
    <row r="199" spans="1:8" x14ac:dyDescent="0.2">
      <c r="A199" s="8" t="s">
        <v>548</v>
      </c>
      <c r="B199" s="9">
        <v>45747</v>
      </c>
      <c r="C199" s="8" t="s">
        <v>555</v>
      </c>
      <c r="D199" s="8" t="s">
        <v>556</v>
      </c>
      <c r="E199" s="8" t="s">
        <v>557</v>
      </c>
      <c r="F199" s="10">
        <v>1210</v>
      </c>
      <c r="G199" s="11">
        <v>8.76</v>
      </c>
      <c r="H199" s="11">
        <v>10599.6</v>
      </c>
    </row>
    <row r="200" spans="1:8" x14ac:dyDescent="0.2">
      <c r="A200" s="8" t="s">
        <v>885</v>
      </c>
      <c r="B200" s="9">
        <v>45747</v>
      </c>
      <c r="C200" s="8" t="s">
        <v>555</v>
      </c>
      <c r="D200" s="8" t="s">
        <v>556</v>
      </c>
      <c r="E200" s="8" t="s">
        <v>557</v>
      </c>
      <c r="F200" s="10">
        <v>50643</v>
      </c>
      <c r="G200" s="11">
        <v>8.76</v>
      </c>
      <c r="H200" s="11">
        <v>443632.68</v>
      </c>
    </row>
    <row r="201" spans="1:8" x14ac:dyDescent="0.2">
      <c r="A201" s="8" t="s">
        <v>548</v>
      </c>
      <c r="B201" s="9">
        <v>45747</v>
      </c>
      <c r="C201" s="8" t="s">
        <v>573</v>
      </c>
      <c r="D201" s="8" t="s">
        <v>574</v>
      </c>
      <c r="E201" s="8" t="s">
        <v>575</v>
      </c>
      <c r="F201" s="10">
        <v>556</v>
      </c>
      <c r="G201" s="11">
        <v>15.89</v>
      </c>
      <c r="H201" s="11">
        <v>8834.84</v>
      </c>
    </row>
    <row r="202" spans="1:8" x14ac:dyDescent="0.2">
      <c r="A202" s="8" t="s">
        <v>885</v>
      </c>
      <c r="B202" s="9">
        <v>45747</v>
      </c>
      <c r="C202" s="8" t="s">
        <v>573</v>
      </c>
      <c r="D202" s="8" t="s">
        <v>574</v>
      </c>
      <c r="E202" s="8" t="s">
        <v>575</v>
      </c>
      <c r="F202" s="10">
        <v>23195</v>
      </c>
      <c r="G202" s="11">
        <v>15.89</v>
      </c>
      <c r="H202" s="11">
        <v>368568.55</v>
      </c>
    </row>
    <row r="203" spans="1:8" x14ac:dyDescent="0.2">
      <c r="A203" s="8" t="s">
        <v>548</v>
      </c>
      <c r="B203" s="9">
        <v>45747</v>
      </c>
      <c r="C203" s="8" t="s">
        <v>576</v>
      </c>
      <c r="D203" s="8" t="s">
        <v>577</v>
      </c>
      <c r="E203" s="8" t="s">
        <v>578</v>
      </c>
      <c r="F203" s="10">
        <v>72</v>
      </c>
      <c r="G203" s="11">
        <v>42.73</v>
      </c>
      <c r="H203" s="11">
        <v>3076.56</v>
      </c>
    </row>
    <row r="204" spans="1:8" x14ac:dyDescent="0.2">
      <c r="A204" s="8" t="s">
        <v>885</v>
      </c>
      <c r="B204" s="9">
        <v>45747</v>
      </c>
      <c r="C204" s="8" t="s">
        <v>576</v>
      </c>
      <c r="D204" s="8" t="s">
        <v>577</v>
      </c>
      <c r="E204" s="8" t="s">
        <v>578</v>
      </c>
      <c r="F204" s="10">
        <v>2935</v>
      </c>
      <c r="G204" s="11">
        <v>42.73</v>
      </c>
      <c r="H204" s="11">
        <v>125412.55</v>
      </c>
    </row>
    <row r="205" spans="1:8" x14ac:dyDescent="0.2">
      <c r="A205" s="8" t="s">
        <v>548</v>
      </c>
      <c r="B205" s="9">
        <v>45747</v>
      </c>
      <c r="C205" s="8" t="s">
        <v>588</v>
      </c>
      <c r="D205" s="8" t="s">
        <v>589</v>
      </c>
      <c r="E205" s="8" t="s">
        <v>590</v>
      </c>
      <c r="F205" s="10">
        <v>266</v>
      </c>
      <c r="G205" s="11">
        <v>41.73</v>
      </c>
      <c r="H205" s="11">
        <v>11100.18</v>
      </c>
    </row>
    <row r="206" spans="1:8" x14ac:dyDescent="0.2">
      <c r="A206" s="8" t="s">
        <v>885</v>
      </c>
      <c r="B206" s="9">
        <v>45747</v>
      </c>
      <c r="C206" s="8" t="s">
        <v>588</v>
      </c>
      <c r="D206" s="8" t="s">
        <v>589</v>
      </c>
      <c r="E206" s="8" t="s">
        <v>590</v>
      </c>
      <c r="F206" s="10">
        <v>11194</v>
      </c>
      <c r="G206" s="11">
        <v>41.73</v>
      </c>
      <c r="H206" s="11">
        <v>467125.62</v>
      </c>
    </row>
    <row r="207" spans="1:8" x14ac:dyDescent="0.2">
      <c r="A207" s="8" t="s">
        <v>548</v>
      </c>
      <c r="B207" s="9">
        <v>45747</v>
      </c>
      <c r="C207" s="8" t="s">
        <v>594</v>
      </c>
      <c r="D207" s="8" t="s">
        <v>595</v>
      </c>
      <c r="E207" s="8" t="s">
        <v>596</v>
      </c>
      <c r="F207" s="10">
        <v>698</v>
      </c>
      <c r="G207" s="11">
        <v>15.22</v>
      </c>
      <c r="H207" s="11">
        <v>10623.56</v>
      </c>
    </row>
    <row r="208" spans="1:8" x14ac:dyDescent="0.2">
      <c r="A208" s="8" t="s">
        <v>885</v>
      </c>
      <c r="B208" s="9">
        <v>45747</v>
      </c>
      <c r="C208" s="8" t="s">
        <v>594</v>
      </c>
      <c r="D208" s="8" t="s">
        <v>595</v>
      </c>
      <c r="E208" s="8" t="s">
        <v>596</v>
      </c>
      <c r="F208" s="10">
        <v>29001</v>
      </c>
      <c r="G208" s="11">
        <v>15.22</v>
      </c>
      <c r="H208" s="11">
        <v>441395.22</v>
      </c>
    </row>
    <row r="209" spans="1:8" x14ac:dyDescent="0.2">
      <c r="A209" s="8" t="s">
        <v>548</v>
      </c>
      <c r="B209" s="9">
        <v>45747</v>
      </c>
      <c r="C209" s="8" t="s">
        <v>582</v>
      </c>
      <c r="D209" s="8" t="s">
        <v>583</v>
      </c>
      <c r="E209" s="8" t="s">
        <v>584</v>
      </c>
      <c r="F209" s="10">
        <v>4170</v>
      </c>
      <c r="G209" s="11">
        <v>13.62</v>
      </c>
      <c r="H209" s="11">
        <v>56795.4</v>
      </c>
    </row>
    <row r="210" spans="1:8" x14ac:dyDescent="0.2">
      <c r="A210" s="8" t="s">
        <v>885</v>
      </c>
      <c r="B210" s="9">
        <v>45747</v>
      </c>
      <c r="C210" s="8" t="s">
        <v>582</v>
      </c>
      <c r="D210" s="8" t="s">
        <v>583</v>
      </c>
      <c r="E210" s="8" t="s">
        <v>584</v>
      </c>
      <c r="F210" s="10">
        <v>175210</v>
      </c>
      <c r="G210" s="11">
        <v>13.62</v>
      </c>
      <c r="H210" s="11">
        <v>2386360.2000000002</v>
      </c>
    </row>
    <row r="211" spans="1:8" x14ac:dyDescent="0.2">
      <c r="A211" s="8" t="s">
        <v>548</v>
      </c>
      <c r="B211" s="9">
        <v>45747</v>
      </c>
      <c r="C211" s="8" t="s">
        <v>879</v>
      </c>
      <c r="D211" s="8" t="s">
        <v>880</v>
      </c>
      <c r="E211" s="8" t="s">
        <v>881</v>
      </c>
      <c r="F211" s="10">
        <v>66</v>
      </c>
      <c r="G211" s="11">
        <v>76.42</v>
      </c>
      <c r="H211" s="11">
        <v>5043.72</v>
      </c>
    </row>
    <row r="212" spans="1:8" x14ac:dyDescent="0.2">
      <c r="A212" s="8" t="s">
        <v>885</v>
      </c>
      <c r="B212" s="9">
        <v>45747</v>
      </c>
      <c r="C212" s="8" t="s">
        <v>879</v>
      </c>
      <c r="D212" s="8" t="s">
        <v>880</v>
      </c>
      <c r="E212" s="8" t="s">
        <v>881</v>
      </c>
      <c r="F212" s="10">
        <v>2542</v>
      </c>
      <c r="G212" s="11">
        <v>76.42</v>
      </c>
      <c r="H212" s="11">
        <v>194259.64</v>
      </c>
    </row>
    <row r="213" spans="1:8" x14ac:dyDescent="0.2">
      <c r="A213" s="8" t="s">
        <v>548</v>
      </c>
      <c r="B213" s="9">
        <v>45747</v>
      </c>
      <c r="C213" s="8" t="s">
        <v>597</v>
      </c>
      <c r="D213" s="8" t="s">
        <v>598</v>
      </c>
      <c r="E213" s="8" t="s">
        <v>599</v>
      </c>
      <c r="F213" s="10">
        <v>392</v>
      </c>
      <c r="G213" s="11">
        <v>48.54</v>
      </c>
      <c r="H213" s="11">
        <v>19027.68</v>
      </c>
    </row>
    <row r="214" spans="1:8" x14ac:dyDescent="0.2">
      <c r="A214" s="8" t="s">
        <v>885</v>
      </c>
      <c r="B214" s="9">
        <v>45747</v>
      </c>
      <c r="C214" s="8" t="s">
        <v>597</v>
      </c>
      <c r="D214" s="8" t="s">
        <v>598</v>
      </c>
      <c r="E214" s="8" t="s">
        <v>599</v>
      </c>
      <c r="F214" s="10">
        <v>16362</v>
      </c>
      <c r="G214" s="11">
        <v>48.54</v>
      </c>
      <c r="H214" s="11">
        <v>794211.48</v>
      </c>
    </row>
    <row r="215" spans="1:8" x14ac:dyDescent="0.2">
      <c r="A215" s="8" t="s">
        <v>548</v>
      </c>
      <c r="B215" s="9">
        <v>45747</v>
      </c>
      <c r="C215" s="8" t="s">
        <v>591</v>
      </c>
      <c r="D215" s="8" t="s">
        <v>592</v>
      </c>
      <c r="E215" s="8" t="s">
        <v>593</v>
      </c>
      <c r="F215" s="10">
        <v>29</v>
      </c>
      <c r="G215" s="11">
        <v>95.51</v>
      </c>
      <c r="H215" s="11">
        <v>2769.79</v>
      </c>
    </row>
    <row r="216" spans="1:8" x14ac:dyDescent="0.2">
      <c r="A216" s="8" t="s">
        <v>885</v>
      </c>
      <c r="B216" s="9">
        <v>45747</v>
      </c>
      <c r="C216" s="8" t="s">
        <v>591</v>
      </c>
      <c r="D216" s="8" t="s">
        <v>592</v>
      </c>
      <c r="E216" s="8" t="s">
        <v>593</v>
      </c>
      <c r="F216" s="10">
        <v>1173</v>
      </c>
      <c r="G216" s="11">
        <v>95.51</v>
      </c>
      <c r="H216" s="11">
        <v>112033.23</v>
      </c>
    </row>
    <row r="217" spans="1:8" x14ac:dyDescent="0.2">
      <c r="A217" s="8" t="s">
        <v>548</v>
      </c>
      <c r="B217" s="9">
        <v>45747</v>
      </c>
      <c r="C217" s="8" t="s">
        <v>579</v>
      </c>
      <c r="D217" s="8" t="s">
        <v>580</v>
      </c>
      <c r="E217" s="8" t="s">
        <v>581</v>
      </c>
      <c r="F217" s="10">
        <v>313</v>
      </c>
      <c r="G217" s="11">
        <v>41.76</v>
      </c>
      <c r="H217" s="11">
        <v>13070.88</v>
      </c>
    </row>
    <row r="218" spans="1:8" x14ac:dyDescent="0.2">
      <c r="A218" s="8" t="s">
        <v>885</v>
      </c>
      <c r="B218" s="9">
        <v>45747</v>
      </c>
      <c r="C218" s="8" t="s">
        <v>579</v>
      </c>
      <c r="D218" s="8" t="s">
        <v>580</v>
      </c>
      <c r="E218" s="8" t="s">
        <v>581</v>
      </c>
      <c r="F218" s="10">
        <v>13028</v>
      </c>
      <c r="G218" s="11">
        <v>41.76</v>
      </c>
      <c r="H218" s="11">
        <v>544049.28</v>
      </c>
    </row>
    <row r="219" spans="1:8" x14ac:dyDescent="0.2">
      <c r="A219" s="8" t="s">
        <v>548</v>
      </c>
      <c r="B219" s="9">
        <v>45747</v>
      </c>
      <c r="C219" s="8" t="s">
        <v>600</v>
      </c>
      <c r="D219" s="8" t="s">
        <v>601</v>
      </c>
      <c r="E219" s="8" t="s">
        <v>602</v>
      </c>
      <c r="F219" s="10">
        <v>117</v>
      </c>
      <c r="G219" s="11">
        <v>25.37</v>
      </c>
      <c r="H219" s="11">
        <v>2968.29</v>
      </c>
    </row>
    <row r="220" spans="1:8" x14ac:dyDescent="0.2">
      <c r="A220" s="8" t="s">
        <v>885</v>
      </c>
      <c r="B220" s="9">
        <v>45747</v>
      </c>
      <c r="C220" s="8" t="s">
        <v>600</v>
      </c>
      <c r="D220" s="8" t="s">
        <v>601</v>
      </c>
      <c r="E220" s="8" t="s">
        <v>602</v>
      </c>
      <c r="F220" s="10">
        <v>4733</v>
      </c>
      <c r="G220" s="11">
        <v>25.37</v>
      </c>
      <c r="H220" s="11">
        <v>120076.21</v>
      </c>
    </row>
    <row r="221" spans="1:8" x14ac:dyDescent="0.2">
      <c r="A221" s="8" t="s">
        <v>548</v>
      </c>
      <c r="B221" s="9">
        <v>45747</v>
      </c>
      <c r="C221" s="8" t="s">
        <v>615</v>
      </c>
      <c r="D221" s="8" t="s">
        <v>616</v>
      </c>
      <c r="E221" s="8" t="s">
        <v>617</v>
      </c>
      <c r="F221" s="10">
        <v>277</v>
      </c>
      <c r="G221" s="11">
        <v>70.989999999999995</v>
      </c>
      <c r="H221" s="11">
        <v>19664.23</v>
      </c>
    </row>
    <row r="222" spans="1:8" x14ac:dyDescent="0.2">
      <c r="A222" s="8" t="s">
        <v>885</v>
      </c>
      <c r="B222" s="9">
        <v>45747</v>
      </c>
      <c r="C222" s="8" t="s">
        <v>615</v>
      </c>
      <c r="D222" s="8" t="s">
        <v>616</v>
      </c>
      <c r="E222" s="8" t="s">
        <v>617</v>
      </c>
      <c r="F222" s="10">
        <v>11443</v>
      </c>
      <c r="G222" s="11">
        <v>70.989999999999995</v>
      </c>
      <c r="H222" s="11">
        <v>812338.57</v>
      </c>
    </row>
    <row r="223" spans="1:8" x14ac:dyDescent="0.2">
      <c r="A223" s="8" t="s">
        <v>548</v>
      </c>
      <c r="B223" s="9">
        <v>45747</v>
      </c>
      <c r="C223" s="8" t="s">
        <v>630</v>
      </c>
      <c r="D223" s="8" t="s">
        <v>631</v>
      </c>
      <c r="E223" s="8" t="s">
        <v>632</v>
      </c>
      <c r="F223" s="10">
        <v>679</v>
      </c>
      <c r="G223" s="11">
        <v>26.67</v>
      </c>
      <c r="H223" s="11">
        <v>18108.93</v>
      </c>
    </row>
    <row r="224" spans="1:8" x14ac:dyDescent="0.2">
      <c r="A224" s="8" t="s">
        <v>885</v>
      </c>
      <c r="B224" s="9">
        <v>45747</v>
      </c>
      <c r="C224" s="8" t="s">
        <v>630</v>
      </c>
      <c r="D224" s="8" t="s">
        <v>631</v>
      </c>
      <c r="E224" s="8" t="s">
        <v>632</v>
      </c>
      <c r="F224" s="10">
        <v>28544</v>
      </c>
      <c r="G224" s="11">
        <v>26.67</v>
      </c>
      <c r="H224" s="11">
        <v>761268.48</v>
      </c>
    </row>
    <row r="225" spans="1:8" x14ac:dyDescent="0.2">
      <c r="A225" s="8" t="s">
        <v>548</v>
      </c>
      <c r="B225" s="9">
        <v>45747</v>
      </c>
      <c r="C225" s="8" t="s">
        <v>612</v>
      </c>
      <c r="D225" s="8" t="s">
        <v>613</v>
      </c>
      <c r="E225" s="8" t="s">
        <v>614</v>
      </c>
      <c r="F225" s="10">
        <v>524</v>
      </c>
      <c r="G225" s="11">
        <v>17.657499999999999</v>
      </c>
      <c r="H225" s="11">
        <v>9252.5300000000007</v>
      </c>
    </row>
    <row r="226" spans="1:8" x14ac:dyDescent="0.2">
      <c r="A226" s="8" t="s">
        <v>885</v>
      </c>
      <c r="B226" s="9">
        <v>45747</v>
      </c>
      <c r="C226" s="8" t="s">
        <v>612</v>
      </c>
      <c r="D226" s="8" t="s">
        <v>613</v>
      </c>
      <c r="E226" s="8" t="s">
        <v>614</v>
      </c>
      <c r="F226" s="10">
        <v>21703</v>
      </c>
      <c r="G226" s="11">
        <v>17.657499999999999</v>
      </c>
      <c r="H226" s="11">
        <v>383220.72</v>
      </c>
    </row>
    <row r="227" spans="1:8" x14ac:dyDescent="0.2">
      <c r="A227" s="8" t="s">
        <v>548</v>
      </c>
      <c r="B227" s="9">
        <v>45747</v>
      </c>
      <c r="C227" s="8" t="s">
        <v>621</v>
      </c>
      <c r="D227" s="8" t="s">
        <v>622</v>
      </c>
      <c r="E227" s="8" t="s">
        <v>623</v>
      </c>
      <c r="F227" s="10">
        <v>563</v>
      </c>
      <c r="G227" s="11">
        <v>93.7</v>
      </c>
      <c r="H227" s="11">
        <v>52753.1</v>
      </c>
    </row>
    <row r="228" spans="1:8" x14ac:dyDescent="0.2">
      <c r="A228" s="8" t="s">
        <v>885</v>
      </c>
      <c r="B228" s="9">
        <v>45747</v>
      </c>
      <c r="C228" s="8" t="s">
        <v>621</v>
      </c>
      <c r="D228" s="8" t="s">
        <v>622</v>
      </c>
      <c r="E228" s="8" t="s">
        <v>623</v>
      </c>
      <c r="F228" s="10">
        <v>23362</v>
      </c>
      <c r="G228" s="11">
        <v>93.7</v>
      </c>
      <c r="H228" s="11">
        <v>2189019.4</v>
      </c>
    </row>
    <row r="229" spans="1:8" x14ac:dyDescent="0.2">
      <c r="A229" s="8" t="s">
        <v>548</v>
      </c>
      <c r="B229" s="9">
        <v>45747</v>
      </c>
      <c r="C229" s="8" t="s">
        <v>618</v>
      </c>
      <c r="D229" s="8" t="s">
        <v>619</v>
      </c>
      <c r="E229" s="8" t="s">
        <v>620</v>
      </c>
      <c r="F229" s="10">
        <v>341</v>
      </c>
      <c r="G229" s="11">
        <v>8.09</v>
      </c>
      <c r="H229" s="11">
        <v>2758.69</v>
      </c>
    </row>
    <row r="230" spans="1:8" x14ac:dyDescent="0.2">
      <c r="A230" s="8" t="s">
        <v>885</v>
      </c>
      <c r="B230" s="9">
        <v>45747</v>
      </c>
      <c r="C230" s="8" t="s">
        <v>618</v>
      </c>
      <c r="D230" s="8" t="s">
        <v>619</v>
      </c>
      <c r="E230" s="8" t="s">
        <v>620</v>
      </c>
      <c r="F230" s="10">
        <v>13937</v>
      </c>
      <c r="G230" s="11">
        <v>8.09</v>
      </c>
      <c r="H230" s="11">
        <v>112750.33</v>
      </c>
    </row>
    <row r="231" spans="1:8" x14ac:dyDescent="0.2">
      <c r="A231" s="8" t="s">
        <v>548</v>
      </c>
      <c r="B231" s="9">
        <v>45747</v>
      </c>
      <c r="C231" s="8" t="s">
        <v>606</v>
      </c>
      <c r="D231" s="8" t="s">
        <v>607</v>
      </c>
      <c r="E231" s="8" t="s">
        <v>608</v>
      </c>
      <c r="F231" s="10">
        <v>183</v>
      </c>
      <c r="G231" s="11">
        <v>56.3</v>
      </c>
      <c r="H231" s="11">
        <v>10302.9</v>
      </c>
    </row>
    <row r="232" spans="1:8" x14ac:dyDescent="0.2">
      <c r="A232" s="8" t="s">
        <v>885</v>
      </c>
      <c r="B232" s="9">
        <v>45747</v>
      </c>
      <c r="C232" s="8" t="s">
        <v>606</v>
      </c>
      <c r="D232" s="8" t="s">
        <v>607</v>
      </c>
      <c r="E232" s="8" t="s">
        <v>608</v>
      </c>
      <c r="F232" s="10">
        <v>7511</v>
      </c>
      <c r="G232" s="11">
        <v>56.3</v>
      </c>
      <c r="H232" s="11">
        <v>422869.3</v>
      </c>
    </row>
    <row r="233" spans="1:8" x14ac:dyDescent="0.2">
      <c r="A233" s="8" t="s">
        <v>548</v>
      </c>
      <c r="B233" s="9">
        <v>45747</v>
      </c>
      <c r="C233" s="8" t="s">
        <v>624</v>
      </c>
      <c r="D233" s="8" t="s">
        <v>625</v>
      </c>
      <c r="E233" s="8" t="s">
        <v>626</v>
      </c>
      <c r="F233" s="10">
        <v>382</v>
      </c>
      <c r="G233" s="11">
        <v>36.9</v>
      </c>
      <c r="H233" s="11">
        <v>14095.8</v>
      </c>
    </row>
    <row r="234" spans="1:8" x14ac:dyDescent="0.2">
      <c r="A234" s="8" t="s">
        <v>885</v>
      </c>
      <c r="B234" s="9">
        <v>45747</v>
      </c>
      <c r="C234" s="8" t="s">
        <v>624</v>
      </c>
      <c r="D234" s="8" t="s">
        <v>625</v>
      </c>
      <c r="E234" s="8" t="s">
        <v>626</v>
      </c>
      <c r="F234" s="10">
        <v>15656</v>
      </c>
      <c r="G234" s="11">
        <v>36.9</v>
      </c>
      <c r="H234" s="11">
        <v>577706.4</v>
      </c>
    </row>
    <row r="235" spans="1:8" x14ac:dyDescent="0.2">
      <c r="A235" s="8" t="s">
        <v>548</v>
      </c>
      <c r="B235" s="9">
        <v>45747</v>
      </c>
      <c r="C235" s="8" t="s">
        <v>603</v>
      </c>
      <c r="D235" s="8" t="s">
        <v>604</v>
      </c>
      <c r="E235" s="8" t="s">
        <v>605</v>
      </c>
      <c r="F235" s="10">
        <v>126</v>
      </c>
      <c r="G235" s="11">
        <v>75.11</v>
      </c>
      <c r="H235" s="11">
        <v>9463.86</v>
      </c>
    </row>
    <row r="236" spans="1:8" x14ac:dyDescent="0.2">
      <c r="A236" s="8" t="s">
        <v>885</v>
      </c>
      <c r="B236" s="9">
        <v>45747</v>
      </c>
      <c r="C236" s="8" t="s">
        <v>603</v>
      </c>
      <c r="D236" s="8" t="s">
        <v>604</v>
      </c>
      <c r="E236" s="8" t="s">
        <v>605</v>
      </c>
      <c r="F236" s="10">
        <v>4938</v>
      </c>
      <c r="G236" s="11">
        <v>75.11</v>
      </c>
      <c r="H236" s="11">
        <v>370893.18</v>
      </c>
    </row>
    <row r="237" spans="1:8" x14ac:dyDescent="0.2">
      <c r="A237" s="8" t="s">
        <v>548</v>
      </c>
      <c r="B237" s="9">
        <v>45747</v>
      </c>
      <c r="C237" s="8" t="s">
        <v>609</v>
      </c>
      <c r="D237" s="8" t="s">
        <v>610</v>
      </c>
      <c r="E237" s="8" t="s">
        <v>611</v>
      </c>
      <c r="F237" s="10">
        <v>914</v>
      </c>
      <c r="G237" s="11">
        <v>30.8</v>
      </c>
      <c r="H237" s="11">
        <v>28151.200000000001</v>
      </c>
    </row>
    <row r="238" spans="1:8" x14ac:dyDescent="0.2">
      <c r="A238" s="8" t="s">
        <v>885</v>
      </c>
      <c r="B238" s="9">
        <v>45747</v>
      </c>
      <c r="C238" s="8" t="s">
        <v>609</v>
      </c>
      <c r="D238" s="8" t="s">
        <v>610</v>
      </c>
      <c r="E238" s="8" t="s">
        <v>611</v>
      </c>
      <c r="F238" s="10">
        <v>38006</v>
      </c>
      <c r="G238" s="11">
        <v>30.8</v>
      </c>
      <c r="H238" s="11">
        <v>1170584.8</v>
      </c>
    </row>
    <row r="239" spans="1:8" x14ac:dyDescent="0.2">
      <c r="A239" s="8" t="s">
        <v>548</v>
      </c>
      <c r="B239" s="9">
        <v>45747</v>
      </c>
      <c r="C239" s="8" t="s">
        <v>627</v>
      </c>
      <c r="D239" s="8" t="s">
        <v>628</v>
      </c>
      <c r="E239" s="8" t="s">
        <v>629</v>
      </c>
      <c r="F239" s="10">
        <v>247</v>
      </c>
      <c r="G239" s="11">
        <v>20.079999999999998</v>
      </c>
      <c r="H239" s="11">
        <v>4959.76</v>
      </c>
    </row>
    <row r="240" spans="1:8" x14ac:dyDescent="0.2">
      <c r="A240" s="8" t="s">
        <v>885</v>
      </c>
      <c r="B240" s="9">
        <v>45747</v>
      </c>
      <c r="C240" s="8" t="s">
        <v>627</v>
      </c>
      <c r="D240" s="8" t="s">
        <v>628</v>
      </c>
      <c r="E240" s="8" t="s">
        <v>629</v>
      </c>
      <c r="F240" s="10">
        <v>10245</v>
      </c>
      <c r="G240" s="11">
        <v>20.079999999999998</v>
      </c>
      <c r="H240" s="11">
        <v>205719.6</v>
      </c>
    </row>
    <row r="241" spans="1:8" x14ac:dyDescent="0.2">
      <c r="A241" s="8" t="s">
        <v>548</v>
      </c>
      <c r="B241" s="9">
        <v>45747</v>
      </c>
      <c r="C241" s="8" t="s">
        <v>633</v>
      </c>
      <c r="D241" s="8" t="s">
        <v>634</v>
      </c>
      <c r="E241" s="8" t="s">
        <v>635</v>
      </c>
      <c r="F241" s="10">
        <v>269</v>
      </c>
      <c r="G241" s="11">
        <v>105.02</v>
      </c>
      <c r="H241" s="11">
        <v>28250.38</v>
      </c>
    </row>
    <row r="242" spans="1:8" x14ac:dyDescent="0.2">
      <c r="A242" s="8" t="s">
        <v>885</v>
      </c>
      <c r="B242" s="9">
        <v>45747</v>
      </c>
      <c r="C242" s="8" t="s">
        <v>633</v>
      </c>
      <c r="D242" s="8" t="s">
        <v>634</v>
      </c>
      <c r="E242" s="8" t="s">
        <v>635</v>
      </c>
      <c r="F242" s="10">
        <v>11017</v>
      </c>
      <c r="G242" s="11">
        <v>105.02</v>
      </c>
      <c r="H242" s="11">
        <v>1157005.3400000001</v>
      </c>
    </row>
    <row r="243" spans="1:8" x14ac:dyDescent="0.2">
      <c r="A243" s="8" t="s">
        <v>548</v>
      </c>
      <c r="B243" s="9">
        <v>45747</v>
      </c>
      <c r="C243" s="8" t="s">
        <v>636</v>
      </c>
      <c r="D243" s="8" t="s">
        <v>637</v>
      </c>
      <c r="E243" s="8" t="s">
        <v>638</v>
      </c>
      <c r="F243" s="10">
        <v>407</v>
      </c>
      <c r="G243" s="11">
        <v>6.97</v>
      </c>
      <c r="H243" s="11">
        <v>2836.79</v>
      </c>
    </row>
    <row r="244" spans="1:8" x14ac:dyDescent="0.2">
      <c r="A244" s="8" t="s">
        <v>885</v>
      </c>
      <c r="B244" s="9">
        <v>45747</v>
      </c>
      <c r="C244" s="8" t="s">
        <v>636</v>
      </c>
      <c r="D244" s="8" t="s">
        <v>637</v>
      </c>
      <c r="E244" s="8" t="s">
        <v>638</v>
      </c>
      <c r="F244" s="10">
        <v>16717</v>
      </c>
      <c r="G244" s="11">
        <v>6.97</v>
      </c>
      <c r="H244" s="11">
        <v>116517.49</v>
      </c>
    </row>
    <row r="245" spans="1:8" x14ac:dyDescent="0.2">
      <c r="A245" s="8" t="s">
        <v>548</v>
      </c>
      <c r="B245" s="9">
        <v>45747</v>
      </c>
      <c r="C245" s="8" t="s">
        <v>642</v>
      </c>
      <c r="D245" s="8" t="s">
        <v>643</v>
      </c>
      <c r="E245" s="8" t="s">
        <v>644</v>
      </c>
      <c r="F245" s="10">
        <v>139</v>
      </c>
      <c r="G245" s="11">
        <v>137.44499999999999</v>
      </c>
      <c r="H245" s="11">
        <v>19104.86</v>
      </c>
    </row>
    <row r="246" spans="1:8" x14ac:dyDescent="0.2">
      <c r="A246" s="8" t="s">
        <v>885</v>
      </c>
      <c r="B246" s="9">
        <v>45747</v>
      </c>
      <c r="C246" s="8" t="s">
        <v>642</v>
      </c>
      <c r="D246" s="8" t="s">
        <v>643</v>
      </c>
      <c r="E246" s="8" t="s">
        <v>644</v>
      </c>
      <c r="F246" s="10">
        <v>5492</v>
      </c>
      <c r="G246" s="11">
        <v>137.44499999999999</v>
      </c>
      <c r="H246" s="11">
        <v>754847.94</v>
      </c>
    </row>
    <row r="247" spans="1:8" x14ac:dyDescent="0.2">
      <c r="A247" s="8" t="s">
        <v>548</v>
      </c>
      <c r="B247" s="9">
        <v>45747</v>
      </c>
      <c r="C247" s="8" t="s">
        <v>870</v>
      </c>
      <c r="D247" s="8" t="s">
        <v>871</v>
      </c>
      <c r="E247" s="8" t="s">
        <v>872</v>
      </c>
      <c r="F247" s="10">
        <v>1514</v>
      </c>
      <c r="G247" s="11">
        <v>42.08</v>
      </c>
      <c r="H247" s="11">
        <v>63709.120000000003</v>
      </c>
    </row>
    <row r="248" spans="1:8" x14ac:dyDescent="0.2">
      <c r="A248" s="8" t="s">
        <v>885</v>
      </c>
      <c r="B248" s="9">
        <v>45747</v>
      </c>
      <c r="C248" s="8" t="s">
        <v>870</v>
      </c>
      <c r="D248" s="8" t="s">
        <v>871</v>
      </c>
      <c r="E248" s="8" t="s">
        <v>872</v>
      </c>
      <c r="F248" s="10">
        <v>63214</v>
      </c>
      <c r="G248" s="11">
        <v>42.08</v>
      </c>
      <c r="H248" s="11">
        <v>2660045.12</v>
      </c>
    </row>
    <row r="249" spans="1:8" x14ac:dyDescent="0.2">
      <c r="A249" s="8" t="s">
        <v>548</v>
      </c>
      <c r="B249" s="9">
        <v>45747</v>
      </c>
      <c r="C249" s="8" t="s">
        <v>651</v>
      </c>
      <c r="D249" s="8" t="s">
        <v>652</v>
      </c>
      <c r="E249" s="8" t="s">
        <v>653</v>
      </c>
      <c r="F249" s="10">
        <v>232</v>
      </c>
      <c r="G249" s="11">
        <v>34.92</v>
      </c>
      <c r="H249" s="11">
        <v>8101.44</v>
      </c>
    </row>
    <row r="250" spans="1:8" x14ac:dyDescent="0.2">
      <c r="A250" s="8" t="s">
        <v>885</v>
      </c>
      <c r="B250" s="9">
        <v>45747</v>
      </c>
      <c r="C250" s="8" t="s">
        <v>651</v>
      </c>
      <c r="D250" s="8" t="s">
        <v>652</v>
      </c>
      <c r="E250" s="8" t="s">
        <v>653</v>
      </c>
      <c r="F250" s="10">
        <v>9638</v>
      </c>
      <c r="G250" s="11">
        <v>34.92</v>
      </c>
      <c r="H250" s="11">
        <v>336558.96</v>
      </c>
    </row>
    <row r="251" spans="1:8" x14ac:dyDescent="0.2">
      <c r="A251" s="8" t="s">
        <v>548</v>
      </c>
      <c r="B251" s="9">
        <v>45747</v>
      </c>
      <c r="C251" s="8" t="s">
        <v>648</v>
      </c>
      <c r="D251" s="8" t="s">
        <v>649</v>
      </c>
      <c r="E251" s="8" t="s">
        <v>650</v>
      </c>
      <c r="F251" s="10">
        <v>337</v>
      </c>
      <c r="G251" s="11">
        <v>37.4</v>
      </c>
      <c r="H251" s="11">
        <v>12603.8</v>
      </c>
    </row>
    <row r="252" spans="1:8" x14ac:dyDescent="0.2">
      <c r="A252" s="8" t="s">
        <v>885</v>
      </c>
      <c r="B252" s="9">
        <v>45747</v>
      </c>
      <c r="C252" s="8" t="s">
        <v>648</v>
      </c>
      <c r="D252" s="8" t="s">
        <v>649</v>
      </c>
      <c r="E252" s="8" t="s">
        <v>650</v>
      </c>
      <c r="F252" s="10">
        <v>13854</v>
      </c>
      <c r="G252" s="11">
        <v>37.4</v>
      </c>
      <c r="H252" s="11">
        <v>518139.6</v>
      </c>
    </row>
    <row r="253" spans="1:8" x14ac:dyDescent="0.2">
      <c r="A253" s="8" t="s">
        <v>548</v>
      </c>
      <c r="B253" s="9">
        <v>45747</v>
      </c>
      <c r="C253" s="8" t="s">
        <v>705</v>
      </c>
      <c r="D253" s="8" t="s">
        <v>706</v>
      </c>
      <c r="E253" s="8" t="s">
        <v>707</v>
      </c>
      <c r="F253" s="10">
        <v>2103</v>
      </c>
      <c r="G253" s="11">
        <v>27.29</v>
      </c>
      <c r="H253" s="11">
        <v>57390.87</v>
      </c>
    </row>
    <row r="254" spans="1:8" x14ac:dyDescent="0.2">
      <c r="A254" s="8" t="s">
        <v>885</v>
      </c>
      <c r="B254" s="9">
        <v>45747</v>
      </c>
      <c r="C254" s="8" t="s">
        <v>705</v>
      </c>
      <c r="D254" s="8" t="s">
        <v>706</v>
      </c>
      <c r="E254" s="8" t="s">
        <v>707</v>
      </c>
      <c r="F254" s="10">
        <v>88162</v>
      </c>
      <c r="G254" s="11">
        <v>27.29</v>
      </c>
      <c r="H254" s="11">
        <v>2405940.98</v>
      </c>
    </row>
    <row r="255" spans="1:8" x14ac:dyDescent="0.2">
      <c r="A255" s="8" t="s">
        <v>548</v>
      </c>
      <c r="B255" s="9">
        <v>45747</v>
      </c>
      <c r="C255" s="8" t="s">
        <v>810</v>
      </c>
      <c r="D255" s="8" t="s">
        <v>811</v>
      </c>
      <c r="E255" s="8" t="s">
        <v>812</v>
      </c>
      <c r="F255" s="10">
        <v>1363</v>
      </c>
      <c r="G255" s="11">
        <v>35.700000000000003</v>
      </c>
      <c r="H255" s="11">
        <v>48659.1</v>
      </c>
    </row>
    <row r="256" spans="1:8" x14ac:dyDescent="0.2">
      <c r="A256" s="8" t="s">
        <v>885</v>
      </c>
      <c r="B256" s="9">
        <v>45747</v>
      </c>
      <c r="C256" s="8" t="s">
        <v>810</v>
      </c>
      <c r="D256" s="8" t="s">
        <v>811</v>
      </c>
      <c r="E256" s="8" t="s">
        <v>812</v>
      </c>
      <c r="F256" s="10">
        <v>57193</v>
      </c>
      <c r="G256" s="11">
        <v>35.700000000000003</v>
      </c>
      <c r="H256" s="11">
        <v>2041790.1</v>
      </c>
    </row>
    <row r="257" spans="1:8" x14ac:dyDescent="0.2">
      <c r="A257" s="8" t="s">
        <v>548</v>
      </c>
      <c r="B257" s="9">
        <v>45747</v>
      </c>
      <c r="C257" s="8" t="s">
        <v>654</v>
      </c>
      <c r="D257" s="8" t="s">
        <v>655</v>
      </c>
      <c r="E257" s="8" t="s">
        <v>656</v>
      </c>
      <c r="F257" s="10">
        <v>187</v>
      </c>
      <c r="G257" s="11">
        <v>34.130000000000003</v>
      </c>
      <c r="H257" s="11">
        <v>6382.31</v>
      </c>
    </row>
    <row r="258" spans="1:8" x14ac:dyDescent="0.2">
      <c r="A258" s="8" t="s">
        <v>885</v>
      </c>
      <c r="B258" s="9">
        <v>45747</v>
      </c>
      <c r="C258" s="8" t="s">
        <v>654</v>
      </c>
      <c r="D258" s="8" t="s">
        <v>655</v>
      </c>
      <c r="E258" s="8" t="s">
        <v>656</v>
      </c>
      <c r="F258" s="10">
        <v>7836</v>
      </c>
      <c r="G258" s="11">
        <v>34.130000000000003</v>
      </c>
      <c r="H258" s="11">
        <v>267442.68</v>
      </c>
    </row>
    <row r="259" spans="1:8" x14ac:dyDescent="0.2">
      <c r="A259" s="8" t="s">
        <v>548</v>
      </c>
      <c r="B259" s="9">
        <v>45747</v>
      </c>
      <c r="C259" s="8" t="s">
        <v>660</v>
      </c>
      <c r="D259" s="8" t="s">
        <v>661</v>
      </c>
      <c r="E259" s="8" t="s">
        <v>662</v>
      </c>
      <c r="F259" s="10">
        <v>315</v>
      </c>
      <c r="G259" s="11">
        <v>58.92</v>
      </c>
      <c r="H259" s="11">
        <v>18559.8</v>
      </c>
    </row>
    <row r="260" spans="1:8" x14ac:dyDescent="0.2">
      <c r="A260" s="8" t="s">
        <v>885</v>
      </c>
      <c r="B260" s="9">
        <v>45747</v>
      </c>
      <c r="C260" s="8" t="s">
        <v>660</v>
      </c>
      <c r="D260" s="8" t="s">
        <v>661</v>
      </c>
      <c r="E260" s="8" t="s">
        <v>662</v>
      </c>
      <c r="F260" s="10">
        <v>13073</v>
      </c>
      <c r="G260" s="11">
        <v>58.92</v>
      </c>
      <c r="H260" s="11">
        <v>770261.16</v>
      </c>
    </row>
    <row r="261" spans="1:8" x14ac:dyDescent="0.2">
      <c r="A261" s="8" t="s">
        <v>548</v>
      </c>
      <c r="B261" s="9">
        <v>45747</v>
      </c>
      <c r="C261" s="8" t="s">
        <v>657</v>
      </c>
      <c r="D261" s="8" t="s">
        <v>658</v>
      </c>
      <c r="E261" s="8" t="s">
        <v>659</v>
      </c>
      <c r="F261" s="10">
        <v>81</v>
      </c>
      <c r="G261" s="11">
        <v>128.24</v>
      </c>
      <c r="H261" s="11">
        <v>10387.44</v>
      </c>
    </row>
    <row r="262" spans="1:8" x14ac:dyDescent="0.2">
      <c r="A262" s="8" t="s">
        <v>885</v>
      </c>
      <c r="B262" s="9">
        <v>45747</v>
      </c>
      <c r="C262" s="8" t="s">
        <v>657</v>
      </c>
      <c r="D262" s="8" t="s">
        <v>658</v>
      </c>
      <c r="E262" s="8" t="s">
        <v>659</v>
      </c>
      <c r="F262" s="10">
        <v>3148</v>
      </c>
      <c r="G262" s="11">
        <v>128.24</v>
      </c>
      <c r="H262" s="11">
        <v>403699.52</v>
      </c>
    </row>
    <row r="263" spans="1:8" x14ac:dyDescent="0.2">
      <c r="A263" s="8" t="s">
        <v>548</v>
      </c>
      <c r="B263" s="9">
        <v>45747</v>
      </c>
      <c r="C263" s="8" t="s">
        <v>663</v>
      </c>
      <c r="D263" s="8" t="s">
        <v>664</v>
      </c>
      <c r="E263" s="8" t="s">
        <v>665</v>
      </c>
      <c r="F263" s="10">
        <v>768</v>
      </c>
      <c r="G263" s="11">
        <v>52.09</v>
      </c>
      <c r="H263" s="11">
        <v>40005.120000000003</v>
      </c>
    </row>
    <row r="264" spans="1:8" x14ac:dyDescent="0.2">
      <c r="A264" s="8" t="s">
        <v>885</v>
      </c>
      <c r="B264" s="9">
        <v>45747</v>
      </c>
      <c r="C264" s="8" t="s">
        <v>663</v>
      </c>
      <c r="D264" s="8" t="s">
        <v>664</v>
      </c>
      <c r="E264" s="8" t="s">
        <v>665</v>
      </c>
      <c r="F264" s="10">
        <v>32119</v>
      </c>
      <c r="G264" s="11">
        <v>52.09</v>
      </c>
      <c r="H264" s="11">
        <v>1673078.71</v>
      </c>
    </row>
    <row r="265" spans="1:8" x14ac:dyDescent="0.2">
      <c r="A265" s="8" t="s">
        <v>548</v>
      </c>
      <c r="B265" s="9">
        <v>45747</v>
      </c>
      <c r="C265" s="8" t="s">
        <v>666</v>
      </c>
      <c r="D265" s="8" t="s">
        <v>667</v>
      </c>
      <c r="E265" s="8" t="s">
        <v>668</v>
      </c>
      <c r="F265" s="10">
        <v>458</v>
      </c>
      <c r="G265" s="11">
        <v>68.95</v>
      </c>
      <c r="H265" s="11">
        <v>31579.1</v>
      </c>
    </row>
    <row r="266" spans="1:8" x14ac:dyDescent="0.2">
      <c r="A266" s="8" t="s">
        <v>885</v>
      </c>
      <c r="B266" s="9">
        <v>45747</v>
      </c>
      <c r="C266" s="8" t="s">
        <v>666</v>
      </c>
      <c r="D266" s="8" t="s">
        <v>667</v>
      </c>
      <c r="E266" s="8" t="s">
        <v>668</v>
      </c>
      <c r="F266" s="10">
        <v>18921</v>
      </c>
      <c r="G266" s="11">
        <v>68.95</v>
      </c>
      <c r="H266" s="11">
        <v>1304602.95</v>
      </c>
    </row>
    <row r="267" spans="1:8" x14ac:dyDescent="0.2">
      <c r="A267" s="8" t="s">
        <v>548</v>
      </c>
      <c r="B267" s="9">
        <v>45747</v>
      </c>
      <c r="C267" s="8" t="s">
        <v>672</v>
      </c>
      <c r="D267" s="8" t="s">
        <v>673</v>
      </c>
      <c r="E267" s="8" t="s">
        <v>674</v>
      </c>
      <c r="F267" s="10">
        <v>826</v>
      </c>
      <c r="G267" s="11">
        <v>24.9</v>
      </c>
      <c r="H267" s="11">
        <v>20567.400000000001</v>
      </c>
    </row>
    <row r="268" spans="1:8" x14ac:dyDescent="0.2">
      <c r="A268" s="8" t="s">
        <v>885</v>
      </c>
      <c r="B268" s="9">
        <v>45747</v>
      </c>
      <c r="C268" s="8" t="s">
        <v>672</v>
      </c>
      <c r="D268" s="8" t="s">
        <v>673</v>
      </c>
      <c r="E268" s="8" t="s">
        <v>674</v>
      </c>
      <c r="F268" s="10">
        <v>34468</v>
      </c>
      <c r="G268" s="11">
        <v>24.9</v>
      </c>
      <c r="H268" s="11">
        <v>858253.2</v>
      </c>
    </row>
    <row r="269" spans="1:8" x14ac:dyDescent="0.2">
      <c r="A269" s="8" t="s">
        <v>548</v>
      </c>
      <c r="B269" s="9">
        <v>45747</v>
      </c>
      <c r="C269" s="8" t="s">
        <v>669</v>
      </c>
      <c r="D269" s="8" t="s">
        <v>670</v>
      </c>
      <c r="E269" s="8" t="s">
        <v>671</v>
      </c>
      <c r="F269" s="10">
        <v>244</v>
      </c>
      <c r="G269" s="11">
        <v>19.47</v>
      </c>
      <c r="H269" s="11">
        <v>4750.68</v>
      </c>
    </row>
    <row r="270" spans="1:8" x14ac:dyDescent="0.2">
      <c r="A270" s="8" t="s">
        <v>885</v>
      </c>
      <c r="B270" s="9">
        <v>45747</v>
      </c>
      <c r="C270" s="8" t="s">
        <v>669</v>
      </c>
      <c r="D270" s="8" t="s">
        <v>670</v>
      </c>
      <c r="E270" s="8" t="s">
        <v>671</v>
      </c>
      <c r="F270" s="10">
        <v>10175</v>
      </c>
      <c r="G270" s="11">
        <v>19.47</v>
      </c>
      <c r="H270" s="11">
        <v>198107.25</v>
      </c>
    </row>
    <row r="271" spans="1:8" x14ac:dyDescent="0.2">
      <c r="A271" s="8" t="s">
        <v>548</v>
      </c>
      <c r="B271" s="9">
        <v>45747</v>
      </c>
      <c r="C271" s="8" t="s">
        <v>678</v>
      </c>
      <c r="D271" s="8" t="s">
        <v>679</v>
      </c>
      <c r="E271" s="8" t="s">
        <v>680</v>
      </c>
      <c r="F271" s="10">
        <v>64</v>
      </c>
      <c r="G271" s="11">
        <v>43.3</v>
      </c>
      <c r="H271" s="11">
        <v>2771.2</v>
      </c>
    </row>
    <row r="272" spans="1:8" x14ac:dyDescent="0.2">
      <c r="A272" s="8" t="s">
        <v>885</v>
      </c>
      <c r="B272" s="9">
        <v>45747</v>
      </c>
      <c r="C272" s="8" t="s">
        <v>678</v>
      </c>
      <c r="D272" s="8" t="s">
        <v>679</v>
      </c>
      <c r="E272" s="8" t="s">
        <v>680</v>
      </c>
      <c r="F272" s="10">
        <v>2486</v>
      </c>
      <c r="G272" s="11">
        <v>43.3</v>
      </c>
      <c r="H272" s="11">
        <v>107643.8</v>
      </c>
    </row>
    <row r="273" spans="1:8" x14ac:dyDescent="0.2">
      <c r="A273" s="8" t="s">
        <v>548</v>
      </c>
      <c r="B273" s="9">
        <v>45747</v>
      </c>
      <c r="C273" s="8" t="s">
        <v>681</v>
      </c>
      <c r="D273" s="8" t="s">
        <v>682</v>
      </c>
      <c r="E273" s="8" t="s">
        <v>683</v>
      </c>
      <c r="F273" s="10">
        <v>175</v>
      </c>
      <c r="G273" s="11">
        <v>112.05</v>
      </c>
      <c r="H273" s="11">
        <v>19608.75</v>
      </c>
    </row>
    <row r="274" spans="1:8" x14ac:dyDescent="0.2">
      <c r="A274" s="8" t="s">
        <v>885</v>
      </c>
      <c r="B274" s="9">
        <v>45747</v>
      </c>
      <c r="C274" s="8" t="s">
        <v>681</v>
      </c>
      <c r="D274" s="8" t="s">
        <v>682</v>
      </c>
      <c r="E274" s="8" t="s">
        <v>683</v>
      </c>
      <c r="F274" s="10">
        <v>7087</v>
      </c>
      <c r="G274" s="11">
        <v>112.05</v>
      </c>
      <c r="H274" s="11">
        <v>794098.35</v>
      </c>
    </row>
    <row r="275" spans="1:8" x14ac:dyDescent="0.2">
      <c r="A275" s="8" t="s">
        <v>548</v>
      </c>
      <c r="B275" s="9">
        <v>45747</v>
      </c>
      <c r="C275" s="8" t="s">
        <v>639</v>
      </c>
      <c r="D275" s="8" t="s">
        <v>640</v>
      </c>
      <c r="E275" s="8" t="s">
        <v>641</v>
      </c>
      <c r="F275" s="10">
        <v>282</v>
      </c>
      <c r="G275" s="11">
        <v>45.78</v>
      </c>
      <c r="H275" s="11">
        <v>12909.96</v>
      </c>
    </row>
    <row r="276" spans="1:8" x14ac:dyDescent="0.2">
      <c r="A276" s="8" t="s">
        <v>885</v>
      </c>
      <c r="B276" s="9">
        <v>45747</v>
      </c>
      <c r="C276" s="8" t="s">
        <v>639</v>
      </c>
      <c r="D276" s="8" t="s">
        <v>640</v>
      </c>
      <c r="E276" s="8" t="s">
        <v>641</v>
      </c>
      <c r="F276" s="10">
        <v>11814</v>
      </c>
      <c r="G276" s="11">
        <v>45.78</v>
      </c>
      <c r="H276" s="11">
        <v>540844.92000000004</v>
      </c>
    </row>
    <row r="277" spans="1:8" x14ac:dyDescent="0.2">
      <c r="A277" s="8" t="s">
        <v>548</v>
      </c>
      <c r="B277" s="9">
        <v>45747</v>
      </c>
      <c r="C277" s="8" t="s">
        <v>690</v>
      </c>
      <c r="D277" s="8" t="s">
        <v>691</v>
      </c>
      <c r="E277" s="8" t="s">
        <v>692</v>
      </c>
      <c r="F277" s="10">
        <v>1393</v>
      </c>
      <c r="G277" s="11">
        <v>15.01</v>
      </c>
      <c r="H277" s="11">
        <v>20908.93</v>
      </c>
    </row>
    <row r="278" spans="1:8" x14ac:dyDescent="0.2">
      <c r="A278" s="8" t="s">
        <v>885</v>
      </c>
      <c r="B278" s="9">
        <v>45747</v>
      </c>
      <c r="C278" s="8" t="s">
        <v>690</v>
      </c>
      <c r="D278" s="8" t="s">
        <v>691</v>
      </c>
      <c r="E278" s="8" t="s">
        <v>692</v>
      </c>
      <c r="F278" s="10">
        <v>58381</v>
      </c>
      <c r="G278" s="11">
        <v>15.01</v>
      </c>
      <c r="H278" s="11">
        <v>876298.81</v>
      </c>
    </row>
    <row r="279" spans="1:8" x14ac:dyDescent="0.2">
      <c r="A279" s="8" t="s">
        <v>548</v>
      </c>
      <c r="B279" s="9">
        <v>45747</v>
      </c>
      <c r="C279" s="8" t="s">
        <v>684</v>
      </c>
      <c r="D279" s="8" t="s">
        <v>685</v>
      </c>
      <c r="E279" s="8" t="s">
        <v>686</v>
      </c>
      <c r="F279" s="10">
        <v>136</v>
      </c>
      <c r="G279" s="11">
        <v>366.49</v>
      </c>
      <c r="H279" s="11">
        <v>49842.64</v>
      </c>
    </row>
    <row r="280" spans="1:8" x14ac:dyDescent="0.2">
      <c r="A280" s="8" t="s">
        <v>885</v>
      </c>
      <c r="B280" s="9">
        <v>45747</v>
      </c>
      <c r="C280" s="8" t="s">
        <v>684</v>
      </c>
      <c r="D280" s="8" t="s">
        <v>685</v>
      </c>
      <c r="E280" s="8" t="s">
        <v>686</v>
      </c>
      <c r="F280" s="10">
        <v>5425</v>
      </c>
      <c r="G280" s="11">
        <v>366.49</v>
      </c>
      <c r="H280" s="11">
        <v>1988208.25</v>
      </c>
    </row>
    <row r="281" spans="1:8" x14ac:dyDescent="0.2">
      <c r="A281" s="8" t="s">
        <v>548</v>
      </c>
      <c r="B281" s="9">
        <v>45747</v>
      </c>
      <c r="C281" s="8" t="s">
        <v>687</v>
      </c>
      <c r="D281" s="8" t="s">
        <v>688</v>
      </c>
      <c r="E281" s="8" t="s">
        <v>689</v>
      </c>
      <c r="F281" s="10">
        <v>255</v>
      </c>
      <c r="G281" s="11">
        <v>27.13</v>
      </c>
      <c r="H281" s="11">
        <v>6918.15</v>
      </c>
    </row>
    <row r="282" spans="1:8" x14ac:dyDescent="0.2">
      <c r="A282" s="8" t="s">
        <v>885</v>
      </c>
      <c r="B282" s="9">
        <v>45747</v>
      </c>
      <c r="C282" s="8" t="s">
        <v>687</v>
      </c>
      <c r="D282" s="8" t="s">
        <v>688</v>
      </c>
      <c r="E282" s="8" t="s">
        <v>689</v>
      </c>
      <c r="F282" s="10">
        <v>10677</v>
      </c>
      <c r="G282" s="11">
        <v>27.13</v>
      </c>
      <c r="H282" s="11">
        <v>289667.01</v>
      </c>
    </row>
    <row r="283" spans="1:8" x14ac:dyDescent="0.2">
      <c r="A283" s="8" t="s">
        <v>548</v>
      </c>
      <c r="B283" s="9">
        <v>45747</v>
      </c>
      <c r="C283" s="8" t="s">
        <v>693</v>
      </c>
      <c r="D283" s="8" t="s">
        <v>694</v>
      </c>
      <c r="E283" s="8" t="s">
        <v>695</v>
      </c>
      <c r="F283" s="10">
        <v>20126</v>
      </c>
      <c r="G283" s="11">
        <v>25</v>
      </c>
      <c r="H283" s="11">
        <v>503150</v>
      </c>
    </row>
    <row r="284" spans="1:8" x14ac:dyDescent="0.2">
      <c r="A284" s="8" t="s">
        <v>548</v>
      </c>
      <c r="B284" s="9">
        <v>45747</v>
      </c>
      <c r="C284" s="8" t="s">
        <v>696</v>
      </c>
      <c r="D284" s="8" t="s">
        <v>697</v>
      </c>
      <c r="E284" s="8" t="s">
        <v>698</v>
      </c>
      <c r="F284" s="10">
        <v>579</v>
      </c>
      <c r="G284" s="11">
        <v>18.25</v>
      </c>
      <c r="H284" s="11">
        <v>10566.75</v>
      </c>
    </row>
    <row r="285" spans="1:8" x14ac:dyDescent="0.2">
      <c r="A285" s="8" t="s">
        <v>885</v>
      </c>
      <c r="B285" s="9">
        <v>45747</v>
      </c>
      <c r="C285" s="8" t="s">
        <v>696</v>
      </c>
      <c r="D285" s="8" t="s">
        <v>697</v>
      </c>
      <c r="E285" s="8" t="s">
        <v>698</v>
      </c>
      <c r="F285" s="10">
        <v>23987</v>
      </c>
      <c r="G285" s="11">
        <v>18.25</v>
      </c>
      <c r="H285" s="11">
        <v>437762.75</v>
      </c>
    </row>
    <row r="286" spans="1:8" x14ac:dyDescent="0.2">
      <c r="A286" s="8" t="s">
        <v>548</v>
      </c>
      <c r="B286" s="9">
        <v>45747</v>
      </c>
      <c r="C286" s="8" t="s">
        <v>699</v>
      </c>
      <c r="D286" s="8" t="s">
        <v>700</v>
      </c>
      <c r="E286" s="8" t="s">
        <v>701</v>
      </c>
      <c r="F286" s="10">
        <v>391</v>
      </c>
      <c r="G286" s="11">
        <v>13.93</v>
      </c>
      <c r="H286" s="11">
        <v>5446.63</v>
      </c>
    </row>
    <row r="287" spans="1:8" x14ac:dyDescent="0.2">
      <c r="A287" s="8" t="s">
        <v>885</v>
      </c>
      <c r="B287" s="9">
        <v>45747</v>
      </c>
      <c r="C287" s="8" t="s">
        <v>699</v>
      </c>
      <c r="D287" s="8" t="s">
        <v>700</v>
      </c>
      <c r="E287" s="8" t="s">
        <v>701</v>
      </c>
      <c r="F287" s="10">
        <v>16106</v>
      </c>
      <c r="G287" s="11">
        <v>13.93</v>
      </c>
      <c r="H287" s="11">
        <v>224356.58</v>
      </c>
    </row>
    <row r="288" spans="1:8" x14ac:dyDescent="0.2">
      <c r="A288" s="8" t="s">
        <v>548</v>
      </c>
      <c r="B288" s="9">
        <v>45747</v>
      </c>
      <c r="C288" s="8" t="s">
        <v>702</v>
      </c>
      <c r="D288" s="8" t="s">
        <v>703</v>
      </c>
      <c r="E288" s="8" t="s">
        <v>704</v>
      </c>
      <c r="F288" s="10">
        <v>440</v>
      </c>
      <c r="G288" s="11">
        <v>30.900099999999998</v>
      </c>
      <c r="H288" s="11">
        <v>13596.04</v>
      </c>
    </row>
    <row r="289" spans="1:8" x14ac:dyDescent="0.2">
      <c r="A289" s="8" t="s">
        <v>885</v>
      </c>
      <c r="B289" s="9">
        <v>45747</v>
      </c>
      <c r="C289" s="8" t="s">
        <v>702</v>
      </c>
      <c r="D289" s="8" t="s">
        <v>703</v>
      </c>
      <c r="E289" s="8" t="s">
        <v>704</v>
      </c>
      <c r="F289" s="10">
        <v>18471</v>
      </c>
      <c r="G289" s="11">
        <v>30.900099999999998</v>
      </c>
      <c r="H289" s="11">
        <v>570755.75</v>
      </c>
    </row>
    <row r="290" spans="1:8" x14ac:dyDescent="0.2">
      <c r="A290" s="8" t="s">
        <v>548</v>
      </c>
      <c r="B290" s="9">
        <v>45747</v>
      </c>
      <c r="C290" s="8" t="s">
        <v>708</v>
      </c>
      <c r="D290" s="8" t="s">
        <v>709</v>
      </c>
      <c r="E290" s="8" t="s">
        <v>710</v>
      </c>
      <c r="F290" s="10">
        <v>233</v>
      </c>
      <c r="G290" s="11">
        <v>13.5</v>
      </c>
      <c r="H290" s="11">
        <v>3145.5</v>
      </c>
    </row>
    <row r="291" spans="1:8" x14ac:dyDescent="0.2">
      <c r="A291" s="8" t="s">
        <v>885</v>
      </c>
      <c r="B291" s="9">
        <v>45747</v>
      </c>
      <c r="C291" s="8" t="s">
        <v>708</v>
      </c>
      <c r="D291" s="8" t="s">
        <v>709</v>
      </c>
      <c r="E291" s="8" t="s">
        <v>710</v>
      </c>
      <c r="F291" s="10">
        <v>9679</v>
      </c>
      <c r="G291" s="11">
        <v>13.5</v>
      </c>
      <c r="H291" s="11">
        <v>130666.5</v>
      </c>
    </row>
    <row r="292" spans="1:8" x14ac:dyDescent="0.2">
      <c r="A292" s="8" t="s">
        <v>548</v>
      </c>
      <c r="B292" s="9">
        <v>45747</v>
      </c>
      <c r="C292" s="8" t="s">
        <v>768</v>
      </c>
      <c r="D292" s="8" t="s">
        <v>769</v>
      </c>
      <c r="E292" s="8" t="s">
        <v>770</v>
      </c>
      <c r="F292" s="10">
        <v>395</v>
      </c>
      <c r="G292" s="11">
        <v>20.89</v>
      </c>
      <c r="H292" s="11">
        <v>8251.5499999999993</v>
      </c>
    </row>
    <row r="293" spans="1:8" x14ac:dyDescent="0.2">
      <c r="A293" s="8" t="s">
        <v>885</v>
      </c>
      <c r="B293" s="9">
        <v>45747</v>
      </c>
      <c r="C293" s="8" t="s">
        <v>768</v>
      </c>
      <c r="D293" s="8" t="s">
        <v>769</v>
      </c>
      <c r="E293" s="8" t="s">
        <v>770</v>
      </c>
      <c r="F293" s="10">
        <v>16209</v>
      </c>
      <c r="G293" s="11">
        <v>20.89</v>
      </c>
      <c r="H293" s="11">
        <v>338606.01</v>
      </c>
    </row>
    <row r="294" spans="1:8" x14ac:dyDescent="0.2">
      <c r="A294" s="8" t="s">
        <v>548</v>
      </c>
      <c r="B294" s="9">
        <v>45747</v>
      </c>
      <c r="C294" s="8" t="s">
        <v>714</v>
      </c>
      <c r="D294" s="8" t="s">
        <v>715</v>
      </c>
      <c r="E294" s="8" t="s">
        <v>716</v>
      </c>
      <c r="F294" s="10">
        <v>354</v>
      </c>
      <c r="G294" s="11">
        <v>41.12</v>
      </c>
      <c r="H294" s="11">
        <v>14556.48</v>
      </c>
    </row>
    <row r="295" spans="1:8" x14ac:dyDescent="0.2">
      <c r="A295" s="8" t="s">
        <v>885</v>
      </c>
      <c r="B295" s="9">
        <v>45747</v>
      </c>
      <c r="C295" s="8" t="s">
        <v>714</v>
      </c>
      <c r="D295" s="8" t="s">
        <v>715</v>
      </c>
      <c r="E295" s="8" t="s">
        <v>716</v>
      </c>
      <c r="F295" s="10">
        <v>14490</v>
      </c>
      <c r="G295" s="11">
        <v>41.12</v>
      </c>
      <c r="H295" s="11">
        <v>595828.80000000005</v>
      </c>
    </row>
    <row r="296" spans="1:8" x14ac:dyDescent="0.2">
      <c r="A296" s="8" t="s">
        <v>548</v>
      </c>
      <c r="B296" s="9">
        <v>45747</v>
      </c>
      <c r="C296" s="8" t="s">
        <v>711</v>
      </c>
      <c r="D296" s="8" t="s">
        <v>712</v>
      </c>
      <c r="E296" s="8" t="s">
        <v>713</v>
      </c>
      <c r="F296" s="10">
        <v>19</v>
      </c>
      <c r="G296" s="11">
        <v>245.3</v>
      </c>
      <c r="H296" s="11">
        <v>4660.7</v>
      </c>
    </row>
    <row r="297" spans="1:8" x14ac:dyDescent="0.2">
      <c r="A297" s="8" t="s">
        <v>885</v>
      </c>
      <c r="B297" s="9">
        <v>45747</v>
      </c>
      <c r="C297" s="8" t="s">
        <v>711</v>
      </c>
      <c r="D297" s="8" t="s">
        <v>712</v>
      </c>
      <c r="E297" s="8" t="s">
        <v>713</v>
      </c>
      <c r="F297" s="10">
        <v>705</v>
      </c>
      <c r="G297" s="11">
        <v>245.3</v>
      </c>
      <c r="H297" s="11">
        <v>172936.5</v>
      </c>
    </row>
    <row r="298" spans="1:8" x14ac:dyDescent="0.2">
      <c r="A298" s="8" t="s">
        <v>548</v>
      </c>
      <c r="B298" s="9">
        <v>45747</v>
      </c>
      <c r="C298" s="8" t="s">
        <v>717</v>
      </c>
      <c r="D298" s="8" t="s">
        <v>718</v>
      </c>
      <c r="E298" s="8" t="s">
        <v>719</v>
      </c>
      <c r="F298" s="10">
        <v>467</v>
      </c>
      <c r="G298" s="11">
        <v>15.99</v>
      </c>
      <c r="H298" s="11">
        <v>7467.33</v>
      </c>
    </row>
    <row r="299" spans="1:8" x14ac:dyDescent="0.2">
      <c r="A299" s="8" t="s">
        <v>885</v>
      </c>
      <c r="B299" s="9">
        <v>45747</v>
      </c>
      <c r="C299" s="8" t="s">
        <v>717</v>
      </c>
      <c r="D299" s="8" t="s">
        <v>718</v>
      </c>
      <c r="E299" s="8" t="s">
        <v>719</v>
      </c>
      <c r="F299" s="10">
        <v>19372</v>
      </c>
      <c r="G299" s="11">
        <v>15.99</v>
      </c>
      <c r="H299" s="11">
        <v>309758.28000000003</v>
      </c>
    </row>
    <row r="300" spans="1:8" x14ac:dyDescent="0.2">
      <c r="A300" s="8" t="s">
        <v>548</v>
      </c>
      <c r="B300" s="9">
        <v>45747</v>
      </c>
      <c r="C300" s="8" t="s">
        <v>807</v>
      </c>
      <c r="D300" s="8" t="s">
        <v>808</v>
      </c>
      <c r="E300" s="8" t="s">
        <v>809</v>
      </c>
      <c r="F300" s="10">
        <v>1138</v>
      </c>
      <c r="G300" s="11">
        <v>4.1950000000000003</v>
      </c>
      <c r="H300" s="11">
        <v>4773.91</v>
      </c>
    </row>
    <row r="301" spans="1:8" x14ac:dyDescent="0.2">
      <c r="A301" s="8" t="s">
        <v>885</v>
      </c>
      <c r="B301" s="9">
        <v>45747</v>
      </c>
      <c r="C301" s="8" t="s">
        <v>807</v>
      </c>
      <c r="D301" s="8" t="s">
        <v>808</v>
      </c>
      <c r="E301" s="8" t="s">
        <v>809</v>
      </c>
      <c r="F301" s="10">
        <v>47718</v>
      </c>
      <c r="G301" s="11">
        <v>4.1950000000000003</v>
      </c>
      <c r="H301" s="11">
        <v>200177.01</v>
      </c>
    </row>
    <row r="302" spans="1:8" x14ac:dyDescent="0.2">
      <c r="A302" s="8" t="s">
        <v>548</v>
      </c>
      <c r="B302" s="9">
        <v>45747</v>
      </c>
      <c r="C302" s="8" t="s">
        <v>720</v>
      </c>
      <c r="D302" s="8" t="s">
        <v>721</v>
      </c>
      <c r="E302" s="8" t="s">
        <v>722</v>
      </c>
      <c r="F302" s="10">
        <v>48</v>
      </c>
      <c r="G302" s="11">
        <v>142.22</v>
      </c>
      <c r="H302" s="11">
        <v>6826.56</v>
      </c>
    </row>
    <row r="303" spans="1:8" x14ac:dyDescent="0.2">
      <c r="A303" s="8" t="s">
        <v>885</v>
      </c>
      <c r="B303" s="9">
        <v>45747</v>
      </c>
      <c r="C303" s="8" t="s">
        <v>720</v>
      </c>
      <c r="D303" s="8" t="s">
        <v>721</v>
      </c>
      <c r="E303" s="8" t="s">
        <v>722</v>
      </c>
      <c r="F303" s="10">
        <v>1635</v>
      </c>
      <c r="G303" s="11">
        <v>142.22</v>
      </c>
      <c r="H303" s="11">
        <v>232529.7</v>
      </c>
    </row>
    <row r="304" spans="1:8" x14ac:dyDescent="0.2">
      <c r="A304" s="8" t="s">
        <v>548</v>
      </c>
      <c r="B304" s="9">
        <v>45747</v>
      </c>
      <c r="C304" s="8" t="s">
        <v>723</v>
      </c>
      <c r="D304" s="8" t="s">
        <v>724</v>
      </c>
      <c r="E304" s="8" t="s">
        <v>725</v>
      </c>
      <c r="F304" s="10">
        <v>290</v>
      </c>
      <c r="G304" s="11">
        <v>29.06</v>
      </c>
      <c r="H304" s="11">
        <v>8427.4</v>
      </c>
    </row>
    <row r="305" spans="1:8" x14ac:dyDescent="0.2">
      <c r="A305" s="8" t="s">
        <v>885</v>
      </c>
      <c r="B305" s="9">
        <v>45747</v>
      </c>
      <c r="C305" s="8" t="s">
        <v>723</v>
      </c>
      <c r="D305" s="8" t="s">
        <v>724</v>
      </c>
      <c r="E305" s="8" t="s">
        <v>725</v>
      </c>
      <c r="F305" s="10">
        <v>11749</v>
      </c>
      <c r="G305" s="11">
        <v>29.06</v>
      </c>
      <c r="H305" s="11">
        <v>341425.94</v>
      </c>
    </row>
    <row r="306" spans="1:8" x14ac:dyDescent="0.2">
      <c r="A306" s="8" t="s">
        <v>548</v>
      </c>
      <c r="B306" s="9">
        <v>45747</v>
      </c>
      <c r="C306" s="8" t="s">
        <v>726</v>
      </c>
      <c r="D306" s="8" t="s">
        <v>727</v>
      </c>
      <c r="E306" s="8" t="s">
        <v>728</v>
      </c>
      <c r="F306" s="10">
        <v>18</v>
      </c>
      <c r="G306" s="11">
        <v>446.71</v>
      </c>
      <c r="H306" s="11">
        <v>8040.78</v>
      </c>
    </row>
    <row r="307" spans="1:8" x14ac:dyDescent="0.2">
      <c r="A307" s="8" t="s">
        <v>885</v>
      </c>
      <c r="B307" s="9">
        <v>45747</v>
      </c>
      <c r="C307" s="8" t="s">
        <v>726</v>
      </c>
      <c r="D307" s="8" t="s">
        <v>727</v>
      </c>
      <c r="E307" s="8" t="s">
        <v>728</v>
      </c>
      <c r="F307" s="10">
        <v>682</v>
      </c>
      <c r="G307" s="11">
        <v>446.71</v>
      </c>
      <c r="H307" s="11">
        <v>304656.21999999997</v>
      </c>
    </row>
    <row r="308" spans="1:8" x14ac:dyDescent="0.2">
      <c r="A308" s="8" t="s">
        <v>548</v>
      </c>
      <c r="B308" s="9">
        <v>45747</v>
      </c>
      <c r="C308" s="8" t="s">
        <v>645</v>
      </c>
      <c r="D308" s="8" t="s">
        <v>646</v>
      </c>
      <c r="E308" s="8" t="s">
        <v>647</v>
      </c>
      <c r="F308" s="10">
        <v>267</v>
      </c>
      <c r="G308" s="11">
        <v>14.63</v>
      </c>
      <c r="H308" s="11">
        <v>3906.21</v>
      </c>
    </row>
    <row r="309" spans="1:8" x14ac:dyDescent="0.2">
      <c r="A309" s="8" t="s">
        <v>885</v>
      </c>
      <c r="B309" s="9">
        <v>45747</v>
      </c>
      <c r="C309" s="8" t="s">
        <v>645</v>
      </c>
      <c r="D309" s="8" t="s">
        <v>646</v>
      </c>
      <c r="E309" s="8" t="s">
        <v>647</v>
      </c>
      <c r="F309" s="10">
        <v>11208</v>
      </c>
      <c r="G309" s="11">
        <v>14.63</v>
      </c>
      <c r="H309" s="11">
        <v>163973.04</v>
      </c>
    </row>
    <row r="310" spans="1:8" x14ac:dyDescent="0.2">
      <c r="A310" s="8" t="s">
        <v>548</v>
      </c>
      <c r="B310" s="9">
        <v>45747</v>
      </c>
      <c r="C310" s="8" t="s">
        <v>732</v>
      </c>
      <c r="D310" s="8" t="s">
        <v>733</v>
      </c>
      <c r="E310" s="8" t="s">
        <v>734</v>
      </c>
      <c r="F310" s="10">
        <v>176</v>
      </c>
      <c r="G310" s="11">
        <v>31.15</v>
      </c>
      <c r="H310" s="11">
        <v>5482.4</v>
      </c>
    </row>
    <row r="311" spans="1:8" x14ac:dyDescent="0.2">
      <c r="A311" s="8" t="s">
        <v>885</v>
      </c>
      <c r="B311" s="9">
        <v>45747</v>
      </c>
      <c r="C311" s="8" t="s">
        <v>732</v>
      </c>
      <c r="D311" s="8" t="s">
        <v>733</v>
      </c>
      <c r="E311" s="8" t="s">
        <v>734</v>
      </c>
      <c r="F311" s="10">
        <v>7096</v>
      </c>
      <c r="G311" s="11">
        <v>31.15</v>
      </c>
      <c r="H311" s="11">
        <v>221040.4</v>
      </c>
    </row>
    <row r="312" spans="1:8" x14ac:dyDescent="0.2">
      <c r="A312" s="8" t="s">
        <v>548</v>
      </c>
      <c r="B312" s="9">
        <v>45747</v>
      </c>
      <c r="C312" s="8" t="s">
        <v>735</v>
      </c>
      <c r="D312" s="8" t="s">
        <v>736</v>
      </c>
      <c r="E312" s="8" t="s">
        <v>737</v>
      </c>
      <c r="F312" s="10">
        <v>247</v>
      </c>
      <c r="G312" s="11">
        <v>89.76</v>
      </c>
      <c r="H312" s="11">
        <v>22170.720000000001</v>
      </c>
    </row>
    <row r="313" spans="1:8" x14ac:dyDescent="0.2">
      <c r="A313" s="8" t="s">
        <v>885</v>
      </c>
      <c r="B313" s="9">
        <v>45747</v>
      </c>
      <c r="C313" s="8" t="s">
        <v>735</v>
      </c>
      <c r="D313" s="8" t="s">
        <v>736</v>
      </c>
      <c r="E313" s="8" t="s">
        <v>737</v>
      </c>
      <c r="F313" s="10">
        <v>10259</v>
      </c>
      <c r="G313" s="11">
        <v>89.76</v>
      </c>
      <c r="H313" s="11">
        <v>920847.84</v>
      </c>
    </row>
    <row r="314" spans="1:8" x14ac:dyDescent="0.2">
      <c r="A314" s="8" t="s">
        <v>548</v>
      </c>
      <c r="B314" s="9">
        <v>45747</v>
      </c>
      <c r="C314" s="8" t="s">
        <v>729</v>
      </c>
      <c r="D314" s="8" t="s">
        <v>730</v>
      </c>
      <c r="E314" s="8" t="s">
        <v>731</v>
      </c>
      <c r="F314" s="10">
        <v>124</v>
      </c>
      <c r="G314" s="11">
        <v>21.67</v>
      </c>
      <c r="H314" s="11">
        <v>2687.08</v>
      </c>
    </row>
    <row r="315" spans="1:8" x14ac:dyDescent="0.2">
      <c r="A315" s="8" t="s">
        <v>885</v>
      </c>
      <c r="B315" s="9">
        <v>45747</v>
      </c>
      <c r="C315" s="8" t="s">
        <v>729</v>
      </c>
      <c r="D315" s="8" t="s">
        <v>730</v>
      </c>
      <c r="E315" s="8" t="s">
        <v>731</v>
      </c>
      <c r="F315" s="10">
        <v>4885</v>
      </c>
      <c r="G315" s="11">
        <v>21.67</v>
      </c>
      <c r="H315" s="11">
        <v>105857.95</v>
      </c>
    </row>
    <row r="316" spans="1:8" x14ac:dyDescent="0.2">
      <c r="A316" s="8" t="s">
        <v>548</v>
      </c>
      <c r="B316" s="9">
        <v>45747</v>
      </c>
      <c r="C316" s="8" t="s">
        <v>738</v>
      </c>
      <c r="D316" s="8" t="s">
        <v>739</v>
      </c>
      <c r="E316" s="8" t="s">
        <v>740</v>
      </c>
      <c r="F316" s="10">
        <v>673</v>
      </c>
      <c r="G316" s="11">
        <v>65.61</v>
      </c>
      <c r="H316" s="11">
        <v>44155.53</v>
      </c>
    </row>
    <row r="317" spans="1:8" x14ac:dyDescent="0.2">
      <c r="A317" s="8" t="s">
        <v>885</v>
      </c>
      <c r="B317" s="9">
        <v>45747</v>
      </c>
      <c r="C317" s="8" t="s">
        <v>738</v>
      </c>
      <c r="D317" s="8" t="s">
        <v>739</v>
      </c>
      <c r="E317" s="8" t="s">
        <v>740</v>
      </c>
      <c r="F317" s="10">
        <v>27916</v>
      </c>
      <c r="G317" s="11">
        <v>65.61</v>
      </c>
      <c r="H317" s="11">
        <v>1831568.76</v>
      </c>
    </row>
    <row r="318" spans="1:8" x14ac:dyDescent="0.2">
      <c r="A318" s="8" t="s">
        <v>548</v>
      </c>
      <c r="B318" s="9">
        <v>45747</v>
      </c>
      <c r="C318" s="8" t="s">
        <v>756</v>
      </c>
      <c r="D318" s="8" t="s">
        <v>757</v>
      </c>
      <c r="E318" s="8" t="s">
        <v>758</v>
      </c>
      <c r="F318" s="10">
        <v>471</v>
      </c>
      <c r="G318" s="11">
        <v>5.81</v>
      </c>
      <c r="H318" s="11">
        <v>2736.51</v>
      </c>
    </row>
    <row r="319" spans="1:8" x14ac:dyDescent="0.2">
      <c r="A319" s="8" t="s">
        <v>885</v>
      </c>
      <c r="B319" s="9">
        <v>45747</v>
      </c>
      <c r="C319" s="8" t="s">
        <v>756</v>
      </c>
      <c r="D319" s="8" t="s">
        <v>757</v>
      </c>
      <c r="E319" s="8" t="s">
        <v>758</v>
      </c>
      <c r="F319" s="10">
        <v>19462</v>
      </c>
      <c r="G319" s="11">
        <v>5.81</v>
      </c>
      <c r="H319" s="11">
        <v>113074.22</v>
      </c>
    </row>
    <row r="320" spans="1:8" x14ac:dyDescent="0.2">
      <c r="A320" s="8" t="s">
        <v>548</v>
      </c>
      <c r="B320" s="9">
        <v>45747</v>
      </c>
      <c r="C320" s="8" t="s">
        <v>747</v>
      </c>
      <c r="D320" s="8" t="s">
        <v>748</v>
      </c>
      <c r="E320" s="8" t="s">
        <v>749</v>
      </c>
      <c r="F320" s="10">
        <v>139</v>
      </c>
      <c r="G320" s="11">
        <v>40.090000000000003</v>
      </c>
      <c r="H320" s="11">
        <v>5572.51</v>
      </c>
    </row>
    <row r="321" spans="1:8" x14ac:dyDescent="0.2">
      <c r="A321" s="8" t="s">
        <v>885</v>
      </c>
      <c r="B321" s="9">
        <v>45747</v>
      </c>
      <c r="C321" s="8" t="s">
        <v>747</v>
      </c>
      <c r="D321" s="8" t="s">
        <v>748</v>
      </c>
      <c r="E321" s="8" t="s">
        <v>749</v>
      </c>
      <c r="F321" s="10">
        <v>5733</v>
      </c>
      <c r="G321" s="11">
        <v>40.090000000000003</v>
      </c>
      <c r="H321" s="11">
        <v>229835.97</v>
      </c>
    </row>
    <row r="322" spans="1:8" x14ac:dyDescent="0.2">
      <c r="A322" s="8" t="s">
        <v>548</v>
      </c>
      <c r="B322" s="9">
        <v>45747</v>
      </c>
      <c r="C322" s="8" t="s">
        <v>567</v>
      </c>
      <c r="D322" s="8" t="s">
        <v>568</v>
      </c>
      <c r="E322" s="8" t="s">
        <v>569</v>
      </c>
      <c r="F322" s="10">
        <v>343</v>
      </c>
      <c r="G322" s="11">
        <v>20.309999999999999</v>
      </c>
      <c r="H322" s="11">
        <v>6966.33</v>
      </c>
    </row>
    <row r="323" spans="1:8" x14ac:dyDescent="0.2">
      <c r="A323" s="8" t="s">
        <v>885</v>
      </c>
      <c r="B323" s="9">
        <v>45747</v>
      </c>
      <c r="C323" s="8" t="s">
        <v>567</v>
      </c>
      <c r="D323" s="8" t="s">
        <v>568</v>
      </c>
      <c r="E323" s="8" t="s">
        <v>569</v>
      </c>
      <c r="F323" s="10">
        <v>13988</v>
      </c>
      <c r="G323" s="11">
        <v>20.309999999999999</v>
      </c>
      <c r="H323" s="11">
        <v>284096.28000000003</v>
      </c>
    </row>
    <row r="324" spans="1:8" x14ac:dyDescent="0.2">
      <c r="A324" s="8" t="s">
        <v>548</v>
      </c>
      <c r="B324" s="9">
        <v>45747</v>
      </c>
      <c r="C324" s="8" t="s">
        <v>753</v>
      </c>
      <c r="D324" s="8" t="s">
        <v>754</v>
      </c>
      <c r="E324" s="8" t="s">
        <v>755</v>
      </c>
      <c r="F324" s="10">
        <v>1844</v>
      </c>
      <c r="G324" s="11">
        <v>6.15</v>
      </c>
      <c r="H324" s="11">
        <v>11340.6</v>
      </c>
    </row>
    <row r="325" spans="1:8" x14ac:dyDescent="0.2">
      <c r="A325" s="8" t="s">
        <v>885</v>
      </c>
      <c r="B325" s="9">
        <v>45747</v>
      </c>
      <c r="C325" s="8" t="s">
        <v>753</v>
      </c>
      <c r="D325" s="8" t="s">
        <v>754</v>
      </c>
      <c r="E325" s="8" t="s">
        <v>755</v>
      </c>
      <c r="F325" s="10">
        <v>77387</v>
      </c>
      <c r="G325" s="11">
        <v>6.15</v>
      </c>
      <c r="H325" s="11">
        <v>475930.05</v>
      </c>
    </row>
    <row r="326" spans="1:8" x14ac:dyDescent="0.2">
      <c r="A326" s="8" t="s">
        <v>548</v>
      </c>
      <c r="B326" s="9">
        <v>45747</v>
      </c>
      <c r="C326" s="8" t="s">
        <v>759</v>
      </c>
      <c r="D326" s="8" t="s">
        <v>760</v>
      </c>
      <c r="E326" s="8" t="s">
        <v>761</v>
      </c>
      <c r="F326" s="10">
        <v>69</v>
      </c>
      <c r="G326" s="11">
        <v>512.01</v>
      </c>
      <c r="H326" s="11">
        <v>35328.69</v>
      </c>
    </row>
    <row r="327" spans="1:8" x14ac:dyDescent="0.2">
      <c r="A327" s="8" t="s">
        <v>885</v>
      </c>
      <c r="B327" s="9">
        <v>45747</v>
      </c>
      <c r="C327" s="8" t="s">
        <v>759</v>
      </c>
      <c r="D327" s="8" t="s">
        <v>760</v>
      </c>
      <c r="E327" s="8" t="s">
        <v>761</v>
      </c>
      <c r="F327" s="10">
        <v>2863</v>
      </c>
      <c r="G327" s="11">
        <v>512.01</v>
      </c>
      <c r="H327" s="11">
        <v>1465884.63</v>
      </c>
    </row>
    <row r="328" spans="1:8" x14ac:dyDescent="0.2">
      <c r="A328" s="8" t="s">
        <v>548</v>
      </c>
      <c r="B328" s="9">
        <v>45747</v>
      </c>
      <c r="C328" s="8" t="s">
        <v>750</v>
      </c>
      <c r="D328" s="8" t="s">
        <v>751</v>
      </c>
      <c r="E328" s="8" t="s">
        <v>752</v>
      </c>
      <c r="F328" s="10">
        <v>926</v>
      </c>
      <c r="G328" s="11">
        <v>5.27</v>
      </c>
      <c r="H328" s="11">
        <v>4880.0200000000004</v>
      </c>
    </row>
    <row r="329" spans="1:8" x14ac:dyDescent="0.2">
      <c r="A329" s="8" t="s">
        <v>885</v>
      </c>
      <c r="B329" s="9">
        <v>45747</v>
      </c>
      <c r="C329" s="8" t="s">
        <v>750</v>
      </c>
      <c r="D329" s="8" t="s">
        <v>751</v>
      </c>
      <c r="E329" s="8" t="s">
        <v>752</v>
      </c>
      <c r="F329" s="10">
        <v>38545</v>
      </c>
      <c r="G329" s="11">
        <v>5.27</v>
      </c>
      <c r="H329" s="11">
        <v>203132.15</v>
      </c>
    </row>
    <row r="330" spans="1:8" x14ac:dyDescent="0.2">
      <c r="A330" s="8" t="s">
        <v>548</v>
      </c>
      <c r="B330" s="9">
        <v>45747</v>
      </c>
      <c r="C330" s="8" t="s">
        <v>744</v>
      </c>
      <c r="D330" s="8" t="s">
        <v>745</v>
      </c>
      <c r="E330" s="8" t="s">
        <v>746</v>
      </c>
      <c r="F330" s="10">
        <v>441</v>
      </c>
      <c r="G330" s="11">
        <v>24.15</v>
      </c>
      <c r="H330" s="11">
        <v>10650.15</v>
      </c>
    </row>
    <row r="331" spans="1:8" x14ac:dyDescent="0.2">
      <c r="A331" s="8" t="s">
        <v>885</v>
      </c>
      <c r="B331" s="9">
        <v>45747</v>
      </c>
      <c r="C331" s="8" t="s">
        <v>744</v>
      </c>
      <c r="D331" s="8" t="s">
        <v>745</v>
      </c>
      <c r="E331" s="8" t="s">
        <v>746</v>
      </c>
      <c r="F331" s="10">
        <v>18514</v>
      </c>
      <c r="G331" s="11">
        <v>24.15</v>
      </c>
      <c r="H331" s="11">
        <v>447113.1</v>
      </c>
    </row>
    <row r="332" spans="1:8" x14ac:dyDescent="0.2">
      <c r="A332" s="8" t="s">
        <v>548</v>
      </c>
      <c r="B332" s="9">
        <v>45747</v>
      </c>
      <c r="C332" s="8" t="s">
        <v>762</v>
      </c>
      <c r="D332" s="8" t="s">
        <v>763</v>
      </c>
      <c r="E332" s="8" t="s">
        <v>764</v>
      </c>
      <c r="F332" s="10">
        <v>285</v>
      </c>
      <c r="G332" s="11">
        <v>111.48</v>
      </c>
      <c r="H332" s="11">
        <v>31771.8</v>
      </c>
    </row>
    <row r="333" spans="1:8" x14ac:dyDescent="0.2">
      <c r="A333" s="8" t="s">
        <v>885</v>
      </c>
      <c r="B333" s="9">
        <v>45747</v>
      </c>
      <c r="C333" s="8" t="s">
        <v>762</v>
      </c>
      <c r="D333" s="8" t="s">
        <v>763</v>
      </c>
      <c r="E333" s="8" t="s">
        <v>764</v>
      </c>
      <c r="F333" s="10">
        <v>11878</v>
      </c>
      <c r="G333" s="11">
        <v>111.48</v>
      </c>
      <c r="H333" s="11">
        <v>1324159.44</v>
      </c>
    </row>
    <row r="334" spans="1:8" x14ac:dyDescent="0.2">
      <c r="A334" s="8" t="s">
        <v>548</v>
      </c>
      <c r="B334" s="9">
        <v>45747</v>
      </c>
      <c r="C334" s="8" t="s">
        <v>741</v>
      </c>
      <c r="D334" s="8" t="s">
        <v>742</v>
      </c>
      <c r="E334" s="8" t="s">
        <v>743</v>
      </c>
      <c r="F334" s="10">
        <v>991</v>
      </c>
      <c r="G334" s="11">
        <v>11.92</v>
      </c>
      <c r="H334" s="11">
        <v>11812.72</v>
      </c>
    </row>
    <row r="335" spans="1:8" x14ac:dyDescent="0.2">
      <c r="A335" s="8" t="s">
        <v>885</v>
      </c>
      <c r="B335" s="9">
        <v>45747</v>
      </c>
      <c r="C335" s="8" t="s">
        <v>741</v>
      </c>
      <c r="D335" s="8" t="s">
        <v>742</v>
      </c>
      <c r="E335" s="8" t="s">
        <v>743</v>
      </c>
      <c r="F335" s="10">
        <v>41311</v>
      </c>
      <c r="G335" s="11">
        <v>11.92</v>
      </c>
      <c r="H335" s="11">
        <v>492427.12</v>
      </c>
    </row>
    <row r="336" spans="1:8" x14ac:dyDescent="0.2">
      <c r="A336" s="8" t="s">
        <v>548</v>
      </c>
      <c r="B336" s="9">
        <v>45747</v>
      </c>
      <c r="C336" s="8" t="s">
        <v>771</v>
      </c>
      <c r="D336" s="8" t="s">
        <v>772</v>
      </c>
      <c r="E336" s="8" t="s">
        <v>773</v>
      </c>
      <c r="F336" s="10">
        <v>51</v>
      </c>
      <c r="G336" s="11">
        <v>142.82</v>
      </c>
      <c r="H336" s="11">
        <v>7283.82</v>
      </c>
    </row>
    <row r="337" spans="1:8" x14ac:dyDescent="0.2">
      <c r="A337" s="8" t="s">
        <v>885</v>
      </c>
      <c r="B337" s="9">
        <v>45747</v>
      </c>
      <c r="C337" s="8" t="s">
        <v>771</v>
      </c>
      <c r="D337" s="8" t="s">
        <v>772</v>
      </c>
      <c r="E337" s="8" t="s">
        <v>773</v>
      </c>
      <c r="F337" s="10">
        <v>1940</v>
      </c>
      <c r="G337" s="11">
        <v>142.82</v>
      </c>
      <c r="H337" s="11">
        <v>277070.8</v>
      </c>
    </row>
    <row r="338" spans="1:8" x14ac:dyDescent="0.2">
      <c r="A338" s="8" t="s">
        <v>548</v>
      </c>
      <c r="B338" s="9">
        <v>45747</v>
      </c>
      <c r="C338" s="8" t="s">
        <v>765</v>
      </c>
      <c r="D338" s="8" t="s">
        <v>766</v>
      </c>
      <c r="E338" s="8" t="s">
        <v>767</v>
      </c>
      <c r="F338" s="10">
        <v>58</v>
      </c>
      <c r="G338" s="11">
        <v>99.22</v>
      </c>
      <c r="H338" s="11">
        <v>5754.76</v>
      </c>
    </row>
    <row r="339" spans="1:8" x14ac:dyDescent="0.2">
      <c r="A339" s="8" t="s">
        <v>885</v>
      </c>
      <c r="B339" s="9">
        <v>45747</v>
      </c>
      <c r="C339" s="8" t="s">
        <v>765</v>
      </c>
      <c r="D339" s="8" t="s">
        <v>766</v>
      </c>
      <c r="E339" s="8" t="s">
        <v>767</v>
      </c>
      <c r="F339" s="10">
        <v>2109</v>
      </c>
      <c r="G339" s="11">
        <v>99.22</v>
      </c>
      <c r="H339" s="11">
        <v>209254.98</v>
      </c>
    </row>
    <row r="340" spans="1:8" x14ac:dyDescent="0.2">
      <c r="A340" s="8" t="s">
        <v>548</v>
      </c>
      <c r="B340" s="9">
        <v>45747</v>
      </c>
      <c r="C340" s="8" t="s">
        <v>780</v>
      </c>
      <c r="D340" s="8" t="s">
        <v>781</v>
      </c>
      <c r="E340" s="8" t="s">
        <v>782</v>
      </c>
      <c r="F340" s="10">
        <v>194</v>
      </c>
      <c r="G340" s="11">
        <v>149.94</v>
      </c>
      <c r="H340" s="11">
        <v>29088.36</v>
      </c>
    </row>
    <row r="341" spans="1:8" x14ac:dyDescent="0.2">
      <c r="A341" s="8" t="s">
        <v>885</v>
      </c>
      <c r="B341" s="9">
        <v>45747</v>
      </c>
      <c r="C341" s="8" t="s">
        <v>780</v>
      </c>
      <c r="D341" s="8" t="s">
        <v>781</v>
      </c>
      <c r="E341" s="8" t="s">
        <v>782</v>
      </c>
      <c r="F341" s="10">
        <v>7771</v>
      </c>
      <c r="G341" s="11">
        <v>149.94</v>
      </c>
      <c r="H341" s="11">
        <v>1165183.74</v>
      </c>
    </row>
    <row r="342" spans="1:8" x14ac:dyDescent="0.2">
      <c r="A342" s="8" t="s">
        <v>548</v>
      </c>
      <c r="B342" s="9">
        <v>45747</v>
      </c>
      <c r="C342" s="8" t="s">
        <v>777</v>
      </c>
      <c r="D342" s="8" t="s">
        <v>778</v>
      </c>
      <c r="E342" s="8" t="s">
        <v>779</v>
      </c>
      <c r="F342" s="10">
        <v>84</v>
      </c>
      <c r="G342" s="11">
        <v>198.02</v>
      </c>
      <c r="H342" s="11">
        <v>16633.68</v>
      </c>
    </row>
    <row r="343" spans="1:8" x14ac:dyDescent="0.2">
      <c r="A343" s="8" t="s">
        <v>885</v>
      </c>
      <c r="B343" s="9">
        <v>45747</v>
      </c>
      <c r="C343" s="8" t="s">
        <v>777</v>
      </c>
      <c r="D343" s="8" t="s">
        <v>778</v>
      </c>
      <c r="E343" s="8" t="s">
        <v>779</v>
      </c>
      <c r="F343" s="10">
        <v>3451</v>
      </c>
      <c r="G343" s="11">
        <v>198.02</v>
      </c>
      <c r="H343" s="11">
        <v>683367.02</v>
      </c>
    </row>
    <row r="344" spans="1:8" x14ac:dyDescent="0.2">
      <c r="A344" s="8" t="s">
        <v>548</v>
      </c>
      <c r="B344" s="9">
        <v>45747</v>
      </c>
      <c r="C344" s="8" t="s">
        <v>774</v>
      </c>
      <c r="D344" s="8" t="s">
        <v>775</v>
      </c>
      <c r="E344" s="8" t="s">
        <v>776</v>
      </c>
      <c r="F344" s="10">
        <v>19</v>
      </c>
      <c r="G344" s="11">
        <v>175.77</v>
      </c>
      <c r="H344" s="11">
        <v>3339.63</v>
      </c>
    </row>
    <row r="345" spans="1:8" x14ac:dyDescent="0.2">
      <c r="A345" s="8" t="s">
        <v>885</v>
      </c>
      <c r="B345" s="9">
        <v>45747</v>
      </c>
      <c r="C345" s="8" t="s">
        <v>774</v>
      </c>
      <c r="D345" s="8" t="s">
        <v>775</v>
      </c>
      <c r="E345" s="8" t="s">
        <v>776</v>
      </c>
      <c r="F345" s="10">
        <v>695</v>
      </c>
      <c r="G345" s="11">
        <v>175.77</v>
      </c>
      <c r="H345" s="11">
        <v>122160.15</v>
      </c>
    </row>
    <row r="346" spans="1:8" x14ac:dyDescent="0.2">
      <c r="A346" s="8" t="s">
        <v>548</v>
      </c>
      <c r="B346" s="9">
        <v>45747</v>
      </c>
      <c r="C346" s="8" t="s">
        <v>783</v>
      </c>
      <c r="D346" s="8" t="s">
        <v>784</v>
      </c>
      <c r="E346" s="8" t="s">
        <v>785</v>
      </c>
      <c r="F346" s="10">
        <v>182</v>
      </c>
      <c r="G346" s="11">
        <v>111.68</v>
      </c>
      <c r="H346" s="11">
        <v>20325.759999999998</v>
      </c>
    </row>
    <row r="347" spans="1:8" x14ac:dyDescent="0.2">
      <c r="A347" s="8" t="s">
        <v>885</v>
      </c>
      <c r="B347" s="9">
        <v>45747</v>
      </c>
      <c r="C347" s="8" t="s">
        <v>783</v>
      </c>
      <c r="D347" s="8" t="s">
        <v>784</v>
      </c>
      <c r="E347" s="8" t="s">
        <v>785</v>
      </c>
      <c r="F347" s="10">
        <v>7254</v>
      </c>
      <c r="G347" s="11">
        <v>111.68</v>
      </c>
      <c r="H347" s="11">
        <v>810126.72</v>
      </c>
    </row>
    <row r="348" spans="1:8" x14ac:dyDescent="0.2">
      <c r="A348" s="8" t="s">
        <v>548</v>
      </c>
      <c r="B348" s="9">
        <v>45747</v>
      </c>
      <c r="C348" s="8" t="s">
        <v>786</v>
      </c>
      <c r="D348" s="8" t="s">
        <v>787</v>
      </c>
      <c r="E348" s="8" t="s">
        <v>788</v>
      </c>
      <c r="F348" s="10">
        <v>264</v>
      </c>
      <c r="G348" s="11">
        <v>153.61000000000001</v>
      </c>
      <c r="H348" s="11">
        <v>40553.040000000001</v>
      </c>
    </row>
    <row r="349" spans="1:8" x14ac:dyDescent="0.2">
      <c r="A349" s="8" t="s">
        <v>885</v>
      </c>
      <c r="B349" s="9">
        <v>45747</v>
      </c>
      <c r="C349" s="8" t="s">
        <v>786</v>
      </c>
      <c r="D349" s="8" t="s">
        <v>787</v>
      </c>
      <c r="E349" s="8" t="s">
        <v>788</v>
      </c>
      <c r="F349" s="10">
        <v>10904</v>
      </c>
      <c r="G349" s="11">
        <v>153.61000000000001</v>
      </c>
      <c r="H349" s="11">
        <v>1674963.44</v>
      </c>
    </row>
    <row r="350" spans="1:8" x14ac:dyDescent="0.2">
      <c r="A350" s="8" t="s">
        <v>548</v>
      </c>
      <c r="B350" s="9">
        <v>45747</v>
      </c>
      <c r="C350" s="8" t="s">
        <v>792</v>
      </c>
      <c r="D350" s="8" t="s">
        <v>793</v>
      </c>
      <c r="E350" s="8" t="s">
        <v>794</v>
      </c>
      <c r="F350" s="10">
        <v>350</v>
      </c>
      <c r="G350" s="11">
        <v>50.41</v>
      </c>
      <c r="H350" s="11">
        <v>17643.5</v>
      </c>
    </row>
    <row r="351" spans="1:8" x14ac:dyDescent="0.2">
      <c r="A351" s="8" t="s">
        <v>885</v>
      </c>
      <c r="B351" s="9">
        <v>45747</v>
      </c>
      <c r="C351" s="8" t="s">
        <v>792</v>
      </c>
      <c r="D351" s="8" t="s">
        <v>793</v>
      </c>
      <c r="E351" s="8" t="s">
        <v>794</v>
      </c>
      <c r="F351" s="10">
        <v>14634</v>
      </c>
      <c r="G351" s="11">
        <v>50.41</v>
      </c>
      <c r="H351" s="11">
        <v>737699.94</v>
      </c>
    </row>
    <row r="352" spans="1:8" x14ac:dyDescent="0.2">
      <c r="A352" s="8" t="s">
        <v>548</v>
      </c>
      <c r="B352" s="9">
        <v>45747</v>
      </c>
      <c r="C352" s="8" t="s">
        <v>798</v>
      </c>
      <c r="D352" s="8" t="s">
        <v>799</v>
      </c>
      <c r="E352" s="8" t="s">
        <v>800</v>
      </c>
      <c r="F352" s="10">
        <v>544</v>
      </c>
      <c r="G352" s="11">
        <v>41.15</v>
      </c>
      <c r="H352" s="11">
        <v>22385.599999999999</v>
      </c>
    </row>
    <row r="353" spans="1:8" x14ac:dyDescent="0.2">
      <c r="A353" s="8" t="s">
        <v>885</v>
      </c>
      <c r="B353" s="9">
        <v>45747</v>
      </c>
      <c r="C353" s="8" t="s">
        <v>798</v>
      </c>
      <c r="D353" s="8" t="s">
        <v>799</v>
      </c>
      <c r="E353" s="8" t="s">
        <v>800</v>
      </c>
      <c r="F353" s="10">
        <v>22652</v>
      </c>
      <c r="G353" s="11">
        <v>41.15</v>
      </c>
      <c r="H353" s="11">
        <v>932129.8</v>
      </c>
    </row>
    <row r="354" spans="1:8" x14ac:dyDescent="0.2">
      <c r="A354" s="8" t="s">
        <v>548</v>
      </c>
      <c r="B354" s="9">
        <v>45747</v>
      </c>
      <c r="C354" s="8" t="s">
        <v>795</v>
      </c>
      <c r="D354" s="8" t="s">
        <v>796</v>
      </c>
      <c r="E354" s="8" t="s">
        <v>797</v>
      </c>
      <c r="F354" s="10">
        <v>100</v>
      </c>
      <c r="G354" s="11">
        <v>60.08</v>
      </c>
      <c r="H354" s="11">
        <v>6008</v>
      </c>
    </row>
    <row r="355" spans="1:8" x14ac:dyDescent="0.2">
      <c r="A355" s="8" t="s">
        <v>885</v>
      </c>
      <c r="B355" s="9">
        <v>45747</v>
      </c>
      <c r="C355" s="8" t="s">
        <v>795</v>
      </c>
      <c r="D355" s="8" t="s">
        <v>796</v>
      </c>
      <c r="E355" s="8" t="s">
        <v>797</v>
      </c>
      <c r="F355" s="10">
        <v>4070</v>
      </c>
      <c r="G355" s="11">
        <v>60.08</v>
      </c>
      <c r="H355" s="11">
        <v>244525.6</v>
      </c>
    </row>
    <row r="356" spans="1:8" x14ac:dyDescent="0.2">
      <c r="A356" s="8" t="s">
        <v>548</v>
      </c>
      <c r="B356" s="9">
        <v>45747</v>
      </c>
      <c r="C356" s="8" t="s">
        <v>789</v>
      </c>
      <c r="D356" s="8" t="s">
        <v>790</v>
      </c>
      <c r="E356" s="8" t="s">
        <v>791</v>
      </c>
      <c r="F356" s="10">
        <v>109</v>
      </c>
      <c r="G356" s="11">
        <v>132.46</v>
      </c>
      <c r="H356" s="11">
        <v>14438.14</v>
      </c>
    </row>
    <row r="357" spans="1:8" x14ac:dyDescent="0.2">
      <c r="A357" s="8" t="s">
        <v>885</v>
      </c>
      <c r="B357" s="9">
        <v>45747</v>
      </c>
      <c r="C357" s="8" t="s">
        <v>789</v>
      </c>
      <c r="D357" s="8" t="s">
        <v>790</v>
      </c>
      <c r="E357" s="8" t="s">
        <v>791</v>
      </c>
      <c r="F357" s="10">
        <v>4293</v>
      </c>
      <c r="G357" s="11">
        <v>132.46</v>
      </c>
      <c r="H357" s="11">
        <v>568650.78</v>
      </c>
    </row>
    <row r="358" spans="1:8" x14ac:dyDescent="0.2">
      <c r="A358" s="8" t="s">
        <v>548</v>
      </c>
      <c r="B358" s="9">
        <v>45747</v>
      </c>
      <c r="C358" s="8" t="s">
        <v>801</v>
      </c>
      <c r="D358" s="8" t="s">
        <v>802</v>
      </c>
      <c r="E358" s="8" t="s">
        <v>803</v>
      </c>
      <c r="F358" s="10">
        <v>456</v>
      </c>
      <c r="G358" s="11">
        <v>112.72</v>
      </c>
      <c r="H358" s="11">
        <v>51400.32</v>
      </c>
    </row>
    <row r="359" spans="1:8" x14ac:dyDescent="0.2">
      <c r="A359" s="8" t="s">
        <v>885</v>
      </c>
      <c r="B359" s="9">
        <v>45747</v>
      </c>
      <c r="C359" s="8" t="s">
        <v>801</v>
      </c>
      <c r="D359" s="8" t="s">
        <v>802</v>
      </c>
      <c r="E359" s="8" t="s">
        <v>803</v>
      </c>
      <c r="F359" s="10">
        <v>18861</v>
      </c>
      <c r="G359" s="11">
        <v>112.72</v>
      </c>
      <c r="H359" s="11">
        <v>2126011.92</v>
      </c>
    </row>
    <row r="360" spans="1:8" x14ac:dyDescent="0.2">
      <c r="A360" s="8" t="s">
        <v>548</v>
      </c>
      <c r="B360" s="9">
        <v>45747</v>
      </c>
      <c r="C360" s="8" t="s">
        <v>585</v>
      </c>
      <c r="D360" s="8" t="s">
        <v>586</v>
      </c>
      <c r="E360" s="8" t="s">
        <v>587</v>
      </c>
      <c r="F360" s="10">
        <v>2586</v>
      </c>
      <c r="G360" s="11">
        <v>6.7</v>
      </c>
      <c r="H360" s="11">
        <v>17326.2</v>
      </c>
    </row>
    <row r="361" spans="1:8" x14ac:dyDescent="0.2">
      <c r="A361" s="8" t="s">
        <v>885</v>
      </c>
      <c r="B361" s="9">
        <v>45747</v>
      </c>
      <c r="C361" s="8" t="s">
        <v>585</v>
      </c>
      <c r="D361" s="8" t="s">
        <v>586</v>
      </c>
      <c r="E361" s="8" t="s">
        <v>587</v>
      </c>
      <c r="F361" s="10">
        <v>108631</v>
      </c>
      <c r="G361" s="11">
        <v>6.7</v>
      </c>
      <c r="H361" s="11">
        <v>727827.7</v>
      </c>
    </row>
    <row r="362" spans="1:8" x14ac:dyDescent="0.2">
      <c r="A362" s="8" t="s">
        <v>548</v>
      </c>
      <c r="B362" s="9">
        <v>45747</v>
      </c>
      <c r="C362" s="8" t="s">
        <v>819</v>
      </c>
      <c r="D362" s="8" t="s">
        <v>820</v>
      </c>
      <c r="E362" s="8" t="s">
        <v>821</v>
      </c>
      <c r="F362" s="10">
        <v>1834</v>
      </c>
      <c r="G362" s="11">
        <v>9.0500000000000007</v>
      </c>
      <c r="H362" s="11">
        <v>16597.7</v>
      </c>
    </row>
    <row r="363" spans="1:8" x14ac:dyDescent="0.2">
      <c r="A363" s="8" t="s">
        <v>885</v>
      </c>
      <c r="B363" s="9">
        <v>45747</v>
      </c>
      <c r="C363" s="8" t="s">
        <v>819</v>
      </c>
      <c r="D363" s="8" t="s">
        <v>820</v>
      </c>
      <c r="E363" s="8" t="s">
        <v>821</v>
      </c>
      <c r="F363" s="10">
        <v>76644</v>
      </c>
      <c r="G363" s="11">
        <v>9.0500000000000007</v>
      </c>
      <c r="H363" s="11">
        <v>693628.2</v>
      </c>
    </row>
    <row r="364" spans="1:8" x14ac:dyDescent="0.2">
      <c r="A364" s="8" t="s">
        <v>548</v>
      </c>
      <c r="B364" s="9">
        <v>45747</v>
      </c>
      <c r="C364" s="8" t="s">
        <v>813</v>
      </c>
      <c r="D364" s="8" t="s">
        <v>814</v>
      </c>
      <c r="E364" s="8" t="s">
        <v>815</v>
      </c>
      <c r="F364" s="10">
        <v>520</v>
      </c>
      <c r="G364" s="11">
        <v>7.5</v>
      </c>
      <c r="H364" s="11">
        <v>3900</v>
      </c>
    </row>
    <row r="365" spans="1:8" x14ac:dyDescent="0.2">
      <c r="A365" s="8" t="s">
        <v>885</v>
      </c>
      <c r="B365" s="9">
        <v>45747</v>
      </c>
      <c r="C365" s="8" t="s">
        <v>813</v>
      </c>
      <c r="D365" s="8" t="s">
        <v>814</v>
      </c>
      <c r="E365" s="8" t="s">
        <v>815</v>
      </c>
      <c r="F365" s="10">
        <v>21611</v>
      </c>
      <c r="G365" s="11">
        <v>7.5</v>
      </c>
      <c r="H365" s="11">
        <v>162082.5</v>
      </c>
    </row>
    <row r="366" spans="1:8" x14ac:dyDescent="0.2">
      <c r="A366" s="8" t="s">
        <v>548</v>
      </c>
      <c r="B366" s="9">
        <v>45747</v>
      </c>
      <c r="C366" s="8" t="s">
        <v>804</v>
      </c>
      <c r="D366" s="8" t="s">
        <v>805</v>
      </c>
      <c r="E366" s="8" t="s">
        <v>806</v>
      </c>
      <c r="F366" s="10">
        <v>54</v>
      </c>
      <c r="G366" s="11">
        <v>73.28</v>
      </c>
      <c r="H366" s="11">
        <v>3957.12</v>
      </c>
    </row>
    <row r="367" spans="1:8" x14ac:dyDescent="0.2">
      <c r="A367" s="8" t="s">
        <v>885</v>
      </c>
      <c r="B367" s="9">
        <v>45747</v>
      </c>
      <c r="C367" s="8" t="s">
        <v>804</v>
      </c>
      <c r="D367" s="8" t="s">
        <v>805</v>
      </c>
      <c r="E367" s="8" t="s">
        <v>806</v>
      </c>
      <c r="F367" s="10">
        <v>2253</v>
      </c>
      <c r="G367" s="11">
        <v>73.28</v>
      </c>
      <c r="H367" s="11">
        <v>165099.84</v>
      </c>
    </row>
    <row r="368" spans="1:8" x14ac:dyDescent="0.2">
      <c r="A368" s="8" t="s">
        <v>548</v>
      </c>
      <c r="B368" s="9">
        <v>45747</v>
      </c>
      <c r="C368" s="8" t="s">
        <v>816</v>
      </c>
      <c r="D368" s="8" t="s">
        <v>817</v>
      </c>
      <c r="E368" s="8" t="s">
        <v>818</v>
      </c>
      <c r="F368" s="10">
        <v>67</v>
      </c>
      <c r="G368" s="11">
        <v>115.38</v>
      </c>
      <c r="H368" s="11">
        <v>7730.46</v>
      </c>
    </row>
    <row r="369" spans="1:8" x14ac:dyDescent="0.2">
      <c r="A369" s="8" t="s">
        <v>885</v>
      </c>
      <c r="B369" s="9">
        <v>45747</v>
      </c>
      <c r="C369" s="8" t="s">
        <v>816</v>
      </c>
      <c r="D369" s="8" t="s">
        <v>817</v>
      </c>
      <c r="E369" s="8" t="s">
        <v>818</v>
      </c>
      <c r="F369" s="10">
        <v>2579</v>
      </c>
      <c r="G369" s="11">
        <v>115.38</v>
      </c>
      <c r="H369" s="11">
        <v>297565.02</v>
      </c>
    </row>
    <row r="370" spans="1:8" x14ac:dyDescent="0.2">
      <c r="A370" s="8" t="s">
        <v>548</v>
      </c>
      <c r="B370" s="9">
        <v>45747</v>
      </c>
      <c r="C370" s="8" t="s">
        <v>822</v>
      </c>
      <c r="D370" s="8" t="s">
        <v>823</v>
      </c>
      <c r="E370" s="8" t="s">
        <v>824</v>
      </c>
      <c r="F370" s="10">
        <v>574</v>
      </c>
      <c r="G370" s="11">
        <v>15.46</v>
      </c>
      <c r="H370" s="11">
        <v>8874.0400000000009</v>
      </c>
    </row>
    <row r="371" spans="1:8" x14ac:dyDescent="0.2">
      <c r="A371" s="8" t="s">
        <v>885</v>
      </c>
      <c r="B371" s="9">
        <v>45747</v>
      </c>
      <c r="C371" s="8" t="s">
        <v>822</v>
      </c>
      <c r="D371" s="8" t="s">
        <v>823</v>
      </c>
      <c r="E371" s="8" t="s">
        <v>824</v>
      </c>
      <c r="F371" s="10">
        <v>23865</v>
      </c>
      <c r="G371" s="11">
        <v>15.46</v>
      </c>
      <c r="H371" s="11">
        <v>368952.9</v>
      </c>
    </row>
    <row r="372" spans="1:8" x14ac:dyDescent="0.2">
      <c r="A372" s="8" t="s">
        <v>548</v>
      </c>
      <c r="B372" s="9">
        <v>45747</v>
      </c>
      <c r="C372" s="8" t="s">
        <v>552</v>
      </c>
      <c r="D372" s="8" t="s">
        <v>553</v>
      </c>
      <c r="E372" s="8" t="s">
        <v>554</v>
      </c>
      <c r="F372" s="10">
        <v>658</v>
      </c>
      <c r="G372" s="11">
        <v>28.28</v>
      </c>
      <c r="H372" s="11">
        <v>18608.240000000002</v>
      </c>
    </row>
    <row r="373" spans="1:8" x14ac:dyDescent="0.2">
      <c r="A373" s="8" t="s">
        <v>885</v>
      </c>
      <c r="B373" s="9">
        <v>45747</v>
      </c>
      <c r="C373" s="8" t="s">
        <v>552</v>
      </c>
      <c r="D373" s="8" t="s">
        <v>553</v>
      </c>
      <c r="E373" s="8" t="s">
        <v>554</v>
      </c>
      <c r="F373" s="10">
        <v>27316</v>
      </c>
      <c r="G373" s="11">
        <v>28.28</v>
      </c>
      <c r="H373" s="11">
        <v>772496.48</v>
      </c>
    </row>
    <row r="374" spans="1:8" x14ac:dyDescent="0.2">
      <c r="A374" s="8" t="s">
        <v>548</v>
      </c>
      <c r="B374" s="9">
        <v>45747</v>
      </c>
      <c r="C374" s="8" t="s">
        <v>825</v>
      </c>
      <c r="D374" s="8" t="s">
        <v>826</v>
      </c>
      <c r="E374" s="8" t="s">
        <v>827</v>
      </c>
      <c r="F374" s="10">
        <v>3309</v>
      </c>
      <c r="G374" s="11">
        <v>14.87</v>
      </c>
      <c r="H374" s="11">
        <v>49204.83</v>
      </c>
    </row>
    <row r="375" spans="1:8" x14ac:dyDescent="0.2">
      <c r="A375" s="8" t="s">
        <v>885</v>
      </c>
      <c r="B375" s="9">
        <v>45747</v>
      </c>
      <c r="C375" s="8" t="s">
        <v>825</v>
      </c>
      <c r="D375" s="8" t="s">
        <v>826</v>
      </c>
      <c r="E375" s="8" t="s">
        <v>827</v>
      </c>
      <c r="F375" s="10">
        <v>138943</v>
      </c>
      <c r="G375" s="11">
        <v>14.87</v>
      </c>
      <c r="H375" s="11">
        <v>2066082.41</v>
      </c>
    </row>
    <row r="376" spans="1:8" x14ac:dyDescent="0.2">
      <c r="A376" s="8" t="s">
        <v>548</v>
      </c>
      <c r="B376" s="9">
        <v>45747</v>
      </c>
      <c r="C376" s="8" t="s">
        <v>828</v>
      </c>
      <c r="D376" s="8" t="s">
        <v>829</v>
      </c>
      <c r="E376" s="8" t="s">
        <v>830</v>
      </c>
      <c r="F376" s="10">
        <v>181</v>
      </c>
      <c r="G376" s="11">
        <v>70.41</v>
      </c>
      <c r="H376" s="11">
        <v>12744.21</v>
      </c>
    </row>
    <row r="377" spans="1:8" x14ac:dyDescent="0.2">
      <c r="A377" s="8" t="s">
        <v>885</v>
      </c>
      <c r="B377" s="9">
        <v>45747</v>
      </c>
      <c r="C377" s="8" t="s">
        <v>828</v>
      </c>
      <c r="D377" s="8" t="s">
        <v>829</v>
      </c>
      <c r="E377" s="8" t="s">
        <v>830</v>
      </c>
      <c r="F377" s="10">
        <v>7465</v>
      </c>
      <c r="G377" s="11">
        <v>70.41</v>
      </c>
      <c r="H377" s="11">
        <v>525610.65</v>
      </c>
    </row>
    <row r="378" spans="1:8" x14ac:dyDescent="0.2">
      <c r="A378" s="8" t="s">
        <v>548</v>
      </c>
      <c r="B378" s="9">
        <v>45747</v>
      </c>
      <c r="C378" s="8" t="s">
        <v>831</v>
      </c>
      <c r="D378" s="8" t="s">
        <v>832</v>
      </c>
      <c r="E378" s="8" t="s">
        <v>833</v>
      </c>
      <c r="F378" s="10">
        <v>121</v>
      </c>
      <c r="G378" s="11">
        <v>200.47</v>
      </c>
      <c r="H378" s="11">
        <v>24256.87</v>
      </c>
    </row>
    <row r="379" spans="1:8" x14ac:dyDescent="0.2">
      <c r="A379" s="8" t="s">
        <v>885</v>
      </c>
      <c r="B379" s="9">
        <v>45747</v>
      </c>
      <c r="C379" s="8" t="s">
        <v>831</v>
      </c>
      <c r="D379" s="8" t="s">
        <v>832</v>
      </c>
      <c r="E379" s="8" t="s">
        <v>833</v>
      </c>
      <c r="F379" s="10">
        <v>4831</v>
      </c>
      <c r="G379" s="11">
        <v>200.47</v>
      </c>
      <c r="H379" s="11">
        <v>968470.57</v>
      </c>
    </row>
    <row r="380" spans="1:8" x14ac:dyDescent="0.2">
      <c r="A380" s="8" t="s">
        <v>548</v>
      </c>
      <c r="B380" s="9">
        <v>45747</v>
      </c>
      <c r="C380" s="8" t="s">
        <v>834</v>
      </c>
      <c r="D380" s="8" t="s">
        <v>835</v>
      </c>
      <c r="E380" s="8" t="s">
        <v>836</v>
      </c>
      <c r="F380" s="10">
        <v>538</v>
      </c>
      <c r="G380" s="11">
        <v>63.81</v>
      </c>
      <c r="H380" s="11">
        <v>34329.78</v>
      </c>
    </row>
    <row r="381" spans="1:8" x14ac:dyDescent="0.2">
      <c r="A381" s="8" t="s">
        <v>885</v>
      </c>
      <c r="B381" s="9">
        <v>45747</v>
      </c>
      <c r="C381" s="8" t="s">
        <v>834</v>
      </c>
      <c r="D381" s="8" t="s">
        <v>835</v>
      </c>
      <c r="E381" s="8" t="s">
        <v>836</v>
      </c>
      <c r="F381" s="10">
        <v>22262</v>
      </c>
      <c r="G381" s="11">
        <v>63.81</v>
      </c>
      <c r="H381" s="11">
        <v>1420538.22</v>
      </c>
    </row>
    <row r="382" spans="1:8" x14ac:dyDescent="0.2">
      <c r="A382" s="8" t="s">
        <v>548</v>
      </c>
      <c r="B382" s="9">
        <v>45747</v>
      </c>
      <c r="C382" s="8" t="s">
        <v>882</v>
      </c>
      <c r="D382" s="8" t="s">
        <v>883</v>
      </c>
      <c r="E382" s="8" t="s">
        <v>884</v>
      </c>
      <c r="F382" s="10">
        <v>1513</v>
      </c>
      <c r="G382" s="11">
        <v>30.63</v>
      </c>
      <c r="H382" s="11">
        <v>46343.19</v>
      </c>
    </row>
    <row r="383" spans="1:8" x14ac:dyDescent="0.2">
      <c r="A383" s="8" t="s">
        <v>885</v>
      </c>
      <c r="B383" s="9">
        <v>45747</v>
      </c>
      <c r="C383" s="8" t="s">
        <v>882</v>
      </c>
      <c r="D383" s="8" t="s">
        <v>883</v>
      </c>
      <c r="E383" s="8" t="s">
        <v>884</v>
      </c>
      <c r="F383" s="10">
        <v>63443</v>
      </c>
      <c r="G383" s="11">
        <v>30.63</v>
      </c>
      <c r="H383" s="11">
        <v>1943259.09</v>
      </c>
    </row>
    <row r="384" spans="1:8" x14ac:dyDescent="0.2">
      <c r="A384" s="8" t="s">
        <v>548</v>
      </c>
      <c r="B384" s="9">
        <v>45747</v>
      </c>
      <c r="C384" s="8" t="s">
        <v>840</v>
      </c>
      <c r="D384" s="8" t="s">
        <v>841</v>
      </c>
      <c r="E384" s="8" t="s">
        <v>842</v>
      </c>
      <c r="F384" s="10">
        <v>301</v>
      </c>
      <c r="G384" s="11">
        <v>59.55</v>
      </c>
      <c r="H384" s="11">
        <v>17924.55</v>
      </c>
    </row>
    <row r="385" spans="1:8" x14ac:dyDescent="0.2">
      <c r="A385" s="8" t="s">
        <v>885</v>
      </c>
      <c r="B385" s="9">
        <v>45747</v>
      </c>
      <c r="C385" s="8" t="s">
        <v>840</v>
      </c>
      <c r="D385" s="8" t="s">
        <v>841</v>
      </c>
      <c r="E385" s="8" t="s">
        <v>842</v>
      </c>
      <c r="F385" s="10">
        <v>12497</v>
      </c>
      <c r="G385" s="11">
        <v>59.55</v>
      </c>
      <c r="H385" s="11">
        <v>744196.35</v>
      </c>
    </row>
    <row r="386" spans="1:8" x14ac:dyDescent="0.2">
      <c r="A386" s="8" t="s">
        <v>548</v>
      </c>
      <c r="B386" s="9">
        <v>45747</v>
      </c>
      <c r="C386" s="8" t="s">
        <v>837</v>
      </c>
      <c r="D386" s="8" t="s">
        <v>838</v>
      </c>
      <c r="E386" s="8" t="s">
        <v>839</v>
      </c>
      <c r="F386" s="10">
        <v>786</v>
      </c>
      <c r="G386" s="11">
        <v>28.06</v>
      </c>
      <c r="H386" s="11">
        <v>22055.16</v>
      </c>
    </row>
    <row r="387" spans="1:8" x14ac:dyDescent="0.2">
      <c r="A387" s="8" t="s">
        <v>885</v>
      </c>
      <c r="B387" s="9">
        <v>45747</v>
      </c>
      <c r="C387" s="8" t="s">
        <v>837</v>
      </c>
      <c r="D387" s="8" t="s">
        <v>838</v>
      </c>
      <c r="E387" s="8" t="s">
        <v>839</v>
      </c>
      <c r="F387" s="10">
        <v>32793</v>
      </c>
      <c r="G387" s="11">
        <v>28.06</v>
      </c>
      <c r="H387" s="11">
        <v>920171.58</v>
      </c>
    </row>
    <row r="388" spans="1:8" x14ac:dyDescent="0.2">
      <c r="A388" s="8" t="s">
        <v>548</v>
      </c>
      <c r="B388" s="9">
        <v>45747</v>
      </c>
      <c r="C388" s="8" t="s">
        <v>852</v>
      </c>
      <c r="D388" s="8" t="s">
        <v>853</v>
      </c>
      <c r="E388" s="8" t="s">
        <v>854</v>
      </c>
      <c r="F388" s="10">
        <v>50</v>
      </c>
      <c r="G388" s="11">
        <v>523.75</v>
      </c>
      <c r="H388" s="11">
        <v>26187.5</v>
      </c>
    </row>
    <row r="389" spans="1:8" x14ac:dyDescent="0.2">
      <c r="A389" s="8" t="s">
        <v>885</v>
      </c>
      <c r="B389" s="9">
        <v>45747</v>
      </c>
      <c r="C389" s="8" t="s">
        <v>852</v>
      </c>
      <c r="D389" s="8" t="s">
        <v>853</v>
      </c>
      <c r="E389" s="8" t="s">
        <v>854</v>
      </c>
      <c r="F389" s="10">
        <v>1929</v>
      </c>
      <c r="G389" s="11">
        <v>523.75</v>
      </c>
      <c r="H389" s="11">
        <v>1010313.75</v>
      </c>
    </row>
    <row r="390" spans="1:8" x14ac:dyDescent="0.2">
      <c r="A390" s="8" t="s">
        <v>548</v>
      </c>
      <c r="B390" s="9">
        <v>45747</v>
      </c>
      <c r="C390" s="8" t="s">
        <v>843</v>
      </c>
      <c r="D390" s="8" t="s">
        <v>844</v>
      </c>
      <c r="E390" s="8" t="s">
        <v>845</v>
      </c>
      <c r="F390" s="10">
        <v>44</v>
      </c>
      <c r="G390" s="11">
        <v>236.24</v>
      </c>
      <c r="H390" s="11">
        <v>10394.56</v>
      </c>
    </row>
    <row r="391" spans="1:8" x14ac:dyDescent="0.2">
      <c r="A391" s="8" t="s">
        <v>885</v>
      </c>
      <c r="B391" s="9">
        <v>45747</v>
      </c>
      <c r="C391" s="8" t="s">
        <v>843</v>
      </c>
      <c r="D391" s="8" t="s">
        <v>844</v>
      </c>
      <c r="E391" s="8" t="s">
        <v>845</v>
      </c>
      <c r="F391" s="10">
        <v>1545</v>
      </c>
      <c r="G391" s="11">
        <v>236.24</v>
      </c>
      <c r="H391" s="11">
        <v>364990.8</v>
      </c>
    </row>
    <row r="392" spans="1:8" x14ac:dyDescent="0.2">
      <c r="A392" s="8" t="s">
        <v>548</v>
      </c>
      <c r="B392" s="9">
        <v>45747</v>
      </c>
      <c r="C392" s="8" t="s">
        <v>846</v>
      </c>
      <c r="D392" s="8" t="s">
        <v>847</v>
      </c>
      <c r="E392" s="8" t="s">
        <v>848</v>
      </c>
      <c r="F392" s="10">
        <v>98</v>
      </c>
      <c r="G392" s="11">
        <v>56.295499999999997</v>
      </c>
      <c r="H392" s="11">
        <v>5516.96</v>
      </c>
    </row>
    <row r="393" spans="1:8" x14ac:dyDescent="0.2">
      <c r="A393" s="8" t="s">
        <v>885</v>
      </c>
      <c r="B393" s="9">
        <v>45747</v>
      </c>
      <c r="C393" s="8" t="s">
        <v>846</v>
      </c>
      <c r="D393" s="8" t="s">
        <v>847</v>
      </c>
      <c r="E393" s="8" t="s">
        <v>848</v>
      </c>
      <c r="F393" s="10">
        <v>4030</v>
      </c>
      <c r="G393" s="11">
        <v>56.295499999999997</v>
      </c>
      <c r="H393" s="11">
        <v>226870.87</v>
      </c>
    </row>
    <row r="394" spans="1:8" x14ac:dyDescent="0.2">
      <c r="A394" s="8" t="s">
        <v>548</v>
      </c>
      <c r="B394" s="9">
        <v>45747</v>
      </c>
      <c r="C394" s="8" t="s">
        <v>855</v>
      </c>
      <c r="D394" s="8" t="s">
        <v>856</v>
      </c>
      <c r="E394" s="8" t="s">
        <v>857</v>
      </c>
      <c r="F394" s="10">
        <v>180</v>
      </c>
      <c r="G394" s="11">
        <v>26.76</v>
      </c>
      <c r="H394" s="11">
        <v>4816.8</v>
      </c>
    </row>
    <row r="395" spans="1:8" x14ac:dyDescent="0.2">
      <c r="A395" s="8" t="s">
        <v>885</v>
      </c>
      <c r="B395" s="9">
        <v>45747</v>
      </c>
      <c r="C395" s="8" t="s">
        <v>855</v>
      </c>
      <c r="D395" s="8" t="s">
        <v>856</v>
      </c>
      <c r="E395" s="8" t="s">
        <v>857</v>
      </c>
      <c r="F395" s="10">
        <v>7206</v>
      </c>
      <c r="G395" s="11">
        <v>26.76</v>
      </c>
      <c r="H395" s="11">
        <v>192832.56</v>
      </c>
    </row>
    <row r="396" spans="1:8" x14ac:dyDescent="0.2">
      <c r="A396" s="8" t="s">
        <v>548</v>
      </c>
      <c r="B396" s="9">
        <v>45747</v>
      </c>
      <c r="C396" s="8" t="s">
        <v>849</v>
      </c>
      <c r="D396" s="8" t="s">
        <v>850</v>
      </c>
      <c r="E396" s="8" t="s">
        <v>851</v>
      </c>
      <c r="F396" s="10">
        <v>258</v>
      </c>
      <c r="G396" s="11">
        <v>109.99</v>
      </c>
      <c r="H396" s="11">
        <v>28377.42</v>
      </c>
    </row>
    <row r="397" spans="1:8" x14ac:dyDescent="0.2">
      <c r="A397" s="8" t="s">
        <v>885</v>
      </c>
      <c r="B397" s="9">
        <v>45747</v>
      </c>
      <c r="C397" s="8" t="s">
        <v>849</v>
      </c>
      <c r="D397" s="8" t="s">
        <v>850</v>
      </c>
      <c r="E397" s="8" t="s">
        <v>851</v>
      </c>
      <c r="F397" s="10">
        <v>10508</v>
      </c>
      <c r="G397" s="11">
        <v>109.99</v>
      </c>
      <c r="H397" s="11">
        <v>1155774.92</v>
      </c>
    </row>
    <row r="398" spans="1:8" x14ac:dyDescent="0.2">
      <c r="A398" s="8" t="s">
        <v>548</v>
      </c>
      <c r="B398" s="9">
        <v>45747</v>
      </c>
      <c r="C398" s="8" t="s">
        <v>858</v>
      </c>
      <c r="D398" s="8" t="s">
        <v>859</v>
      </c>
      <c r="E398" s="8" t="s">
        <v>860</v>
      </c>
      <c r="F398" s="10">
        <v>196</v>
      </c>
      <c r="G398" s="11">
        <v>31.49</v>
      </c>
      <c r="H398" s="11">
        <v>6172.04</v>
      </c>
    </row>
    <row r="399" spans="1:8" x14ac:dyDescent="0.2">
      <c r="A399" s="8" t="s">
        <v>885</v>
      </c>
      <c r="B399" s="9">
        <v>45747</v>
      </c>
      <c r="C399" s="8" t="s">
        <v>858</v>
      </c>
      <c r="D399" s="8" t="s">
        <v>859</v>
      </c>
      <c r="E399" s="8" t="s">
        <v>860</v>
      </c>
      <c r="F399" s="10">
        <v>8058</v>
      </c>
      <c r="G399" s="11">
        <v>31.49</v>
      </c>
      <c r="H399" s="11">
        <v>253746.42</v>
      </c>
    </row>
    <row r="400" spans="1:8" x14ac:dyDescent="0.2">
      <c r="A400" s="8" t="s">
        <v>548</v>
      </c>
      <c r="B400" s="9">
        <v>45747</v>
      </c>
      <c r="C400" s="8" t="s">
        <v>861</v>
      </c>
      <c r="D400" s="8" t="s">
        <v>862</v>
      </c>
      <c r="E400" s="8" t="s">
        <v>863</v>
      </c>
      <c r="F400" s="10">
        <v>1325</v>
      </c>
      <c r="G400" s="11">
        <v>9.3699999999999992</v>
      </c>
      <c r="H400" s="11">
        <v>12415.25</v>
      </c>
    </row>
    <row r="401" spans="1:9" x14ac:dyDescent="0.2">
      <c r="A401" s="8" t="s">
        <v>885</v>
      </c>
      <c r="B401" s="9">
        <v>45747</v>
      </c>
      <c r="C401" s="8" t="s">
        <v>861</v>
      </c>
      <c r="D401" s="8" t="s">
        <v>862</v>
      </c>
      <c r="E401" s="8" t="s">
        <v>863</v>
      </c>
      <c r="F401" s="10">
        <v>55326</v>
      </c>
      <c r="G401" s="11">
        <v>9.3699999999999992</v>
      </c>
      <c r="H401" s="11">
        <v>518404.62</v>
      </c>
    </row>
    <row r="402" spans="1:9" x14ac:dyDescent="0.2">
      <c r="A402" s="8" t="s">
        <v>548</v>
      </c>
      <c r="B402" s="9">
        <v>45747</v>
      </c>
      <c r="C402" s="8" t="s">
        <v>864</v>
      </c>
      <c r="D402" s="8" t="s">
        <v>865</v>
      </c>
      <c r="E402" s="8" t="s">
        <v>866</v>
      </c>
      <c r="F402" s="10">
        <v>532</v>
      </c>
      <c r="G402" s="11">
        <v>10.11</v>
      </c>
      <c r="H402" s="11">
        <v>5378.52</v>
      </c>
    </row>
    <row r="403" spans="1:9" x14ac:dyDescent="0.2">
      <c r="A403" s="8" t="s">
        <v>885</v>
      </c>
      <c r="B403" s="9">
        <v>45747</v>
      </c>
      <c r="C403" s="8" t="s">
        <v>864</v>
      </c>
      <c r="D403" s="8" t="s">
        <v>865</v>
      </c>
      <c r="E403" s="8" t="s">
        <v>866</v>
      </c>
      <c r="F403" s="10">
        <v>22119</v>
      </c>
      <c r="G403" s="11">
        <v>10.11</v>
      </c>
      <c r="H403" s="11">
        <v>223623.09</v>
      </c>
    </row>
    <row r="404" spans="1:9" x14ac:dyDescent="0.2">
      <c r="A404" s="8" t="s">
        <v>548</v>
      </c>
      <c r="B404" s="9">
        <v>45747</v>
      </c>
      <c r="C404" s="8" t="s">
        <v>873</v>
      </c>
      <c r="D404" s="8" t="s">
        <v>874</v>
      </c>
      <c r="E404" s="8" t="s">
        <v>875</v>
      </c>
      <c r="F404" s="10">
        <v>2162</v>
      </c>
      <c r="G404" s="11">
        <v>14.49</v>
      </c>
      <c r="H404" s="11">
        <v>31327.38</v>
      </c>
    </row>
    <row r="405" spans="1:9" x14ac:dyDescent="0.2">
      <c r="A405" s="8" t="s">
        <v>885</v>
      </c>
      <c r="B405" s="9">
        <v>45747</v>
      </c>
      <c r="C405" s="8" t="s">
        <v>873</v>
      </c>
      <c r="D405" s="8" t="s">
        <v>874</v>
      </c>
      <c r="E405" s="8" t="s">
        <v>875</v>
      </c>
      <c r="F405" s="10">
        <v>90758</v>
      </c>
      <c r="G405" s="11">
        <v>14.49</v>
      </c>
      <c r="H405" s="11">
        <v>1315083.42</v>
      </c>
    </row>
    <row r="406" spans="1:9" x14ac:dyDescent="0.2">
      <c r="A406" s="8" t="s">
        <v>548</v>
      </c>
      <c r="B406" s="9">
        <v>45747</v>
      </c>
      <c r="C406" s="8" t="s">
        <v>867</v>
      </c>
      <c r="D406" s="8" t="s">
        <v>868</v>
      </c>
      <c r="E406" s="8" t="s">
        <v>869</v>
      </c>
      <c r="F406" s="10">
        <v>47</v>
      </c>
      <c r="G406" s="11">
        <v>59.76</v>
      </c>
      <c r="H406" s="11">
        <v>2808.72</v>
      </c>
    </row>
    <row r="407" spans="1:9" x14ac:dyDescent="0.2">
      <c r="A407" s="8" t="s">
        <v>885</v>
      </c>
      <c r="B407" s="9">
        <v>45747</v>
      </c>
      <c r="C407" s="8" t="s">
        <v>867</v>
      </c>
      <c r="D407" s="8" t="s">
        <v>868</v>
      </c>
      <c r="E407" s="8" t="s">
        <v>869</v>
      </c>
      <c r="F407" s="10">
        <v>1842</v>
      </c>
      <c r="G407" s="11">
        <v>59.76</v>
      </c>
      <c r="H407" s="11">
        <v>110077.92</v>
      </c>
    </row>
    <row r="408" spans="1:9" x14ac:dyDescent="0.2">
      <c r="A408" s="8" t="s">
        <v>548</v>
      </c>
      <c r="B408" s="9">
        <v>45747</v>
      </c>
      <c r="C408" s="8" t="s">
        <v>675</v>
      </c>
      <c r="D408" s="8" t="s">
        <v>676</v>
      </c>
      <c r="E408" s="8" t="s">
        <v>677</v>
      </c>
      <c r="F408" s="10">
        <v>636</v>
      </c>
      <c r="G408" s="11">
        <v>12.77</v>
      </c>
      <c r="H408" s="11">
        <v>8121.72</v>
      </c>
    </row>
    <row r="409" spans="1:9" x14ac:dyDescent="0.2">
      <c r="A409" s="8" t="s">
        <v>885</v>
      </c>
      <c r="B409" s="9">
        <v>45747</v>
      </c>
      <c r="C409" s="8" t="s">
        <v>675</v>
      </c>
      <c r="D409" s="8" t="s">
        <v>676</v>
      </c>
      <c r="E409" s="8" t="s">
        <v>677</v>
      </c>
      <c r="F409" s="10">
        <v>26300</v>
      </c>
      <c r="G409" s="11">
        <v>12.77</v>
      </c>
      <c r="H409" s="11">
        <v>335851</v>
      </c>
    </row>
    <row r="410" spans="1:9" x14ac:dyDescent="0.2">
      <c r="A410" s="8" t="s">
        <v>548</v>
      </c>
      <c r="B410" s="9">
        <v>45747</v>
      </c>
      <c r="C410" s="8" t="s">
        <v>876</v>
      </c>
      <c r="D410" s="8" t="s">
        <v>877</v>
      </c>
      <c r="E410" s="8" t="s">
        <v>878</v>
      </c>
      <c r="F410" s="10">
        <v>528</v>
      </c>
      <c r="G410" s="11">
        <v>34.869999999999997</v>
      </c>
      <c r="H410" s="11">
        <v>18411.36</v>
      </c>
    </row>
    <row r="411" spans="1:9" x14ac:dyDescent="0.2">
      <c r="A411" s="8" t="s">
        <v>885</v>
      </c>
      <c r="B411" s="9">
        <v>45747</v>
      </c>
      <c r="C411" s="8" t="s">
        <v>876</v>
      </c>
      <c r="D411" s="8" t="s">
        <v>877</v>
      </c>
      <c r="E411" s="8" t="s">
        <v>878</v>
      </c>
      <c r="F411" s="10">
        <v>22042</v>
      </c>
      <c r="G411" s="11">
        <v>34.869999999999997</v>
      </c>
      <c r="H411" s="11">
        <v>768604.54</v>
      </c>
      <c r="I411" s="15">
        <f>SUM(H186:H411)</f>
        <v>77606548.179999992</v>
      </c>
    </row>
    <row r="412" spans="1:9" x14ac:dyDescent="0.2">
      <c r="A412" s="8"/>
      <c r="B412" s="9"/>
      <c r="C412" s="8"/>
      <c r="D412" s="8"/>
      <c r="E412" s="8"/>
      <c r="F412" s="12"/>
      <c r="G412" s="11"/>
      <c r="H412" s="11"/>
    </row>
    <row r="413" spans="1:9" x14ac:dyDescent="0.2">
      <c r="A413" s="8" t="s">
        <v>886</v>
      </c>
      <c r="B413" s="9">
        <v>45747</v>
      </c>
      <c r="C413" s="8" t="s">
        <v>545</v>
      </c>
      <c r="D413" s="8" t="s">
        <v>546</v>
      </c>
      <c r="E413" s="8" t="s">
        <v>547</v>
      </c>
      <c r="F413" s="10">
        <v>877062.24</v>
      </c>
      <c r="G413" s="11">
        <v>1</v>
      </c>
      <c r="H413" s="11">
        <v>877062.24</v>
      </c>
    </row>
    <row r="414" spans="1:9" x14ac:dyDescent="0.2">
      <c r="A414" s="8" t="s">
        <v>886</v>
      </c>
      <c r="B414" s="9">
        <v>45747</v>
      </c>
      <c r="C414" s="8" t="s">
        <v>887</v>
      </c>
      <c r="D414" s="8" t="s">
        <v>888</v>
      </c>
      <c r="E414" s="8" t="s">
        <v>889</v>
      </c>
      <c r="F414" s="10">
        <v>6682.76</v>
      </c>
      <c r="G414" s="11">
        <v>1</v>
      </c>
      <c r="H414" s="11">
        <v>6682.76</v>
      </c>
    </row>
    <row r="415" spans="1:9" x14ac:dyDescent="0.2">
      <c r="A415" s="8" t="s">
        <v>886</v>
      </c>
      <c r="B415" s="9">
        <v>45747</v>
      </c>
      <c r="C415" s="8" t="s">
        <v>890</v>
      </c>
      <c r="D415" s="8" t="s">
        <v>891</v>
      </c>
      <c r="E415" s="8" t="s">
        <v>892</v>
      </c>
      <c r="F415" s="10">
        <v>46731.13</v>
      </c>
      <c r="G415" s="11">
        <v>1</v>
      </c>
      <c r="H415" s="11">
        <v>46731.13</v>
      </c>
    </row>
    <row r="416" spans="1:9" x14ac:dyDescent="0.2">
      <c r="A416" s="8" t="s">
        <v>886</v>
      </c>
      <c r="B416" s="9">
        <v>45747</v>
      </c>
      <c r="C416" s="8" t="s">
        <v>896</v>
      </c>
      <c r="D416" s="8" t="s">
        <v>897</v>
      </c>
      <c r="E416" s="8" t="s">
        <v>898</v>
      </c>
      <c r="F416" s="10">
        <v>6629.16</v>
      </c>
      <c r="G416" s="11">
        <v>1</v>
      </c>
      <c r="H416" s="11">
        <v>6629.16</v>
      </c>
    </row>
    <row r="417" spans="1:9" x14ac:dyDescent="0.2">
      <c r="A417" s="8" t="s">
        <v>886</v>
      </c>
      <c r="B417" s="9">
        <v>45747</v>
      </c>
      <c r="C417" s="8" t="s">
        <v>893</v>
      </c>
      <c r="D417" s="8" t="s">
        <v>894</v>
      </c>
      <c r="E417" s="8" t="s">
        <v>895</v>
      </c>
      <c r="F417" s="10">
        <v>6588.37</v>
      </c>
      <c r="G417" s="11">
        <v>1</v>
      </c>
      <c r="H417" s="11">
        <v>6588.37</v>
      </c>
    </row>
    <row r="418" spans="1:9" x14ac:dyDescent="0.2">
      <c r="A418" s="8" t="s">
        <v>899</v>
      </c>
      <c r="B418" s="9">
        <v>45747</v>
      </c>
      <c r="C418" s="8" t="s">
        <v>887</v>
      </c>
      <c r="D418" s="8" t="s">
        <v>888</v>
      </c>
      <c r="E418" s="8" t="s">
        <v>889</v>
      </c>
      <c r="F418" s="10">
        <v>19676.259999999998</v>
      </c>
      <c r="G418" s="11">
        <v>1</v>
      </c>
      <c r="H418" s="11">
        <v>19676.259999999998</v>
      </c>
    </row>
    <row r="419" spans="1:9" x14ac:dyDescent="0.2">
      <c r="A419" s="8" t="s">
        <v>899</v>
      </c>
      <c r="B419" s="9">
        <v>45747</v>
      </c>
      <c r="C419" s="8" t="s">
        <v>896</v>
      </c>
      <c r="D419" s="8" t="s">
        <v>897</v>
      </c>
      <c r="E419" s="8" t="s">
        <v>898</v>
      </c>
      <c r="F419" s="10">
        <v>19515.009999999998</v>
      </c>
      <c r="G419" s="11">
        <v>1</v>
      </c>
      <c r="H419" s="11">
        <v>19515.009999999998</v>
      </c>
    </row>
    <row r="420" spans="1:9" x14ac:dyDescent="0.2">
      <c r="A420" s="8" t="s">
        <v>899</v>
      </c>
      <c r="B420" s="9">
        <v>45747</v>
      </c>
      <c r="C420" s="8" t="s">
        <v>893</v>
      </c>
      <c r="D420" s="8" t="s">
        <v>894</v>
      </c>
      <c r="E420" s="8" t="s">
        <v>895</v>
      </c>
      <c r="F420" s="10">
        <v>19550.400000000001</v>
      </c>
      <c r="G420" s="11">
        <v>1</v>
      </c>
      <c r="H420" s="11">
        <v>19550.400000000001</v>
      </c>
    </row>
    <row r="421" spans="1:9" x14ac:dyDescent="0.2">
      <c r="A421" s="8"/>
      <c r="B421" s="9"/>
      <c r="C421" s="8"/>
      <c r="D421" s="8"/>
      <c r="E421" s="8"/>
      <c r="F421" s="10"/>
      <c r="G421" s="11"/>
      <c r="H421" s="11"/>
    </row>
    <row r="422" spans="1:9" x14ac:dyDescent="0.2">
      <c r="A422" s="8" t="s">
        <v>900</v>
      </c>
      <c r="B422" s="9">
        <v>45747</v>
      </c>
      <c r="C422" s="8"/>
      <c r="D422" s="8"/>
      <c r="E422" s="8" t="s">
        <v>12</v>
      </c>
      <c r="F422" s="12"/>
      <c r="G422" s="11"/>
      <c r="H422" s="11">
        <v>-940005.08</v>
      </c>
    </row>
    <row r="423" spans="1:9" x14ac:dyDescent="0.2">
      <c r="A423" s="8" t="s">
        <v>900</v>
      </c>
      <c r="B423" s="9">
        <v>45747</v>
      </c>
      <c r="C423" s="8" t="s">
        <v>454</v>
      </c>
      <c r="D423" s="8" t="s">
        <v>455</v>
      </c>
      <c r="E423" s="8" t="s">
        <v>456</v>
      </c>
      <c r="F423" s="11">
        <v>1323615.58</v>
      </c>
      <c r="G423" s="11">
        <v>1</v>
      </c>
      <c r="H423" s="11">
        <v>1323615.58</v>
      </c>
      <c r="I423" s="14">
        <f>H422+H423</f>
        <v>383610.50000000012</v>
      </c>
    </row>
    <row r="424" spans="1:9" x14ac:dyDescent="0.2">
      <c r="A424" s="8" t="s">
        <v>900</v>
      </c>
      <c r="B424" s="9">
        <v>45747</v>
      </c>
      <c r="C424" s="8" t="s">
        <v>901</v>
      </c>
      <c r="D424" s="8" t="s">
        <v>902</v>
      </c>
      <c r="E424" s="8" t="s">
        <v>903</v>
      </c>
      <c r="F424" s="16">
        <v>171001.50099999999</v>
      </c>
      <c r="G424" s="11">
        <v>28.67</v>
      </c>
      <c r="H424" s="11">
        <v>4902613.03</v>
      </c>
    </row>
    <row r="425" spans="1:9" x14ac:dyDescent="0.2">
      <c r="A425" s="8" t="s">
        <v>900</v>
      </c>
      <c r="B425" s="9">
        <v>45747</v>
      </c>
      <c r="C425" s="8" t="s">
        <v>910</v>
      </c>
      <c r="D425" s="8" t="s">
        <v>911</v>
      </c>
      <c r="E425" s="8" t="s">
        <v>912</v>
      </c>
      <c r="F425" s="17">
        <v>147680</v>
      </c>
      <c r="G425" s="11">
        <v>27.64</v>
      </c>
      <c r="H425" s="11">
        <v>4081875.2</v>
      </c>
    </row>
    <row r="426" spans="1:9" x14ac:dyDescent="0.2">
      <c r="A426" s="8" t="s">
        <v>900</v>
      </c>
      <c r="B426" s="9">
        <v>45747</v>
      </c>
      <c r="C426" s="8" t="s">
        <v>904</v>
      </c>
      <c r="D426" s="8" t="s">
        <v>905</v>
      </c>
      <c r="E426" s="8" t="s">
        <v>906</v>
      </c>
      <c r="F426" s="17">
        <v>316180</v>
      </c>
      <c r="G426" s="11">
        <v>24.86</v>
      </c>
      <c r="H426" s="11">
        <v>7860234.7999999998</v>
      </c>
    </row>
    <row r="427" spans="1:9" x14ac:dyDescent="0.2">
      <c r="A427" s="8" t="s">
        <v>900</v>
      </c>
      <c r="B427" s="9">
        <v>45747</v>
      </c>
      <c r="C427" s="8" t="s">
        <v>913</v>
      </c>
      <c r="D427" s="8" t="s">
        <v>914</v>
      </c>
      <c r="E427" s="8" t="s">
        <v>915</v>
      </c>
      <c r="F427" s="17">
        <v>265508</v>
      </c>
      <c r="G427" s="11">
        <v>31.1004</v>
      </c>
      <c r="H427" s="11">
        <v>8257405</v>
      </c>
    </row>
    <row r="428" spans="1:9" x14ac:dyDescent="0.2">
      <c r="A428" s="8" t="s">
        <v>900</v>
      </c>
      <c r="B428" s="9">
        <v>45747</v>
      </c>
      <c r="C428" s="8" t="s">
        <v>919</v>
      </c>
      <c r="D428" s="8" t="s">
        <v>920</v>
      </c>
      <c r="E428" s="8" t="s">
        <v>921</v>
      </c>
      <c r="F428" s="17">
        <v>213390</v>
      </c>
      <c r="G428" s="11">
        <v>36.409999999999997</v>
      </c>
      <c r="H428" s="11">
        <v>7769529.9000000004</v>
      </c>
    </row>
    <row r="429" spans="1:9" x14ac:dyDescent="0.2">
      <c r="A429" s="8" t="s">
        <v>900</v>
      </c>
      <c r="B429" s="9">
        <v>45747</v>
      </c>
      <c r="C429" s="8" t="s">
        <v>916</v>
      </c>
      <c r="D429" s="8" t="s">
        <v>917</v>
      </c>
      <c r="E429" s="8" t="s">
        <v>918</v>
      </c>
      <c r="F429" s="17">
        <v>103990</v>
      </c>
      <c r="G429" s="11">
        <v>39.369999999999997</v>
      </c>
      <c r="H429" s="11">
        <v>4094086.3</v>
      </c>
    </row>
    <row r="430" spans="1:9" x14ac:dyDescent="0.2">
      <c r="A430" s="8" t="s">
        <v>900</v>
      </c>
      <c r="B430" s="9">
        <v>45747</v>
      </c>
      <c r="C430" s="8" t="s">
        <v>907</v>
      </c>
      <c r="D430" s="8" t="s">
        <v>908</v>
      </c>
      <c r="E430" s="8" t="s">
        <v>909</v>
      </c>
      <c r="F430" s="17">
        <v>158380</v>
      </c>
      <c r="G430" s="11">
        <v>25.67</v>
      </c>
      <c r="H430" s="11">
        <v>4065614.6</v>
      </c>
      <c r="I430" s="15">
        <f>SUM(H422:H430)</f>
        <v>41414969.329999998</v>
      </c>
    </row>
    <row r="431" spans="1:9" x14ac:dyDescent="0.2">
      <c r="A431" s="8"/>
      <c r="B431" s="9"/>
      <c r="C431" s="8"/>
      <c r="D431" s="8"/>
      <c r="E431" s="8"/>
      <c r="F431" s="12"/>
      <c r="G431" s="11"/>
      <c r="H431" s="11"/>
    </row>
    <row r="432" spans="1:9" x14ac:dyDescent="0.2">
      <c r="A432" s="8" t="s">
        <v>922</v>
      </c>
      <c r="B432" s="9">
        <v>45747</v>
      </c>
      <c r="C432" s="8"/>
      <c r="D432" s="8"/>
      <c r="E432" s="8" t="s">
        <v>12</v>
      </c>
      <c r="F432" s="12"/>
      <c r="G432" s="11"/>
      <c r="H432" s="11">
        <v>-651862.6</v>
      </c>
    </row>
    <row r="433" spans="1:9" x14ac:dyDescent="0.2">
      <c r="A433" s="8" t="s">
        <v>922</v>
      </c>
      <c r="B433" s="9">
        <v>45747</v>
      </c>
      <c r="C433" s="8" t="s">
        <v>454</v>
      </c>
      <c r="D433" s="8" t="s">
        <v>455</v>
      </c>
      <c r="E433" s="8" t="s">
        <v>456</v>
      </c>
      <c r="F433" s="11">
        <v>1080806.55</v>
      </c>
      <c r="G433" s="11">
        <v>1</v>
      </c>
      <c r="H433" s="11">
        <v>1080806.55</v>
      </c>
      <c r="I433" s="14">
        <f>H432+H433</f>
        <v>428943.95000000007</v>
      </c>
    </row>
    <row r="434" spans="1:9" x14ac:dyDescent="0.2">
      <c r="A434" s="8" t="s">
        <v>922</v>
      </c>
      <c r="B434" s="9">
        <v>45747</v>
      </c>
      <c r="C434" s="8" t="s">
        <v>923</v>
      </c>
      <c r="D434" s="8" t="s">
        <v>924</v>
      </c>
      <c r="E434" s="8" t="s">
        <v>925</v>
      </c>
      <c r="F434" s="17">
        <v>49540</v>
      </c>
      <c r="G434" s="11">
        <v>98.92</v>
      </c>
      <c r="H434" s="11">
        <v>4900496.8</v>
      </c>
    </row>
    <row r="435" spans="1:9" x14ac:dyDescent="0.2">
      <c r="A435" s="8" t="s">
        <v>922</v>
      </c>
      <c r="B435" s="9">
        <v>45747</v>
      </c>
      <c r="C435" s="8" t="s">
        <v>901</v>
      </c>
      <c r="D435" s="8" t="s">
        <v>902</v>
      </c>
      <c r="E435" s="8" t="s">
        <v>903</v>
      </c>
      <c r="F435" s="16">
        <v>118324.588</v>
      </c>
      <c r="G435" s="11">
        <v>28.67</v>
      </c>
      <c r="H435" s="11">
        <v>3392365.94</v>
      </c>
    </row>
    <row r="436" spans="1:9" x14ac:dyDescent="0.2">
      <c r="A436" s="8" t="s">
        <v>922</v>
      </c>
      <c r="B436" s="9">
        <v>45747</v>
      </c>
      <c r="C436" s="8" t="s">
        <v>910</v>
      </c>
      <c r="D436" s="8" t="s">
        <v>911</v>
      </c>
      <c r="E436" s="8" t="s">
        <v>912</v>
      </c>
      <c r="F436" s="17">
        <v>77420</v>
      </c>
      <c r="G436" s="11">
        <v>27.64</v>
      </c>
      <c r="H436" s="11">
        <v>2139888.7999999998</v>
      </c>
    </row>
    <row r="437" spans="1:9" x14ac:dyDescent="0.2">
      <c r="A437" s="8" t="s">
        <v>922</v>
      </c>
      <c r="B437" s="9">
        <v>45747</v>
      </c>
      <c r="C437" s="8" t="s">
        <v>941</v>
      </c>
      <c r="D437" s="8" t="s">
        <v>942</v>
      </c>
      <c r="E437" s="8" t="s">
        <v>943</v>
      </c>
      <c r="F437" s="17">
        <v>32190</v>
      </c>
      <c r="G437" s="11">
        <v>20.07</v>
      </c>
      <c r="H437" s="11">
        <v>646053.30000000005</v>
      </c>
    </row>
    <row r="438" spans="1:9" x14ac:dyDescent="0.2">
      <c r="A438" s="8" t="s">
        <v>922</v>
      </c>
      <c r="B438" s="9">
        <v>45747</v>
      </c>
      <c r="C438" s="8" t="s">
        <v>938</v>
      </c>
      <c r="D438" s="8" t="s">
        <v>939</v>
      </c>
      <c r="E438" s="8" t="s">
        <v>940</v>
      </c>
      <c r="F438" s="17">
        <v>157470</v>
      </c>
      <c r="G438" s="11">
        <v>27.16</v>
      </c>
      <c r="H438" s="11">
        <v>4276885.2</v>
      </c>
    </row>
    <row r="439" spans="1:9" x14ac:dyDescent="0.2">
      <c r="A439" s="8" t="s">
        <v>922</v>
      </c>
      <c r="B439" s="9">
        <v>45747</v>
      </c>
      <c r="C439" s="8" t="s">
        <v>929</v>
      </c>
      <c r="D439" s="8" t="s">
        <v>930</v>
      </c>
      <c r="E439" s="8" t="s">
        <v>931</v>
      </c>
      <c r="F439" s="17">
        <v>8200</v>
      </c>
      <c r="G439" s="11">
        <v>78.89</v>
      </c>
      <c r="H439" s="11">
        <v>646898</v>
      </c>
    </row>
    <row r="440" spans="1:9" x14ac:dyDescent="0.2">
      <c r="A440" s="8" t="s">
        <v>922</v>
      </c>
      <c r="B440" s="9">
        <v>45747</v>
      </c>
      <c r="C440" s="8" t="s">
        <v>926</v>
      </c>
      <c r="D440" s="8" t="s">
        <v>927</v>
      </c>
      <c r="E440" s="8" t="s">
        <v>928</v>
      </c>
      <c r="F440" s="17">
        <v>6760</v>
      </c>
      <c r="G440" s="11">
        <v>95.37</v>
      </c>
      <c r="H440" s="11">
        <v>644701.19999999995</v>
      </c>
    </row>
    <row r="441" spans="1:9" x14ac:dyDescent="0.2">
      <c r="A441" s="8" t="s">
        <v>922</v>
      </c>
      <c r="B441" s="9">
        <v>45747</v>
      </c>
      <c r="C441" s="8" t="s">
        <v>913</v>
      </c>
      <c r="D441" s="8" t="s">
        <v>914</v>
      </c>
      <c r="E441" s="8" t="s">
        <v>915</v>
      </c>
      <c r="F441" s="17">
        <v>55400</v>
      </c>
      <c r="G441" s="11">
        <v>31.1004</v>
      </c>
      <c r="H441" s="11">
        <v>1722962.16</v>
      </c>
    </row>
    <row r="442" spans="1:9" x14ac:dyDescent="0.2">
      <c r="A442" s="8" t="s">
        <v>922</v>
      </c>
      <c r="B442" s="9">
        <v>45747</v>
      </c>
      <c r="C442" s="8" t="s">
        <v>932</v>
      </c>
      <c r="D442" s="8" t="s">
        <v>933</v>
      </c>
      <c r="E442" s="8" t="s">
        <v>934</v>
      </c>
      <c r="F442" s="16">
        <v>144395.245</v>
      </c>
      <c r="G442" s="11">
        <v>32.64</v>
      </c>
      <c r="H442" s="11">
        <v>4713060.8</v>
      </c>
    </row>
    <row r="443" spans="1:9" x14ac:dyDescent="0.2">
      <c r="A443" s="8" t="s">
        <v>922</v>
      </c>
      <c r="B443" s="9">
        <v>45747</v>
      </c>
      <c r="C443" s="8" t="s">
        <v>935</v>
      </c>
      <c r="D443" s="8" t="s">
        <v>936</v>
      </c>
      <c r="E443" s="8" t="s">
        <v>937</v>
      </c>
      <c r="F443" s="16">
        <v>699148.30900000001</v>
      </c>
      <c r="G443" s="11">
        <v>17.82</v>
      </c>
      <c r="H443" s="11">
        <v>12458822.869999999</v>
      </c>
    </row>
    <row r="444" spans="1:9" x14ac:dyDescent="0.2">
      <c r="A444" s="8" t="s">
        <v>922</v>
      </c>
      <c r="B444" s="9">
        <v>45747</v>
      </c>
      <c r="C444" s="8" t="s">
        <v>944</v>
      </c>
      <c r="D444" s="8" t="s">
        <v>945</v>
      </c>
      <c r="E444" s="8" t="s">
        <v>946</v>
      </c>
      <c r="F444" s="17">
        <v>20410</v>
      </c>
      <c r="G444" s="11">
        <v>41.13</v>
      </c>
      <c r="H444" s="11">
        <v>839463.3</v>
      </c>
    </row>
    <row r="445" spans="1:9" x14ac:dyDescent="0.2">
      <c r="A445" s="8" t="s">
        <v>922</v>
      </c>
      <c r="B445" s="9">
        <v>45747</v>
      </c>
      <c r="C445" s="8" t="s">
        <v>907</v>
      </c>
      <c r="D445" s="8" t="s">
        <v>908</v>
      </c>
      <c r="E445" s="8" t="s">
        <v>909</v>
      </c>
      <c r="F445" s="17">
        <v>248660</v>
      </c>
      <c r="G445" s="11">
        <v>25.67</v>
      </c>
      <c r="H445" s="11">
        <v>6383102.2000000002</v>
      </c>
      <c r="I445" s="15">
        <f>SUM(H432:H445)</f>
        <v>43193644.519999996</v>
      </c>
    </row>
    <row r="446" spans="1:9" x14ac:dyDescent="0.2">
      <c r="A446" s="8"/>
      <c r="B446" s="9"/>
      <c r="C446" s="8"/>
      <c r="D446" s="8"/>
      <c r="E446" s="8"/>
      <c r="F446" s="12"/>
      <c r="G446" s="11"/>
      <c r="H446" s="11"/>
    </row>
    <row r="447" spans="1:9" x14ac:dyDescent="0.2">
      <c r="A447" s="8" t="s">
        <v>947</v>
      </c>
      <c r="B447" s="9">
        <v>45747</v>
      </c>
      <c r="C447" s="8"/>
      <c r="D447" s="8"/>
      <c r="E447" s="8" t="s">
        <v>12</v>
      </c>
      <c r="F447" s="12"/>
      <c r="G447" s="11"/>
      <c r="H447" s="11">
        <v>-311076.77</v>
      </c>
    </row>
    <row r="448" spans="1:9" x14ac:dyDescent="0.2">
      <c r="A448" s="8" t="s">
        <v>947</v>
      </c>
      <c r="B448" s="9">
        <v>45747</v>
      </c>
      <c r="C448" s="8" t="s">
        <v>454</v>
      </c>
      <c r="D448" s="8" t="s">
        <v>455</v>
      </c>
      <c r="E448" s="8" t="s">
        <v>456</v>
      </c>
      <c r="F448" s="10">
        <v>502697.04</v>
      </c>
      <c r="G448" s="11">
        <v>1</v>
      </c>
      <c r="H448" s="11">
        <v>502697.04</v>
      </c>
      <c r="I448" s="14">
        <f>H447+H448</f>
        <v>191620.26999999996</v>
      </c>
    </row>
    <row r="449" spans="1:9" x14ac:dyDescent="0.2">
      <c r="A449" s="8" t="s">
        <v>947</v>
      </c>
      <c r="B449" s="9">
        <v>45747</v>
      </c>
      <c r="C449" s="8" t="s">
        <v>923</v>
      </c>
      <c r="D449" s="8" t="s">
        <v>924</v>
      </c>
      <c r="E449" s="8" t="s">
        <v>925</v>
      </c>
      <c r="F449" s="10">
        <v>134436</v>
      </c>
      <c r="G449" s="11">
        <v>98.92</v>
      </c>
      <c r="H449" s="11">
        <v>13298409.119999999</v>
      </c>
    </row>
    <row r="450" spans="1:9" x14ac:dyDescent="0.2">
      <c r="A450" s="8" t="s">
        <v>947</v>
      </c>
      <c r="B450" s="9">
        <v>45747</v>
      </c>
      <c r="C450" s="8" t="s">
        <v>951</v>
      </c>
      <c r="D450" s="8" t="s">
        <v>952</v>
      </c>
      <c r="E450" s="8" t="s">
        <v>953</v>
      </c>
      <c r="F450" s="10">
        <v>10853</v>
      </c>
      <c r="G450" s="11">
        <v>288.14</v>
      </c>
      <c r="H450" s="11">
        <v>3127183.42</v>
      </c>
    </row>
    <row r="451" spans="1:9" x14ac:dyDescent="0.2">
      <c r="A451" s="8" t="s">
        <v>947</v>
      </c>
      <c r="B451" s="9">
        <v>45747</v>
      </c>
      <c r="C451" s="8" t="s">
        <v>954</v>
      </c>
      <c r="D451" s="8" t="s">
        <v>955</v>
      </c>
      <c r="E451" s="8" t="s">
        <v>956</v>
      </c>
      <c r="F451" s="10">
        <v>227901</v>
      </c>
      <c r="G451" s="11">
        <v>27.96</v>
      </c>
      <c r="H451" s="11">
        <v>6372111.96</v>
      </c>
    </row>
    <row r="452" spans="1:9" x14ac:dyDescent="0.2">
      <c r="A452" s="8" t="s">
        <v>947</v>
      </c>
      <c r="B452" s="9">
        <v>45747</v>
      </c>
      <c r="C452" s="8" t="s">
        <v>913</v>
      </c>
      <c r="D452" s="8" t="s">
        <v>914</v>
      </c>
      <c r="E452" s="8" t="s">
        <v>915</v>
      </c>
      <c r="F452" s="10">
        <v>369113</v>
      </c>
      <c r="G452" s="11">
        <v>31.1004</v>
      </c>
      <c r="H452" s="11">
        <v>11479561.949999999</v>
      </c>
    </row>
    <row r="453" spans="1:9" x14ac:dyDescent="0.2">
      <c r="A453" s="8" t="s">
        <v>947</v>
      </c>
      <c r="B453" s="9">
        <v>45747</v>
      </c>
      <c r="C453" s="8" t="s">
        <v>907</v>
      </c>
      <c r="D453" s="8" t="s">
        <v>908</v>
      </c>
      <c r="E453" s="8" t="s">
        <v>909</v>
      </c>
      <c r="F453" s="10">
        <v>615815</v>
      </c>
      <c r="G453" s="11">
        <v>25.67</v>
      </c>
      <c r="H453" s="11">
        <v>15807971.050000001</v>
      </c>
    </row>
    <row r="454" spans="1:9" x14ac:dyDescent="0.2">
      <c r="A454" s="8" t="s">
        <v>947</v>
      </c>
      <c r="B454" s="9">
        <v>45747</v>
      </c>
      <c r="C454" s="8" t="s">
        <v>957</v>
      </c>
      <c r="D454" s="8" t="s">
        <v>958</v>
      </c>
      <c r="E454" s="8" t="s">
        <v>959</v>
      </c>
      <c r="F454" s="10">
        <v>112063</v>
      </c>
      <c r="G454" s="11">
        <v>50.33</v>
      </c>
      <c r="H454" s="11">
        <v>5640130.79</v>
      </c>
    </row>
    <row r="455" spans="1:9" x14ac:dyDescent="0.2">
      <c r="A455" s="8" t="s">
        <v>947</v>
      </c>
      <c r="B455" s="9">
        <v>45747</v>
      </c>
      <c r="C455" s="8" t="s">
        <v>948</v>
      </c>
      <c r="D455" s="8" t="s">
        <v>949</v>
      </c>
      <c r="E455" s="8" t="s">
        <v>950</v>
      </c>
      <c r="F455" s="10">
        <v>71065</v>
      </c>
      <c r="G455" s="11">
        <v>93.66</v>
      </c>
      <c r="H455" s="11">
        <v>6655947.9000000004</v>
      </c>
      <c r="I455" s="15">
        <f>SUM(H447:H455)</f>
        <v>62572936.459999993</v>
      </c>
    </row>
    <row r="456" spans="1:9" x14ac:dyDescent="0.2">
      <c r="A456" s="8"/>
      <c r="B456" s="9"/>
      <c r="C456" s="8"/>
      <c r="D456" s="8"/>
      <c r="E456" s="8"/>
      <c r="F456" s="12"/>
      <c r="G456" s="11"/>
      <c r="H456" s="11"/>
    </row>
    <row r="457" spans="1:9" x14ac:dyDescent="0.2">
      <c r="A457" s="8" t="s">
        <v>960</v>
      </c>
      <c r="B457" s="9">
        <v>45747</v>
      </c>
      <c r="C457" s="8"/>
      <c r="D457" s="8"/>
      <c r="E457" s="8" t="s">
        <v>12</v>
      </c>
      <c r="F457" s="12"/>
      <c r="G457" s="11"/>
      <c r="H457" s="11">
        <v>26.79</v>
      </c>
      <c r="I457" s="15">
        <f>SUM(H457:H458)</f>
        <v>404647.48</v>
      </c>
    </row>
    <row r="458" spans="1:9" x14ac:dyDescent="0.2">
      <c r="A458" s="8" t="s">
        <v>960</v>
      </c>
      <c r="B458" s="9">
        <v>45747</v>
      </c>
      <c r="C458" s="8" t="s">
        <v>454</v>
      </c>
      <c r="D458" s="8" t="s">
        <v>455</v>
      </c>
      <c r="E458" s="8" t="s">
        <v>456</v>
      </c>
      <c r="F458" s="11">
        <v>404620.69</v>
      </c>
      <c r="G458" s="11">
        <v>1</v>
      </c>
      <c r="H458" s="11">
        <v>404620.69</v>
      </c>
    </row>
    <row r="459" spans="1:9" x14ac:dyDescent="0.2">
      <c r="A459" s="8" t="s">
        <v>960</v>
      </c>
      <c r="B459" s="9">
        <v>45747</v>
      </c>
      <c r="C459" s="8" t="s">
        <v>982</v>
      </c>
      <c r="D459" s="8" t="s">
        <v>983</v>
      </c>
      <c r="E459" s="8" t="s">
        <v>984</v>
      </c>
      <c r="F459" s="17">
        <v>15007</v>
      </c>
      <c r="G459" s="11">
        <v>222.13</v>
      </c>
      <c r="H459" s="11">
        <v>3333504.91</v>
      </c>
      <c r="I459" s="20"/>
    </row>
    <row r="460" spans="1:9" x14ac:dyDescent="0.2">
      <c r="A460" s="8" t="s">
        <v>960</v>
      </c>
      <c r="B460" s="9">
        <v>45747</v>
      </c>
      <c r="C460" s="8" t="s">
        <v>1225</v>
      </c>
      <c r="D460" s="8" t="s">
        <v>1226</v>
      </c>
      <c r="E460" s="8" t="s">
        <v>1227</v>
      </c>
      <c r="F460" s="17">
        <v>1931</v>
      </c>
      <c r="G460" s="11">
        <v>96.18</v>
      </c>
      <c r="H460" s="11">
        <v>185723.58</v>
      </c>
    </row>
    <row r="461" spans="1:9" x14ac:dyDescent="0.2">
      <c r="A461" s="8" t="s">
        <v>960</v>
      </c>
      <c r="B461" s="9">
        <v>45747</v>
      </c>
      <c r="C461" s="8" t="s">
        <v>961</v>
      </c>
      <c r="D461" s="8" t="s">
        <v>962</v>
      </c>
      <c r="E461" s="8" t="s">
        <v>963</v>
      </c>
      <c r="F461" s="17">
        <v>1354</v>
      </c>
      <c r="G461" s="11">
        <v>383.53</v>
      </c>
      <c r="H461" s="11">
        <v>519299.62</v>
      </c>
    </row>
    <row r="462" spans="1:9" x14ac:dyDescent="0.2">
      <c r="A462" s="8" t="s">
        <v>960</v>
      </c>
      <c r="B462" s="9">
        <v>45747</v>
      </c>
      <c r="C462" s="8" t="s">
        <v>994</v>
      </c>
      <c r="D462" s="8" t="s">
        <v>995</v>
      </c>
      <c r="E462" s="8" t="s">
        <v>996</v>
      </c>
      <c r="F462" s="17">
        <v>1335</v>
      </c>
      <c r="G462" s="11">
        <v>305.52999999999997</v>
      </c>
      <c r="H462" s="11">
        <v>407882.55</v>
      </c>
    </row>
    <row r="463" spans="1:9" x14ac:dyDescent="0.2">
      <c r="A463" s="8" t="s">
        <v>960</v>
      </c>
      <c r="B463" s="9">
        <v>45747</v>
      </c>
      <c r="C463" s="8" t="s">
        <v>991</v>
      </c>
      <c r="D463" s="8" t="s">
        <v>992</v>
      </c>
      <c r="E463" s="8" t="s">
        <v>993</v>
      </c>
      <c r="F463" s="17">
        <v>725</v>
      </c>
      <c r="G463" s="11">
        <v>261.8</v>
      </c>
      <c r="H463" s="11">
        <v>189805</v>
      </c>
    </row>
    <row r="464" spans="1:9" x14ac:dyDescent="0.2">
      <c r="A464" s="8" t="s">
        <v>960</v>
      </c>
      <c r="B464" s="9">
        <v>45747</v>
      </c>
      <c r="C464" s="8" t="s">
        <v>964</v>
      </c>
      <c r="D464" s="8" t="s">
        <v>965</v>
      </c>
      <c r="E464" s="8" t="s">
        <v>966</v>
      </c>
      <c r="F464" s="17">
        <v>5380</v>
      </c>
      <c r="G464" s="11">
        <v>207.07</v>
      </c>
      <c r="H464" s="11">
        <v>1114036.6000000001</v>
      </c>
    </row>
    <row r="465" spans="1:8" x14ac:dyDescent="0.2">
      <c r="A465" s="8" t="s">
        <v>960</v>
      </c>
      <c r="B465" s="9">
        <v>45747</v>
      </c>
      <c r="C465" s="8" t="s">
        <v>985</v>
      </c>
      <c r="D465" s="8" t="s">
        <v>986</v>
      </c>
      <c r="E465" s="8" t="s">
        <v>987</v>
      </c>
      <c r="F465" s="17">
        <v>1486</v>
      </c>
      <c r="G465" s="11">
        <v>145.12</v>
      </c>
      <c r="H465" s="11">
        <v>215648.32</v>
      </c>
    </row>
    <row r="466" spans="1:8" x14ac:dyDescent="0.2">
      <c r="A466" s="8" t="s">
        <v>960</v>
      </c>
      <c r="B466" s="9">
        <v>45747</v>
      </c>
      <c r="C466" s="8" t="s">
        <v>564</v>
      </c>
      <c r="D466" s="8" t="s">
        <v>565</v>
      </c>
      <c r="E466" s="8" t="s">
        <v>566</v>
      </c>
      <c r="F466" s="17">
        <v>1783</v>
      </c>
      <c r="G466" s="11">
        <v>311.55</v>
      </c>
      <c r="H466" s="11">
        <v>555493.65</v>
      </c>
    </row>
    <row r="467" spans="1:8" x14ac:dyDescent="0.2">
      <c r="A467" s="8" t="s">
        <v>960</v>
      </c>
      <c r="B467" s="9">
        <v>45747</v>
      </c>
      <c r="C467" s="8" t="s">
        <v>970</v>
      </c>
      <c r="D467" s="8" t="s">
        <v>971</v>
      </c>
      <c r="E467" s="8" t="s">
        <v>972</v>
      </c>
      <c r="F467" s="17">
        <v>23635</v>
      </c>
      <c r="G467" s="11">
        <v>190.26</v>
      </c>
      <c r="H467" s="11">
        <v>4496795.0999999996</v>
      </c>
    </row>
    <row r="468" spans="1:8" x14ac:dyDescent="0.2">
      <c r="A468" s="8" t="s">
        <v>960</v>
      </c>
      <c r="B468" s="9">
        <v>45747</v>
      </c>
      <c r="C468" s="8" t="s">
        <v>988</v>
      </c>
      <c r="D468" s="8" t="s">
        <v>989</v>
      </c>
      <c r="E468" s="8" t="s">
        <v>990</v>
      </c>
      <c r="F468" s="17">
        <v>13148</v>
      </c>
      <c r="G468" s="11">
        <v>77.48</v>
      </c>
      <c r="H468" s="11">
        <v>1018707.04</v>
      </c>
    </row>
    <row r="469" spans="1:8" x14ac:dyDescent="0.2">
      <c r="A469" s="8" t="s">
        <v>960</v>
      </c>
      <c r="B469" s="9">
        <v>45747</v>
      </c>
      <c r="C469" s="8" t="s">
        <v>976</v>
      </c>
      <c r="D469" s="8" t="s">
        <v>977</v>
      </c>
      <c r="E469" s="8" t="s">
        <v>978</v>
      </c>
      <c r="F469" s="17">
        <v>14048</v>
      </c>
      <c r="G469" s="11">
        <v>65.59</v>
      </c>
      <c r="H469" s="11">
        <v>921408.32</v>
      </c>
    </row>
    <row r="470" spans="1:8" x14ac:dyDescent="0.2">
      <c r="A470" s="8" t="s">
        <v>960</v>
      </c>
      <c r="B470" s="9">
        <v>45747</v>
      </c>
      <c r="C470" s="8" t="s">
        <v>1009</v>
      </c>
      <c r="D470" s="8" t="s">
        <v>1010</v>
      </c>
      <c r="E470" s="8" t="s">
        <v>1011</v>
      </c>
      <c r="F470" s="17">
        <v>5195</v>
      </c>
      <c r="G470" s="11">
        <v>167.43</v>
      </c>
      <c r="H470" s="11">
        <v>869798.85</v>
      </c>
    </row>
    <row r="471" spans="1:8" x14ac:dyDescent="0.2">
      <c r="A471" s="8" t="s">
        <v>960</v>
      </c>
      <c r="B471" s="9">
        <v>45747</v>
      </c>
      <c r="C471" s="8" t="s">
        <v>973</v>
      </c>
      <c r="D471" s="8" t="s">
        <v>974</v>
      </c>
      <c r="E471" s="8" t="s">
        <v>975</v>
      </c>
      <c r="F471" s="17">
        <v>631</v>
      </c>
      <c r="G471" s="11">
        <v>269.05</v>
      </c>
      <c r="H471" s="11">
        <v>169770.55</v>
      </c>
    </row>
    <row r="472" spans="1:8" x14ac:dyDescent="0.2">
      <c r="A472" s="8" t="s">
        <v>960</v>
      </c>
      <c r="B472" s="9">
        <v>45747</v>
      </c>
      <c r="C472" s="8" t="s">
        <v>588</v>
      </c>
      <c r="D472" s="8" t="s">
        <v>589</v>
      </c>
      <c r="E472" s="8" t="s">
        <v>590</v>
      </c>
      <c r="F472" s="17">
        <v>20251</v>
      </c>
      <c r="G472" s="11">
        <v>41.73</v>
      </c>
      <c r="H472" s="11">
        <v>845074.23</v>
      </c>
    </row>
    <row r="473" spans="1:8" x14ac:dyDescent="0.2">
      <c r="A473" s="8" t="s">
        <v>960</v>
      </c>
      <c r="B473" s="9">
        <v>45747</v>
      </c>
      <c r="C473" s="8" t="s">
        <v>1003</v>
      </c>
      <c r="D473" s="8" t="s">
        <v>1004</v>
      </c>
      <c r="E473" s="8" t="s">
        <v>1005</v>
      </c>
      <c r="F473" s="17">
        <v>310</v>
      </c>
      <c r="G473" s="11">
        <v>4606.91</v>
      </c>
      <c r="H473" s="11">
        <v>1428142.1</v>
      </c>
    </row>
    <row r="474" spans="1:8" x14ac:dyDescent="0.2">
      <c r="A474" s="8" t="s">
        <v>960</v>
      </c>
      <c r="B474" s="9">
        <v>45747</v>
      </c>
      <c r="C474" s="8" t="s">
        <v>997</v>
      </c>
      <c r="D474" s="8" t="s">
        <v>998</v>
      </c>
      <c r="E474" s="8" t="s">
        <v>999</v>
      </c>
      <c r="F474" s="17">
        <v>5522</v>
      </c>
      <c r="G474" s="11">
        <v>532.58000000000004</v>
      </c>
      <c r="H474" s="11">
        <v>2940906.76</v>
      </c>
    </row>
    <row r="475" spans="1:8" x14ac:dyDescent="0.2">
      <c r="A475" s="8" t="s">
        <v>960</v>
      </c>
      <c r="B475" s="9">
        <v>45747</v>
      </c>
      <c r="C475" s="8" t="s">
        <v>1006</v>
      </c>
      <c r="D475" s="8" t="s">
        <v>1007</v>
      </c>
      <c r="E475" s="8" t="s">
        <v>1008</v>
      </c>
      <c r="F475" s="17">
        <v>1718</v>
      </c>
      <c r="G475" s="11">
        <v>100.88</v>
      </c>
      <c r="H475" s="11">
        <v>173311.84</v>
      </c>
    </row>
    <row r="476" spans="1:8" x14ac:dyDescent="0.2">
      <c r="A476" s="8" t="s">
        <v>960</v>
      </c>
      <c r="B476" s="9">
        <v>45747</v>
      </c>
      <c r="C476" s="8" t="s">
        <v>1000</v>
      </c>
      <c r="D476" s="8" t="s">
        <v>1001</v>
      </c>
      <c r="E476" s="8" t="s">
        <v>1002</v>
      </c>
      <c r="F476" s="17">
        <v>1378</v>
      </c>
      <c r="G476" s="11">
        <v>139.78</v>
      </c>
      <c r="H476" s="11">
        <v>192616.84</v>
      </c>
    </row>
    <row r="477" spans="1:8" x14ac:dyDescent="0.2">
      <c r="A477" s="8" t="s">
        <v>960</v>
      </c>
      <c r="B477" s="9">
        <v>45747</v>
      </c>
      <c r="C477" s="8" t="s">
        <v>615</v>
      </c>
      <c r="D477" s="8" t="s">
        <v>616</v>
      </c>
      <c r="E477" s="8" t="s">
        <v>617</v>
      </c>
      <c r="F477" s="17">
        <v>2850</v>
      </c>
      <c r="G477" s="11">
        <v>70.989999999999995</v>
      </c>
      <c r="H477" s="11">
        <v>202321.5</v>
      </c>
    </row>
    <row r="478" spans="1:8" x14ac:dyDescent="0.2">
      <c r="A478" s="8" t="s">
        <v>960</v>
      </c>
      <c r="B478" s="9">
        <v>45747</v>
      </c>
      <c r="C478" s="8" t="s">
        <v>1018</v>
      </c>
      <c r="D478" s="8" t="s">
        <v>1019</v>
      </c>
      <c r="E478" s="8" t="s">
        <v>1020</v>
      </c>
      <c r="F478" s="17">
        <v>511</v>
      </c>
      <c r="G478" s="11">
        <v>329.8</v>
      </c>
      <c r="H478" s="11">
        <v>168527.8</v>
      </c>
    </row>
    <row r="479" spans="1:8" x14ac:dyDescent="0.2">
      <c r="A479" s="8" t="s">
        <v>960</v>
      </c>
      <c r="B479" s="9">
        <v>45747</v>
      </c>
      <c r="C479" s="8" t="s">
        <v>1012</v>
      </c>
      <c r="D479" s="8" t="s">
        <v>1013</v>
      </c>
      <c r="E479" s="8" t="s">
        <v>1014</v>
      </c>
      <c r="F479" s="17">
        <v>8038</v>
      </c>
      <c r="G479" s="11">
        <v>130.78</v>
      </c>
      <c r="H479" s="11">
        <v>1051209.6399999999</v>
      </c>
    </row>
    <row r="480" spans="1:8" x14ac:dyDescent="0.2">
      <c r="A480" s="8" t="s">
        <v>960</v>
      </c>
      <c r="B480" s="9">
        <v>45747</v>
      </c>
      <c r="C480" s="8" t="s">
        <v>1015</v>
      </c>
      <c r="D480" s="8" t="s">
        <v>1016</v>
      </c>
      <c r="E480" s="8" t="s">
        <v>1017</v>
      </c>
      <c r="F480" s="17">
        <v>30339</v>
      </c>
      <c r="G480" s="11">
        <v>19.53</v>
      </c>
      <c r="H480" s="11">
        <v>592520.67000000004</v>
      </c>
    </row>
    <row r="481" spans="1:8" x14ac:dyDescent="0.2">
      <c r="A481" s="8" t="s">
        <v>960</v>
      </c>
      <c r="B481" s="9">
        <v>45747</v>
      </c>
      <c r="C481" s="8" t="s">
        <v>621</v>
      </c>
      <c r="D481" s="8" t="s">
        <v>622</v>
      </c>
      <c r="E481" s="8" t="s">
        <v>623</v>
      </c>
      <c r="F481" s="17">
        <v>25540</v>
      </c>
      <c r="G481" s="11">
        <v>93.7</v>
      </c>
      <c r="H481" s="11">
        <v>2393098</v>
      </c>
    </row>
    <row r="482" spans="1:8" x14ac:dyDescent="0.2">
      <c r="A482" s="8" t="s">
        <v>960</v>
      </c>
      <c r="B482" s="9">
        <v>45747</v>
      </c>
      <c r="C482" s="8" t="s">
        <v>1021</v>
      </c>
      <c r="D482" s="8" t="s">
        <v>1022</v>
      </c>
      <c r="E482" s="8" t="s">
        <v>1023</v>
      </c>
      <c r="F482" s="17">
        <v>7343</v>
      </c>
      <c r="G482" s="11">
        <v>60.71</v>
      </c>
      <c r="H482" s="11">
        <v>445793.53</v>
      </c>
    </row>
    <row r="483" spans="1:8" x14ac:dyDescent="0.2">
      <c r="A483" s="8" t="s">
        <v>960</v>
      </c>
      <c r="B483" s="9">
        <v>45747</v>
      </c>
      <c r="C483" s="8" t="s">
        <v>633</v>
      </c>
      <c r="D483" s="8" t="s">
        <v>634</v>
      </c>
      <c r="E483" s="8" t="s">
        <v>635</v>
      </c>
      <c r="F483" s="17">
        <v>3695</v>
      </c>
      <c r="G483" s="11">
        <v>105.02</v>
      </c>
      <c r="H483" s="11">
        <v>388048.9</v>
      </c>
    </row>
    <row r="484" spans="1:8" x14ac:dyDescent="0.2">
      <c r="A484" s="8" t="s">
        <v>960</v>
      </c>
      <c r="B484" s="9">
        <v>45747</v>
      </c>
      <c r="C484" s="8" t="s">
        <v>1033</v>
      </c>
      <c r="D484" s="8" t="s">
        <v>1034</v>
      </c>
      <c r="E484" s="8" t="s">
        <v>1035</v>
      </c>
      <c r="F484" s="17">
        <v>420</v>
      </c>
      <c r="G484" s="11">
        <v>945.78</v>
      </c>
      <c r="H484" s="11">
        <v>397227.6</v>
      </c>
    </row>
    <row r="485" spans="1:8" x14ac:dyDescent="0.2">
      <c r="A485" s="8" t="s">
        <v>960</v>
      </c>
      <c r="B485" s="9">
        <v>45747</v>
      </c>
      <c r="C485" s="8" t="s">
        <v>1027</v>
      </c>
      <c r="D485" s="8" t="s">
        <v>1028</v>
      </c>
      <c r="E485" s="8" t="s">
        <v>1029</v>
      </c>
      <c r="F485" s="17">
        <v>539</v>
      </c>
      <c r="G485" s="11">
        <v>348.72</v>
      </c>
      <c r="H485" s="11">
        <v>187960.08</v>
      </c>
    </row>
    <row r="486" spans="1:8" x14ac:dyDescent="0.2">
      <c r="A486" s="8" t="s">
        <v>960</v>
      </c>
      <c r="B486" s="9">
        <v>45747</v>
      </c>
      <c r="C486" s="8" t="s">
        <v>1171</v>
      </c>
      <c r="D486" s="8" t="s">
        <v>1172</v>
      </c>
      <c r="E486" s="8" t="s">
        <v>1173</v>
      </c>
      <c r="F486" s="17">
        <v>1397</v>
      </c>
      <c r="G486" s="11">
        <v>268.36</v>
      </c>
      <c r="H486" s="11">
        <v>374898.92</v>
      </c>
    </row>
    <row r="487" spans="1:8" x14ac:dyDescent="0.2">
      <c r="A487" s="8" t="s">
        <v>960</v>
      </c>
      <c r="B487" s="9">
        <v>45747</v>
      </c>
      <c r="C487" s="8" t="s">
        <v>1024</v>
      </c>
      <c r="D487" s="8" t="s">
        <v>1025</v>
      </c>
      <c r="E487" s="8" t="s">
        <v>1026</v>
      </c>
      <c r="F487" s="17">
        <v>887</v>
      </c>
      <c r="G487" s="11">
        <v>205.53</v>
      </c>
      <c r="H487" s="11">
        <v>182305.11</v>
      </c>
    </row>
    <row r="488" spans="1:8" x14ac:dyDescent="0.2">
      <c r="A488" s="8" t="s">
        <v>960</v>
      </c>
      <c r="B488" s="9">
        <v>45747</v>
      </c>
      <c r="C488" s="8" t="s">
        <v>1030</v>
      </c>
      <c r="D488" s="8" t="s">
        <v>1031</v>
      </c>
      <c r="E488" s="8" t="s">
        <v>1032</v>
      </c>
      <c r="F488" s="17">
        <v>2850</v>
      </c>
      <c r="G488" s="11">
        <v>62.93</v>
      </c>
      <c r="H488" s="11">
        <v>179350.5</v>
      </c>
    </row>
    <row r="489" spans="1:8" x14ac:dyDescent="0.2">
      <c r="A489" s="8" t="s">
        <v>960</v>
      </c>
      <c r="B489" s="9">
        <v>45747</v>
      </c>
      <c r="C489" s="8" t="s">
        <v>1042</v>
      </c>
      <c r="D489" s="8" t="s">
        <v>1043</v>
      </c>
      <c r="E489" s="8" t="s">
        <v>1044</v>
      </c>
      <c r="F489" s="17">
        <v>3498</v>
      </c>
      <c r="G489" s="11">
        <v>98.7</v>
      </c>
      <c r="H489" s="11">
        <v>345252.6</v>
      </c>
    </row>
    <row r="490" spans="1:8" x14ac:dyDescent="0.2">
      <c r="A490" s="8" t="s">
        <v>960</v>
      </c>
      <c r="B490" s="9">
        <v>45747</v>
      </c>
      <c r="C490" s="8" t="s">
        <v>1036</v>
      </c>
      <c r="D490" s="8" t="s">
        <v>1037</v>
      </c>
      <c r="E490" s="8" t="s">
        <v>1038</v>
      </c>
      <c r="F490" s="17">
        <v>2202</v>
      </c>
      <c r="G490" s="11">
        <v>68.290000000000006</v>
      </c>
      <c r="H490" s="11">
        <v>150374.57999999999</v>
      </c>
    </row>
    <row r="491" spans="1:8" x14ac:dyDescent="0.2">
      <c r="A491" s="8" t="s">
        <v>960</v>
      </c>
      <c r="B491" s="9">
        <v>45747</v>
      </c>
      <c r="C491" s="8" t="s">
        <v>979</v>
      </c>
      <c r="D491" s="8" t="s">
        <v>980</v>
      </c>
      <c r="E491" s="8" t="s">
        <v>981</v>
      </c>
      <c r="F491" s="17">
        <v>432</v>
      </c>
      <c r="G491" s="11">
        <v>434.96</v>
      </c>
      <c r="H491" s="11">
        <v>187902.72</v>
      </c>
    </row>
    <row r="492" spans="1:8" x14ac:dyDescent="0.2">
      <c r="A492" s="8" t="s">
        <v>960</v>
      </c>
      <c r="B492" s="9">
        <v>45747</v>
      </c>
      <c r="C492" s="8" t="s">
        <v>657</v>
      </c>
      <c r="D492" s="8" t="s">
        <v>658</v>
      </c>
      <c r="E492" s="8" t="s">
        <v>659</v>
      </c>
      <c r="F492" s="17">
        <v>5866</v>
      </c>
      <c r="G492" s="11">
        <v>128.24</v>
      </c>
      <c r="H492" s="11">
        <v>752255.84</v>
      </c>
    </row>
    <row r="493" spans="1:8" x14ac:dyDescent="0.2">
      <c r="A493" s="8" t="s">
        <v>960</v>
      </c>
      <c r="B493" s="9">
        <v>45747</v>
      </c>
      <c r="C493" s="8" t="s">
        <v>1048</v>
      </c>
      <c r="D493" s="8" t="s">
        <v>1049</v>
      </c>
      <c r="E493" s="8" t="s">
        <v>1050</v>
      </c>
      <c r="F493" s="17">
        <v>249</v>
      </c>
      <c r="G493" s="11">
        <v>815.35</v>
      </c>
      <c r="H493" s="11">
        <v>203022.15</v>
      </c>
    </row>
    <row r="494" spans="1:8" x14ac:dyDescent="0.2">
      <c r="A494" s="8" t="s">
        <v>960</v>
      </c>
      <c r="B494" s="9">
        <v>45747</v>
      </c>
      <c r="C494" s="8" t="s">
        <v>1045</v>
      </c>
      <c r="D494" s="8" t="s">
        <v>1046</v>
      </c>
      <c r="E494" s="8" t="s">
        <v>1047</v>
      </c>
      <c r="F494" s="17">
        <v>6153</v>
      </c>
      <c r="G494" s="11">
        <v>85.49</v>
      </c>
      <c r="H494" s="11">
        <v>526019.97</v>
      </c>
    </row>
    <row r="495" spans="1:8" x14ac:dyDescent="0.2">
      <c r="A495" s="8" t="s">
        <v>960</v>
      </c>
      <c r="B495" s="9">
        <v>45747</v>
      </c>
      <c r="C495" s="8" t="s">
        <v>1039</v>
      </c>
      <c r="D495" s="8" t="s">
        <v>1040</v>
      </c>
      <c r="E495" s="8" t="s">
        <v>1041</v>
      </c>
      <c r="F495" s="17">
        <v>1703</v>
      </c>
      <c r="G495" s="11">
        <v>159.88</v>
      </c>
      <c r="H495" s="11">
        <v>272275.64</v>
      </c>
    </row>
    <row r="496" spans="1:8" x14ac:dyDescent="0.2">
      <c r="A496" s="8" t="s">
        <v>960</v>
      </c>
      <c r="B496" s="9">
        <v>45747</v>
      </c>
      <c r="C496" s="8" t="s">
        <v>1063</v>
      </c>
      <c r="D496" s="8" t="s">
        <v>1064</v>
      </c>
      <c r="E496" s="8" t="s">
        <v>1065</v>
      </c>
      <c r="F496" s="17">
        <v>4411</v>
      </c>
      <c r="G496" s="11">
        <v>37.86</v>
      </c>
      <c r="H496" s="11">
        <v>167000.46</v>
      </c>
    </row>
    <row r="497" spans="1:8" x14ac:dyDescent="0.2">
      <c r="A497" s="8" t="s">
        <v>960</v>
      </c>
      <c r="B497" s="9">
        <v>45747</v>
      </c>
      <c r="C497" s="8" t="s">
        <v>1054</v>
      </c>
      <c r="D497" s="8" t="s">
        <v>1055</v>
      </c>
      <c r="E497" s="8" t="s">
        <v>1056</v>
      </c>
      <c r="F497" s="17">
        <v>851</v>
      </c>
      <c r="G497" s="11">
        <v>220.83</v>
      </c>
      <c r="H497" s="11">
        <v>187926.33</v>
      </c>
    </row>
    <row r="498" spans="1:8" x14ac:dyDescent="0.2">
      <c r="A498" s="8" t="s">
        <v>960</v>
      </c>
      <c r="B498" s="9">
        <v>45747</v>
      </c>
      <c r="C498" s="8" t="s">
        <v>1060</v>
      </c>
      <c r="D498" s="8" t="s">
        <v>1061</v>
      </c>
      <c r="E498" s="8" t="s">
        <v>1062</v>
      </c>
      <c r="F498" s="17">
        <v>13474</v>
      </c>
      <c r="G498" s="11">
        <v>52.71</v>
      </c>
      <c r="H498" s="11">
        <v>710214.54</v>
      </c>
    </row>
    <row r="499" spans="1:8" x14ac:dyDescent="0.2">
      <c r="A499" s="8" t="s">
        <v>960</v>
      </c>
      <c r="B499" s="9">
        <v>45747</v>
      </c>
      <c r="C499" s="8" t="s">
        <v>1057</v>
      </c>
      <c r="D499" s="8" t="s">
        <v>1058</v>
      </c>
      <c r="E499" s="8" t="s">
        <v>1059</v>
      </c>
      <c r="F499" s="17">
        <v>1820</v>
      </c>
      <c r="G499" s="11">
        <v>96.26</v>
      </c>
      <c r="H499" s="11">
        <v>175193.2</v>
      </c>
    </row>
    <row r="500" spans="1:8" x14ac:dyDescent="0.2">
      <c r="A500" s="8" t="s">
        <v>960</v>
      </c>
      <c r="B500" s="9">
        <v>45747</v>
      </c>
      <c r="C500" s="8" t="s">
        <v>1069</v>
      </c>
      <c r="D500" s="8" t="s">
        <v>1070</v>
      </c>
      <c r="E500" s="8" t="s">
        <v>1071</v>
      </c>
      <c r="F500" s="17">
        <v>995</v>
      </c>
      <c r="G500" s="11">
        <v>180.14</v>
      </c>
      <c r="H500" s="11">
        <v>179239.3</v>
      </c>
    </row>
    <row r="501" spans="1:8" x14ac:dyDescent="0.2">
      <c r="A501" s="8" t="s">
        <v>960</v>
      </c>
      <c r="B501" s="9">
        <v>45747</v>
      </c>
      <c r="C501" s="8" t="s">
        <v>681</v>
      </c>
      <c r="D501" s="8" t="s">
        <v>682</v>
      </c>
      <c r="E501" s="8" t="s">
        <v>683</v>
      </c>
      <c r="F501" s="17">
        <v>2203</v>
      </c>
      <c r="G501" s="11">
        <v>112.05</v>
      </c>
      <c r="H501" s="11">
        <v>246846.15</v>
      </c>
    </row>
    <row r="502" spans="1:8" x14ac:dyDescent="0.2">
      <c r="A502" s="8" t="s">
        <v>960</v>
      </c>
      <c r="B502" s="9">
        <v>45747</v>
      </c>
      <c r="C502" s="8" t="s">
        <v>639</v>
      </c>
      <c r="D502" s="8" t="s">
        <v>640</v>
      </c>
      <c r="E502" s="8" t="s">
        <v>641</v>
      </c>
      <c r="F502" s="17">
        <v>14414</v>
      </c>
      <c r="G502" s="11">
        <v>45.78</v>
      </c>
      <c r="H502" s="11">
        <v>659872.92000000004</v>
      </c>
    </row>
    <row r="503" spans="1:8" x14ac:dyDescent="0.2">
      <c r="A503" s="8" t="s">
        <v>960</v>
      </c>
      <c r="B503" s="9">
        <v>45747</v>
      </c>
      <c r="C503" s="8" t="s">
        <v>1066</v>
      </c>
      <c r="D503" s="8" t="s">
        <v>1067</v>
      </c>
      <c r="E503" s="8" t="s">
        <v>1068</v>
      </c>
      <c r="F503" s="17">
        <v>6473</v>
      </c>
      <c r="G503" s="11">
        <v>47.03</v>
      </c>
      <c r="H503" s="11">
        <v>304425.19</v>
      </c>
    </row>
    <row r="504" spans="1:8" x14ac:dyDescent="0.2">
      <c r="A504" s="8" t="s">
        <v>960</v>
      </c>
      <c r="B504" s="9">
        <v>45747</v>
      </c>
      <c r="C504" s="8" t="s">
        <v>967</v>
      </c>
      <c r="D504" s="8" t="s">
        <v>968</v>
      </c>
      <c r="E504" s="8" t="s">
        <v>969</v>
      </c>
      <c r="F504" s="17">
        <v>24689</v>
      </c>
      <c r="G504" s="11">
        <v>154.63999999999999</v>
      </c>
      <c r="H504" s="11">
        <v>3817906.96</v>
      </c>
    </row>
    <row r="505" spans="1:8" x14ac:dyDescent="0.2">
      <c r="A505" s="8" t="s">
        <v>960</v>
      </c>
      <c r="B505" s="9">
        <v>45747</v>
      </c>
      <c r="C505" s="8" t="s">
        <v>1072</v>
      </c>
      <c r="D505" s="8" t="s">
        <v>1073</v>
      </c>
      <c r="E505" s="8" t="s">
        <v>1074</v>
      </c>
      <c r="F505" s="17">
        <v>652</v>
      </c>
      <c r="G505" s="11">
        <v>345.55</v>
      </c>
      <c r="H505" s="11">
        <v>225298.6</v>
      </c>
    </row>
    <row r="506" spans="1:8" x14ac:dyDescent="0.2">
      <c r="A506" s="8" t="s">
        <v>960</v>
      </c>
      <c r="B506" s="9">
        <v>45747</v>
      </c>
      <c r="C506" s="8" t="s">
        <v>684</v>
      </c>
      <c r="D506" s="8" t="s">
        <v>685</v>
      </c>
      <c r="E506" s="8" t="s">
        <v>686</v>
      </c>
      <c r="F506" s="17">
        <v>2828</v>
      </c>
      <c r="G506" s="11">
        <v>366.49</v>
      </c>
      <c r="H506" s="11">
        <v>1036433.72</v>
      </c>
    </row>
    <row r="507" spans="1:8" x14ac:dyDescent="0.2">
      <c r="A507" s="8" t="s">
        <v>960</v>
      </c>
      <c r="B507" s="9">
        <v>45747</v>
      </c>
      <c r="C507" s="8" t="s">
        <v>1075</v>
      </c>
      <c r="D507" s="8" t="s">
        <v>1076</v>
      </c>
      <c r="E507" s="8" t="s">
        <v>1077</v>
      </c>
      <c r="F507" s="17">
        <v>737</v>
      </c>
      <c r="G507" s="11">
        <v>227.55</v>
      </c>
      <c r="H507" s="11">
        <v>167704.35</v>
      </c>
    </row>
    <row r="508" spans="1:8" x14ac:dyDescent="0.2">
      <c r="A508" s="8" t="s">
        <v>960</v>
      </c>
      <c r="B508" s="9">
        <v>45747</v>
      </c>
      <c r="C508" s="8" t="s">
        <v>1078</v>
      </c>
      <c r="D508" s="8" t="s">
        <v>1079</v>
      </c>
      <c r="E508" s="8" t="s">
        <v>1080</v>
      </c>
      <c r="F508" s="17">
        <v>2454</v>
      </c>
      <c r="G508" s="11">
        <v>60.55</v>
      </c>
      <c r="H508" s="11">
        <v>148589.70000000001</v>
      </c>
    </row>
    <row r="509" spans="1:8" x14ac:dyDescent="0.2">
      <c r="A509" s="8" t="s">
        <v>960</v>
      </c>
      <c r="B509" s="9">
        <v>45747</v>
      </c>
      <c r="C509" s="8" t="s">
        <v>1081</v>
      </c>
      <c r="D509" s="8" t="s">
        <v>1082</v>
      </c>
      <c r="E509" s="8" t="s">
        <v>1083</v>
      </c>
      <c r="F509" s="17">
        <v>1609</v>
      </c>
      <c r="G509" s="11">
        <v>495.27</v>
      </c>
      <c r="H509" s="11">
        <v>796889.43</v>
      </c>
    </row>
    <row r="510" spans="1:8" x14ac:dyDescent="0.2">
      <c r="A510" s="8" t="s">
        <v>960</v>
      </c>
      <c r="B510" s="9">
        <v>45747</v>
      </c>
      <c r="C510" s="8" t="s">
        <v>1087</v>
      </c>
      <c r="D510" s="8" t="s">
        <v>1088</v>
      </c>
      <c r="E510" s="8" t="s">
        <v>1089</v>
      </c>
      <c r="F510" s="17">
        <v>6824</v>
      </c>
      <c r="G510" s="11">
        <v>190.58</v>
      </c>
      <c r="H510" s="11">
        <v>1300517.92</v>
      </c>
    </row>
    <row r="511" spans="1:8" x14ac:dyDescent="0.2">
      <c r="A511" s="8" t="s">
        <v>960</v>
      </c>
      <c r="B511" s="9">
        <v>45747</v>
      </c>
      <c r="C511" s="8" t="s">
        <v>1084</v>
      </c>
      <c r="D511" s="8" t="s">
        <v>1085</v>
      </c>
      <c r="E511" s="8" t="s">
        <v>1086</v>
      </c>
      <c r="F511" s="17">
        <v>2516</v>
      </c>
      <c r="G511" s="11">
        <v>561.9</v>
      </c>
      <c r="H511" s="11">
        <v>1413740.4</v>
      </c>
    </row>
    <row r="512" spans="1:8" x14ac:dyDescent="0.2">
      <c r="A512" s="8" t="s">
        <v>960</v>
      </c>
      <c r="B512" s="9">
        <v>45747</v>
      </c>
      <c r="C512" s="8" t="s">
        <v>711</v>
      </c>
      <c r="D512" s="8" t="s">
        <v>712</v>
      </c>
      <c r="E512" s="8" t="s">
        <v>713</v>
      </c>
      <c r="F512" s="17">
        <v>3468</v>
      </c>
      <c r="G512" s="11">
        <v>245.3</v>
      </c>
      <c r="H512" s="11">
        <v>850700.4</v>
      </c>
    </row>
    <row r="513" spans="1:8" x14ac:dyDescent="0.2">
      <c r="A513" s="8" t="s">
        <v>960</v>
      </c>
      <c r="B513" s="9">
        <v>45747</v>
      </c>
      <c r="C513" s="8" t="s">
        <v>1093</v>
      </c>
      <c r="D513" s="8" t="s">
        <v>1094</v>
      </c>
      <c r="E513" s="8" t="s">
        <v>1095</v>
      </c>
      <c r="F513" s="17">
        <v>8029</v>
      </c>
      <c r="G513" s="11">
        <v>21.24</v>
      </c>
      <c r="H513" s="11">
        <v>170535.96</v>
      </c>
    </row>
    <row r="514" spans="1:8" x14ac:dyDescent="0.2">
      <c r="A514" s="8" t="s">
        <v>960</v>
      </c>
      <c r="B514" s="9">
        <v>45747</v>
      </c>
      <c r="C514" s="8" t="s">
        <v>1090</v>
      </c>
      <c r="D514" s="8" t="s">
        <v>1091</v>
      </c>
      <c r="E514" s="8" t="s">
        <v>1092</v>
      </c>
      <c r="F514" s="17">
        <v>288</v>
      </c>
      <c r="G514" s="11">
        <v>679.8</v>
      </c>
      <c r="H514" s="11">
        <v>195782.39999999999</v>
      </c>
    </row>
    <row r="515" spans="1:8" x14ac:dyDescent="0.2">
      <c r="A515" s="8" t="s">
        <v>960</v>
      </c>
      <c r="B515" s="9">
        <v>45747</v>
      </c>
      <c r="C515" s="8" t="s">
        <v>720</v>
      </c>
      <c r="D515" s="8" t="s">
        <v>721</v>
      </c>
      <c r="E515" s="8" t="s">
        <v>722</v>
      </c>
      <c r="F515" s="17">
        <v>1289</v>
      </c>
      <c r="G515" s="11">
        <v>142.22</v>
      </c>
      <c r="H515" s="11">
        <v>183321.58</v>
      </c>
    </row>
    <row r="516" spans="1:8" x14ac:dyDescent="0.2">
      <c r="A516" s="8" t="s">
        <v>960</v>
      </c>
      <c r="B516" s="9">
        <v>45747</v>
      </c>
      <c r="C516" s="8" t="s">
        <v>1096</v>
      </c>
      <c r="D516" s="8" t="s">
        <v>1097</v>
      </c>
      <c r="E516" s="8" t="s">
        <v>1098</v>
      </c>
      <c r="F516" s="17">
        <v>6644</v>
      </c>
      <c r="G516" s="11">
        <v>28.53</v>
      </c>
      <c r="H516" s="11">
        <v>189553.32</v>
      </c>
    </row>
    <row r="517" spans="1:8" x14ac:dyDescent="0.2">
      <c r="A517" s="8" t="s">
        <v>960</v>
      </c>
      <c r="B517" s="9">
        <v>45747</v>
      </c>
      <c r="C517" s="8" t="s">
        <v>1102</v>
      </c>
      <c r="D517" s="8" t="s">
        <v>1103</v>
      </c>
      <c r="E517" s="8" t="s">
        <v>1104</v>
      </c>
      <c r="F517" s="17">
        <v>1128</v>
      </c>
      <c r="G517" s="11">
        <v>134.94</v>
      </c>
      <c r="H517" s="11">
        <v>152212.32</v>
      </c>
    </row>
    <row r="518" spans="1:8" x14ac:dyDescent="0.2">
      <c r="A518" s="8" t="s">
        <v>960</v>
      </c>
      <c r="B518" s="9">
        <v>45747</v>
      </c>
      <c r="C518" s="8" t="s">
        <v>1105</v>
      </c>
      <c r="D518" s="8" t="s">
        <v>1106</v>
      </c>
      <c r="E518" s="8" t="s">
        <v>1107</v>
      </c>
      <c r="F518" s="17">
        <v>1814</v>
      </c>
      <c r="G518" s="11">
        <v>825.91</v>
      </c>
      <c r="H518" s="11">
        <v>1498200.74</v>
      </c>
    </row>
    <row r="519" spans="1:8" x14ac:dyDescent="0.2">
      <c r="A519" s="8" t="s">
        <v>960</v>
      </c>
      <c r="B519" s="9">
        <v>45747</v>
      </c>
      <c r="C519" s="8" t="s">
        <v>726</v>
      </c>
      <c r="D519" s="8" t="s">
        <v>727</v>
      </c>
      <c r="E519" s="8" t="s">
        <v>728</v>
      </c>
      <c r="F519" s="17">
        <v>375</v>
      </c>
      <c r="G519" s="11">
        <v>446.71</v>
      </c>
      <c r="H519" s="11">
        <v>167516.25</v>
      </c>
    </row>
    <row r="520" spans="1:8" x14ac:dyDescent="0.2">
      <c r="A520" s="8" t="s">
        <v>960</v>
      </c>
      <c r="B520" s="9">
        <v>45747</v>
      </c>
      <c r="C520" s="8" t="s">
        <v>1099</v>
      </c>
      <c r="D520" s="8" t="s">
        <v>1100</v>
      </c>
      <c r="E520" s="8" t="s">
        <v>1101</v>
      </c>
      <c r="F520" s="17">
        <v>11295</v>
      </c>
      <c r="G520" s="11">
        <v>72.7</v>
      </c>
      <c r="H520" s="11">
        <v>821146.5</v>
      </c>
    </row>
    <row r="521" spans="1:8" x14ac:dyDescent="0.2">
      <c r="A521" s="8" t="s">
        <v>960</v>
      </c>
      <c r="B521" s="9">
        <v>45747</v>
      </c>
      <c r="C521" s="8" t="s">
        <v>1108</v>
      </c>
      <c r="D521" s="8" t="s">
        <v>1109</v>
      </c>
      <c r="E521" s="8" t="s">
        <v>1110</v>
      </c>
      <c r="F521" s="17">
        <v>838</v>
      </c>
      <c r="G521" s="11">
        <v>283.06</v>
      </c>
      <c r="H521" s="11">
        <v>237204.28</v>
      </c>
    </row>
    <row r="522" spans="1:8" x14ac:dyDescent="0.2">
      <c r="A522" s="8" t="s">
        <v>960</v>
      </c>
      <c r="B522" s="9">
        <v>45747</v>
      </c>
      <c r="C522" s="8" t="s">
        <v>1120</v>
      </c>
      <c r="D522" s="8" t="s">
        <v>1121</v>
      </c>
      <c r="E522" s="8" t="s">
        <v>1122</v>
      </c>
      <c r="F522" s="17">
        <v>4708</v>
      </c>
      <c r="G522" s="11">
        <v>548.12</v>
      </c>
      <c r="H522" s="11">
        <v>2580548.96</v>
      </c>
    </row>
    <row r="523" spans="1:8" x14ac:dyDescent="0.2">
      <c r="A523" s="8" t="s">
        <v>960</v>
      </c>
      <c r="B523" s="9">
        <v>45747</v>
      </c>
      <c r="C523" s="8" t="s">
        <v>1051</v>
      </c>
      <c r="D523" s="8" t="s">
        <v>1052</v>
      </c>
      <c r="E523" s="8" t="s">
        <v>1053</v>
      </c>
      <c r="F523" s="17">
        <v>6397</v>
      </c>
      <c r="G523" s="11">
        <v>576.36</v>
      </c>
      <c r="H523" s="11">
        <v>3686974.92</v>
      </c>
    </row>
    <row r="524" spans="1:8" x14ac:dyDescent="0.2">
      <c r="A524" s="8" t="s">
        <v>960</v>
      </c>
      <c r="B524" s="9">
        <v>45747</v>
      </c>
      <c r="C524" s="8" t="s">
        <v>1117</v>
      </c>
      <c r="D524" s="8" t="s">
        <v>1118</v>
      </c>
      <c r="E524" s="8" t="s">
        <v>1119</v>
      </c>
      <c r="F524" s="17">
        <v>788</v>
      </c>
      <c r="G524" s="11">
        <v>244.03</v>
      </c>
      <c r="H524" s="11">
        <v>192295.64</v>
      </c>
    </row>
    <row r="525" spans="1:8" x14ac:dyDescent="0.2">
      <c r="A525" s="8" t="s">
        <v>960</v>
      </c>
      <c r="B525" s="9">
        <v>45747</v>
      </c>
      <c r="C525" s="8" t="s">
        <v>1126</v>
      </c>
      <c r="D525" s="8" t="s">
        <v>1127</v>
      </c>
      <c r="E525" s="8" t="s">
        <v>1128</v>
      </c>
      <c r="F525" s="17">
        <v>497</v>
      </c>
      <c r="G525" s="11">
        <v>579.98</v>
      </c>
      <c r="H525" s="11">
        <v>288250.06</v>
      </c>
    </row>
    <row r="526" spans="1:8" x14ac:dyDescent="0.2">
      <c r="A526" s="8" t="s">
        <v>960</v>
      </c>
      <c r="B526" s="9">
        <v>45747</v>
      </c>
      <c r="C526" s="8" t="s">
        <v>735</v>
      </c>
      <c r="D526" s="8" t="s">
        <v>736</v>
      </c>
      <c r="E526" s="8" t="s">
        <v>737</v>
      </c>
      <c r="F526" s="17">
        <v>6954</v>
      </c>
      <c r="G526" s="11">
        <v>89.76</v>
      </c>
      <c r="H526" s="11">
        <v>624191.04</v>
      </c>
    </row>
    <row r="527" spans="1:8" x14ac:dyDescent="0.2">
      <c r="A527" s="8" t="s">
        <v>960</v>
      </c>
      <c r="B527" s="9">
        <v>45747</v>
      </c>
      <c r="C527" s="8" t="s">
        <v>1129</v>
      </c>
      <c r="D527" s="8" t="s">
        <v>1130</v>
      </c>
      <c r="E527" s="8" t="s">
        <v>1131</v>
      </c>
      <c r="F527" s="17">
        <v>2347</v>
      </c>
      <c r="G527" s="11">
        <v>116.67</v>
      </c>
      <c r="H527" s="11">
        <v>273824.49</v>
      </c>
    </row>
    <row r="528" spans="1:8" x14ac:dyDescent="0.2">
      <c r="A528" s="8" t="s">
        <v>960</v>
      </c>
      <c r="B528" s="9">
        <v>45747</v>
      </c>
      <c r="C528" s="8" t="s">
        <v>1114</v>
      </c>
      <c r="D528" s="8" t="s">
        <v>1115</v>
      </c>
      <c r="E528" s="8" t="s">
        <v>1116</v>
      </c>
      <c r="F528" s="17">
        <v>302</v>
      </c>
      <c r="G528" s="11">
        <v>565.5</v>
      </c>
      <c r="H528" s="11">
        <v>170781</v>
      </c>
    </row>
    <row r="529" spans="1:8" x14ac:dyDescent="0.2">
      <c r="A529" s="8" t="s">
        <v>960</v>
      </c>
      <c r="B529" s="9">
        <v>45747</v>
      </c>
      <c r="C529" s="8" t="s">
        <v>1123</v>
      </c>
      <c r="D529" s="8" t="s">
        <v>1124</v>
      </c>
      <c r="E529" s="8" t="s">
        <v>1125</v>
      </c>
      <c r="F529" s="17">
        <v>12687</v>
      </c>
      <c r="G529" s="11">
        <v>375.39</v>
      </c>
      <c r="H529" s="11">
        <v>4762572.93</v>
      </c>
    </row>
    <row r="530" spans="1:8" x14ac:dyDescent="0.2">
      <c r="A530" s="8" t="s">
        <v>960</v>
      </c>
      <c r="B530" s="9">
        <v>45747</v>
      </c>
      <c r="C530" s="8" t="s">
        <v>1132</v>
      </c>
      <c r="D530" s="8" t="s">
        <v>1133</v>
      </c>
      <c r="E530" s="8" t="s">
        <v>1134</v>
      </c>
      <c r="F530" s="17">
        <v>387</v>
      </c>
      <c r="G530" s="11">
        <v>437.81</v>
      </c>
      <c r="H530" s="11">
        <v>169432.47</v>
      </c>
    </row>
    <row r="531" spans="1:8" x14ac:dyDescent="0.2">
      <c r="A531" s="8" t="s">
        <v>960</v>
      </c>
      <c r="B531" s="9">
        <v>45747</v>
      </c>
      <c r="C531" s="8" t="s">
        <v>1111</v>
      </c>
      <c r="D531" s="8" t="s">
        <v>1112</v>
      </c>
      <c r="E531" s="8" t="s">
        <v>1113</v>
      </c>
      <c r="F531" s="17">
        <v>979</v>
      </c>
      <c r="G531" s="11">
        <v>178.75</v>
      </c>
      <c r="H531" s="11">
        <v>174996.25</v>
      </c>
    </row>
    <row r="532" spans="1:8" x14ac:dyDescent="0.2">
      <c r="A532" s="8" t="s">
        <v>960</v>
      </c>
      <c r="B532" s="9">
        <v>45747</v>
      </c>
      <c r="C532" s="8" t="s">
        <v>1228</v>
      </c>
      <c r="D532" s="8" t="s">
        <v>1229</v>
      </c>
      <c r="E532" s="8" t="s">
        <v>1230</v>
      </c>
      <c r="F532" s="17">
        <v>7030</v>
      </c>
      <c r="G532" s="11">
        <v>18.96</v>
      </c>
      <c r="H532" s="11">
        <v>133288.79999999999</v>
      </c>
    </row>
    <row r="533" spans="1:8" x14ac:dyDescent="0.2">
      <c r="A533" s="8" t="s">
        <v>960</v>
      </c>
      <c r="B533" s="9">
        <v>45747</v>
      </c>
      <c r="C533" s="8" t="s">
        <v>1144</v>
      </c>
      <c r="D533" s="8" t="s">
        <v>1145</v>
      </c>
      <c r="E533" s="8" t="s">
        <v>1146</v>
      </c>
      <c r="F533" s="17">
        <v>2617</v>
      </c>
      <c r="G533" s="11">
        <v>70.89</v>
      </c>
      <c r="H533" s="11">
        <v>185519.13</v>
      </c>
    </row>
    <row r="534" spans="1:8" x14ac:dyDescent="0.2">
      <c r="A534" s="8" t="s">
        <v>960</v>
      </c>
      <c r="B534" s="9">
        <v>45747</v>
      </c>
      <c r="C534" s="8" t="s">
        <v>1138</v>
      </c>
      <c r="D534" s="8" t="s">
        <v>1139</v>
      </c>
      <c r="E534" s="8" t="s">
        <v>1140</v>
      </c>
      <c r="F534" s="17">
        <v>6813</v>
      </c>
      <c r="G534" s="11">
        <v>48.28</v>
      </c>
      <c r="H534" s="11">
        <v>328931.64</v>
      </c>
    </row>
    <row r="535" spans="1:8" x14ac:dyDescent="0.2">
      <c r="A535" s="8" t="s">
        <v>960</v>
      </c>
      <c r="B535" s="9">
        <v>45747</v>
      </c>
      <c r="C535" s="8" t="s">
        <v>1135</v>
      </c>
      <c r="D535" s="8" t="s">
        <v>1136</v>
      </c>
      <c r="E535" s="8" t="s">
        <v>1137</v>
      </c>
      <c r="F535" s="17">
        <v>192</v>
      </c>
      <c r="G535" s="11">
        <v>932.53</v>
      </c>
      <c r="H535" s="11">
        <v>179045.76000000001</v>
      </c>
    </row>
    <row r="536" spans="1:8" x14ac:dyDescent="0.2">
      <c r="A536" s="8" t="s">
        <v>960</v>
      </c>
      <c r="B536" s="9">
        <v>45747</v>
      </c>
      <c r="C536" s="8" t="s">
        <v>759</v>
      </c>
      <c r="D536" s="8" t="s">
        <v>760</v>
      </c>
      <c r="E536" s="8" t="s">
        <v>761</v>
      </c>
      <c r="F536" s="17">
        <v>1504</v>
      </c>
      <c r="G536" s="11">
        <v>512.01</v>
      </c>
      <c r="H536" s="11">
        <v>770063.04</v>
      </c>
    </row>
    <row r="537" spans="1:8" x14ac:dyDescent="0.2">
      <c r="A537" s="8" t="s">
        <v>960</v>
      </c>
      <c r="B537" s="9">
        <v>45747</v>
      </c>
      <c r="C537" s="8" t="s">
        <v>1177</v>
      </c>
      <c r="D537" s="8" t="s">
        <v>1178</v>
      </c>
      <c r="E537" s="8" t="s">
        <v>1179</v>
      </c>
      <c r="F537" s="17">
        <v>359</v>
      </c>
      <c r="G537" s="11">
        <v>796.14</v>
      </c>
      <c r="H537" s="11">
        <v>285814.26</v>
      </c>
    </row>
    <row r="538" spans="1:8" x14ac:dyDescent="0.2">
      <c r="A538" s="8" t="s">
        <v>960</v>
      </c>
      <c r="B538" s="9">
        <v>45747</v>
      </c>
      <c r="C538" s="8" t="s">
        <v>1147</v>
      </c>
      <c r="D538" s="8" t="s">
        <v>1148</v>
      </c>
      <c r="E538" s="8" t="s">
        <v>1149</v>
      </c>
      <c r="F538" s="17">
        <v>45746</v>
      </c>
      <c r="G538" s="11">
        <v>108.38</v>
      </c>
      <c r="H538" s="11">
        <v>4957951.4800000004</v>
      </c>
    </row>
    <row r="539" spans="1:8" x14ac:dyDescent="0.2">
      <c r="A539" s="8" t="s">
        <v>960</v>
      </c>
      <c r="B539" s="9">
        <v>45747</v>
      </c>
      <c r="C539" s="8" t="s">
        <v>1141</v>
      </c>
      <c r="D539" s="8" t="s">
        <v>1142</v>
      </c>
      <c r="E539" s="8" t="s">
        <v>1143</v>
      </c>
      <c r="F539" s="17">
        <v>6230</v>
      </c>
      <c r="G539" s="11">
        <v>27.22</v>
      </c>
      <c r="H539" s="11">
        <v>169580.6</v>
      </c>
    </row>
    <row r="540" spans="1:8" x14ac:dyDescent="0.2">
      <c r="A540" s="8" t="s">
        <v>960</v>
      </c>
      <c r="B540" s="9">
        <v>45747</v>
      </c>
      <c r="C540" s="8" t="s">
        <v>765</v>
      </c>
      <c r="D540" s="8" t="s">
        <v>766</v>
      </c>
      <c r="E540" s="8" t="s">
        <v>767</v>
      </c>
      <c r="F540" s="17">
        <v>1837</v>
      </c>
      <c r="G540" s="11">
        <v>99.22</v>
      </c>
      <c r="H540" s="11">
        <v>182267.14</v>
      </c>
    </row>
    <row r="541" spans="1:8" x14ac:dyDescent="0.2">
      <c r="A541" s="8" t="s">
        <v>960</v>
      </c>
      <c r="B541" s="9">
        <v>45747</v>
      </c>
      <c r="C541" s="8" t="s">
        <v>1156</v>
      </c>
      <c r="D541" s="8" t="s">
        <v>1157</v>
      </c>
      <c r="E541" s="8" t="s">
        <v>1158</v>
      </c>
      <c r="F541" s="17">
        <v>2766</v>
      </c>
      <c r="G541" s="11">
        <v>82.3</v>
      </c>
      <c r="H541" s="11">
        <v>227641.8</v>
      </c>
    </row>
    <row r="542" spans="1:8" x14ac:dyDescent="0.2">
      <c r="A542" s="8" t="s">
        <v>960</v>
      </c>
      <c r="B542" s="9">
        <v>45747</v>
      </c>
      <c r="C542" s="8" t="s">
        <v>780</v>
      </c>
      <c r="D542" s="8" t="s">
        <v>781</v>
      </c>
      <c r="E542" s="8" t="s">
        <v>782</v>
      </c>
      <c r="F542" s="17">
        <v>1133</v>
      </c>
      <c r="G542" s="11">
        <v>149.94</v>
      </c>
      <c r="H542" s="11">
        <v>169882.02</v>
      </c>
    </row>
    <row r="543" spans="1:8" x14ac:dyDescent="0.2">
      <c r="A543" s="8" t="s">
        <v>960</v>
      </c>
      <c r="B543" s="9">
        <v>45747</v>
      </c>
      <c r="C543" s="8" t="s">
        <v>1153</v>
      </c>
      <c r="D543" s="8" t="s">
        <v>1154</v>
      </c>
      <c r="E543" s="8" t="s">
        <v>1155</v>
      </c>
      <c r="F543" s="17">
        <v>625</v>
      </c>
      <c r="G543" s="11">
        <v>283.01</v>
      </c>
      <c r="H543" s="11">
        <v>176881.25</v>
      </c>
    </row>
    <row r="544" spans="1:8" x14ac:dyDescent="0.2">
      <c r="A544" s="8" t="s">
        <v>960</v>
      </c>
      <c r="B544" s="9">
        <v>45747</v>
      </c>
      <c r="C544" s="8" t="s">
        <v>777</v>
      </c>
      <c r="D544" s="8" t="s">
        <v>778</v>
      </c>
      <c r="E544" s="8" t="s">
        <v>779</v>
      </c>
      <c r="F544" s="17">
        <v>2780</v>
      </c>
      <c r="G544" s="11">
        <v>198.02</v>
      </c>
      <c r="H544" s="11">
        <v>550495.6</v>
      </c>
    </row>
    <row r="545" spans="1:8" x14ac:dyDescent="0.2">
      <c r="A545" s="8" t="s">
        <v>960</v>
      </c>
      <c r="B545" s="9">
        <v>45747</v>
      </c>
      <c r="C545" s="8" t="s">
        <v>1150</v>
      </c>
      <c r="D545" s="8" t="s">
        <v>1151</v>
      </c>
      <c r="E545" s="8" t="s">
        <v>1152</v>
      </c>
      <c r="F545" s="17">
        <v>2941</v>
      </c>
      <c r="G545" s="11">
        <v>84.4</v>
      </c>
      <c r="H545" s="11">
        <v>248220.4</v>
      </c>
    </row>
    <row r="546" spans="1:8" x14ac:dyDescent="0.2">
      <c r="A546" s="8" t="s">
        <v>960</v>
      </c>
      <c r="B546" s="9">
        <v>45747</v>
      </c>
      <c r="C546" s="8" t="s">
        <v>774</v>
      </c>
      <c r="D546" s="8" t="s">
        <v>775</v>
      </c>
      <c r="E546" s="8" t="s">
        <v>776</v>
      </c>
      <c r="F546" s="17">
        <v>8908</v>
      </c>
      <c r="G546" s="11">
        <v>175.77</v>
      </c>
      <c r="H546" s="11">
        <v>1565759.16</v>
      </c>
    </row>
    <row r="547" spans="1:8" x14ac:dyDescent="0.2">
      <c r="A547" s="8" t="s">
        <v>960</v>
      </c>
      <c r="B547" s="9">
        <v>45747</v>
      </c>
      <c r="C547" s="8" t="s">
        <v>786</v>
      </c>
      <c r="D547" s="8" t="s">
        <v>787</v>
      </c>
      <c r="E547" s="8" t="s">
        <v>788</v>
      </c>
      <c r="F547" s="17">
        <v>17252</v>
      </c>
      <c r="G547" s="11">
        <v>153.61000000000001</v>
      </c>
      <c r="H547" s="11">
        <v>2650079.7200000002</v>
      </c>
    </row>
    <row r="548" spans="1:8" x14ac:dyDescent="0.2">
      <c r="A548" s="8" t="s">
        <v>960</v>
      </c>
      <c r="B548" s="9">
        <v>45747</v>
      </c>
      <c r="C548" s="8" t="s">
        <v>1234</v>
      </c>
      <c r="D548" s="8" t="s">
        <v>1235</v>
      </c>
      <c r="E548" s="8" t="s">
        <v>1236</v>
      </c>
      <c r="F548" s="17">
        <v>1611</v>
      </c>
      <c r="G548" s="11">
        <v>205.44</v>
      </c>
      <c r="H548" s="11">
        <v>330963.84000000003</v>
      </c>
    </row>
    <row r="549" spans="1:8" x14ac:dyDescent="0.2">
      <c r="A549" s="8" t="s">
        <v>960</v>
      </c>
      <c r="B549" s="9">
        <v>45747</v>
      </c>
      <c r="C549" s="8" t="s">
        <v>1162</v>
      </c>
      <c r="D549" s="8" t="s">
        <v>1163</v>
      </c>
      <c r="E549" s="8" t="s">
        <v>1164</v>
      </c>
      <c r="F549" s="17">
        <v>322</v>
      </c>
      <c r="G549" s="11">
        <v>634.23</v>
      </c>
      <c r="H549" s="11">
        <v>204222.06</v>
      </c>
    </row>
    <row r="550" spans="1:8" x14ac:dyDescent="0.2">
      <c r="A550" s="8" t="s">
        <v>960</v>
      </c>
      <c r="B550" s="9">
        <v>45747</v>
      </c>
      <c r="C550" s="8" t="s">
        <v>1159</v>
      </c>
      <c r="D550" s="8" t="s">
        <v>1160</v>
      </c>
      <c r="E550" s="8" t="s">
        <v>1161</v>
      </c>
      <c r="F550" s="17">
        <v>739</v>
      </c>
      <c r="G550" s="11">
        <v>220.74</v>
      </c>
      <c r="H550" s="11">
        <v>163126.85999999999</v>
      </c>
    </row>
    <row r="551" spans="1:8" x14ac:dyDescent="0.2">
      <c r="A551" s="8" t="s">
        <v>960</v>
      </c>
      <c r="B551" s="9">
        <v>45747</v>
      </c>
      <c r="C551" s="8" t="s">
        <v>1165</v>
      </c>
      <c r="D551" s="8" t="s">
        <v>1166</v>
      </c>
      <c r="E551" s="8" t="s">
        <v>1167</v>
      </c>
      <c r="F551" s="17">
        <v>780</v>
      </c>
      <c r="G551" s="11">
        <v>223.85</v>
      </c>
      <c r="H551" s="11">
        <v>174603</v>
      </c>
    </row>
    <row r="552" spans="1:8" x14ac:dyDescent="0.2">
      <c r="A552" s="8" t="s">
        <v>960</v>
      </c>
      <c r="B552" s="9">
        <v>45747</v>
      </c>
      <c r="C552" s="8" t="s">
        <v>1174</v>
      </c>
      <c r="D552" s="8" t="s">
        <v>1175</v>
      </c>
      <c r="E552" s="8" t="s">
        <v>1176</v>
      </c>
      <c r="F552" s="17">
        <v>33104</v>
      </c>
      <c r="G552" s="11">
        <v>78.28</v>
      </c>
      <c r="H552" s="11">
        <v>2591381.12</v>
      </c>
    </row>
    <row r="553" spans="1:8" x14ac:dyDescent="0.2">
      <c r="A553" s="8" t="s">
        <v>960</v>
      </c>
      <c r="B553" s="9">
        <v>45747</v>
      </c>
      <c r="C553" s="8" t="s">
        <v>1180</v>
      </c>
      <c r="D553" s="8" t="s">
        <v>1181</v>
      </c>
      <c r="E553" s="8" t="s">
        <v>1182</v>
      </c>
      <c r="F553" s="17">
        <v>1550</v>
      </c>
      <c r="G553" s="11">
        <v>166.08</v>
      </c>
      <c r="H553" s="11">
        <v>257424</v>
      </c>
    </row>
    <row r="554" spans="1:8" x14ac:dyDescent="0.2">
      <c r="A554" s="8" t="s">
        <v>960</v>
      </c>
      <c r="B554" s="9">
        <v>45747</v>
      </c>
      <c r="C554" s="8" t="s">
        <v>1168</v>
      </c>
      <c r="D554" s="8" t="s">
        <v>1169</v>
      </c>
      <c r="E554" s="8" t="s">
        <v>1170</v>
      </c>
      <c r="F554" s="17">
        <v>581</v>
      </c>
      <c r="G554" s="11">
        <v>508.1</v>
      </c>
      <c r="H554" s="11">
        <v>295206.09999999998</v>
      </c>
    </row>
    <row r="555" spans="1:8" x14ac:dyDescent="0.2">
      <c r="A555" s="8" t="s">
        <v>960</v>
      </c>
      <c r="B555" s="9">
        <v>45747</v>
      </c>
      <c r="C555" s="8" t="s">
        <v>1183</v>
      </c>
      <c r="D555" s="8" t="s">
        <v>1184</v>
      </c>
      <c r="E555" s="8" t="s">
        <v>1185</v>
      </c>
      <c r="F555" s="17">
        <v>1945</v>
      </c>
      <c r="G555" s="11">
        <v>89.53</v>
      </c>
      <c r="H555" s="11">
        <v>174135.85</v>
      </c>
    </row>
    <row r="556" spans="1:8" x14ac:dyDescent="0.2">
      <c r="A556" s="8" t="s">
        <v>960</v>
      </c>
      <c r="B556" s="9">
        <v>45747</v>
      </c>
      <c r="C556" s="8" t="s">
        <v>1186</v>
      </c>
      <c r="D556" s="8" t="s">
        <v>1187</v>
      </c>
      <c r="E556" s="8" t="s">
        <v>1188</v>
      </c>
      <c r="F556" s="17">
        <v>3014</v>
      </c>
      <c r="G556" s="11">
        <v>52.94</v>
      </c>
      <c r="H556" s="11">
        <v>159561.16</v>
      </c>
    </row>
    <row r="557" spans="1:8" x14ac:dyDescent="0.2">
      <c r="A557" s="8" t="s">
        <v>960</v>
      </c>
      <c r="B557" s="9">
        <v>45747</v>
      </c>
      <c r="C557" s="8" t="s">
        <v>1189</v>
      </c>
      <c r="D557" s="8" t="s">
        <v>1190</v>
      </c>
      <c r="E557" s="8" t="s">
        <v>1191</v>
      </c>
      <c r="F557" s="17">
        <v>2380</v>
      </c>
      <c r="G557" s="11">
        <v>75.040000000000006</v>
      </c>
      <c r="H557" s="11">
        <v>178595.20000000001</v>
      </c>
    </row>
    <row r="558" spans="1:8" x14ac:dyDescent="0.2">
      <c r="A558" s="8" t="s">
        <v>960</v>
      </c>
      <c r="B558" s="9">
        <v>45747</v>
      </c>
      <c r="C558" s="8" t="s">
        <v>1192</v>
      </c>
      <c r="D558" s="8" t="s">
        <v>1193</v>
      </c>
      <c r="E558" s="8" t="s">
        <v>1194</v>
      </c>
      <c r="F558" s="17">
        <v>1610</v>
      </c>
      <c r="G558" s="11">
        <v>121.8</v>
      </c>
      <c r="H558" s="11">
        <v>196098</v>
      </c>
    </row>
    <row r="559" spans="1:8" x14ac:dyDescent="0.2">
      <c r="A559" s="8" t="s">
        <v>960</v>
      </c>
      <c r="B559" s="9">
        <v>45747</v>
      </c>
      <c r="C559" s="8" t="s">
        <v>831</v>
      </c>
      <c r="D559" s="8" t="s">
        <v>832</v>
      </c>
      <c r="E559" s="8" t="s">
        <v>833</v>
      </c>
      <c r="F559" s="17">
        <v>940</v>
      </c>
      <c r="G559" s="11">
        <v>200.47</v>
      </c>
      <c r="H559" s="11">
        <v>188441.8</v>
      </c>
    </row>
    <row r="560" spans="1:8" x14ac:dyDescent="0.2">
      <c r="A560" s="8" t="s">
        <v>960</v>
      </c>
      <c r="B560" s="9">
        <v>45747</v>
      </c>
      <c r="C560" s="8" t="s">
        <v>1195</v>
      </c>
      <c r="D560" s="8" t="s">
        <v>1196</v>
      </c>
      <c r="E560" s="8" t="s">
        <v>1197</v>
      </c>
      <c r="F560" s="17">
        <v>763</v>
      </c>
      <c r="G560" s="11">
        <v>264.45999999999998</v>
      </c>
      <c r="H560" s="11">
        <v>201782.98</v>
      </c>
    </row>
    <row r="561" spans="1:9" x14ac:dyDescent="0.2">
      <c r="A561" s="8" t="s">
        <v>960</v>
      </c>
      <c r="B561" s="9">
        <v>45747</v>
      </c>
      <c r="C561" s="8" t="s">
        <v>834</v>
      </c>
      <c r="D561" s="8" t="s">
        <v>835</v>
      </c>
      <c r="E561" s="8" t="s">
        <v>836</v>
      </c>
      <c r="F561" s="17">
        <v>23452</v>
      </c>
      <c r="G561" s="11">
        <v>63.81</v>
      </c>
      <c r="H561" s="11">
        <v>1496472.12</v>
      </c>
    </row>
    <row r="562" spans="1:9" x14ac:dyDescent="0.2">
      <c r="A562" s="8" t="s">
        <v>960</v>
      </c>
      <c r="B562" s="9">
        <v>45747</v>
      </c>
      <c r="C562" s="8" t="s">
        <v>1231</v>
      </c>
      <c r="D562" s="8" t="s">
        <v>1232</v>
      </c>
      <c r="E562" s="8" t="s">
        <v>1233</v>
      </c>
      <c r="F562" s="17">
        <v>1330</v>
      </c>
      <c r="G562" s="11">
        <v>336.92</v>
      </c>
      <c r="H562" s="11">
        <v>448103.6</v>
      </c>
    </row>
    <row r="563" spans="1:9" x14ac:dyDescent="0.2">
      <c r="A563" s="8" t="s">
        <v>960</v>
      </c>
      <c r="B563" s="9">
        <v>45747</v>
      </c>
      <c r="C563" s="8" t="s">
        <v>1201</v>
      </c>
      <c r="D563" s="8" t="s">
        <v>1202</v>
      </c>
      <c r="E563" s="8" t="s">
        <v>1203</v>
      </c>
      <c r="F563" s="17">
        <v>10012</v>
      </c>
      <c r="G563" s="11">
        <v>69.05</v>
      </c>
      <c r="H563" s="11">
        <v>691328.6</v>
      </c>
    </row>
    <row r="564" spans="1:9" x14ac:dyDescent="0.2">
      <c r="A564" s="8" t="s">
        <v>960</v>
      </c>
      <c r="B564" s="9">
        <v>45747</v>
      </c>
      <c r="C564" s="8" t="s">
        <v>1204</v>
      </c>
      <c r="D564" s="8" t="s">
        <v>1205</v>
      </c>
      <c r="E564" s="8" t="s">
        <v>1206</v>
      </c>
      <c r="F564" s="17">
        <v>5591</v>
      </c>
      <c r="G564" s="11">
        <v>187.9</v>
      </c>
      <c r="H564" s="11">
        <v>1050548.8999999999</v>
      </c>
    </row>
    <row r="565" spans="1:9" x14ac:dyDescent="0.2">
      <c r="A565" s="8" t="s">
        <v>960</v>
      </c>
      <c r="B565" s="9">
        <v>45747</v>
      </c>
      <c r="C565" s="8" t="s">
        <v>852</v>
      </c>
      <c r="D565" s="8" t="s">
        <v>853</v>
      </c>
      <c r="E565" s="8" t="s">
        <v>854</v>
      </c>
      <c r="F565" s="17">
        <v>1569</v>
      </c>
      <c r="G565" s="11">
        <v>523.75</v>
      </c>
      <c r="H565" s="11">
        <v>821763.75</v>
      </c>
    </row>
    <row r="566" spans="1:9" x14ac:dyDescent="0.2">
      <c r="A566" s="8" t="s">
        <v>960</v>
      </c>
      <c r="B566" s="9">
        <v>45747</v>
      </c>
      <c r="C566" s="8" t="s">
        <v>843</v>
      </c>
      <c r="D566" s="8" t="s">
        <v>844</v>
      </c>
      <c r="E566" s="8" t="s">
        <v>845</v>
      </c>
      <c r="F566" s="17">
        <v>3665</v>
      </c>
      <c r="G566" s="11">
        <v>236.24</v>
      </c>
      <c r="H566" s="11">
        <v>865819.6</v>
      </c>
    </row>
    <row r="567" spans="1:9" x14ac:dyDescent="0.2">
      <c r="A567" s="8" t="s">
        <v>960</v>
      </c>
      <c r="B567" s="9">
        <v>45747</v>
      </c>
      <c r="C567" s="8" t="s">
        <v>849</v>
      </c>
      <c r="D567" s="8" t="s">
        <v>850</v>
      </c>
      <c r="E567" s="8" t="s">
        <v>851</v>
      </c>
      <c r="F567" s="17">
        <v>4875</v>
      </c>
      <c r="G567" s="11">
        <v>109.99</v>
      </c>
      <c r="H567" s="11">
        <v>536201.25</v>
      </c>
    </row>
    <row r="568" spans="1:9" x14ac:dyDescent="0.2">
      <c r="A568" s="8" t="s">
        <v>960</v>
      </c>
      <c r="B568" s="9">
        <v>45747</v>
      </c>
      <c r="C568" s="8" t="s">
        <v>1198</v>
      </c>
      <c r="D568" s="8" t="s">
        <v>1199</v>
      </c>
      <c r="E568" s="8" t="s">
        <v>1200</v>
      </c>
      <c r="F568" s="17">
        <v>3896</v>
      </c>
      <c r="G568" s="11">
        <v>42.22</v>
      </c>
      <c r="H568" s="11">
        <v>164489.12</v>
      </c>
    </row>
    <row r="569" spans="1:9" x14ac:dyDescent="0.2">
      <c r="A569" s="8" t="s">
        <v>960</v>
      </c>
      <c r="B569" s="9">
        <v>45747</v>
      </c>
      <c r="C569" s="8" t="s">
        <v>1207</v>
      </c>
      <c r="D569" s="8" t="s">
        <v>1208</v>
      </c>
      <c r="E569" s="8" t="s">
        <v>1209</v>
      </c>
      <c r="F569" s="17">
        <v>2842</v>
      </c>
      <c r="G569" s="11">
        <v>513.91</v>
      </c>
      <c r="H569" s="11">
        <v>1460532.22</v>
      </c>
    </row>
    <row r="570" spans="1:9" x14ac:dyDescent="0.2">
      <c r="A570" s="8" t="s">
        <v>960</v>
      </c>
      <c r="B570" s="9">
        <v>45747</v>
      </c>
      <c r="C570" s="8" t="s">
        <v>1210</v>
      </c>
      <c r="D570" s="8" t="s">
        <v>1211</v>
      </c>
      <c r="E570" s="8" t="s">
        <v>1212</v>
      </c>
      <c r="F570" s="17">
        <v>1187</v>
      </c>
      <c r="G570" s="11">
        <v>484.82</v>
      </c>
      <c r="H570" s="11">
        <v>575481.34</v>
      </c>
    </row>
    <row r="571" spans="1:9" x14ac:dyDescent="0.2">
      <c r="A571" s="8" t="s">
        <v>960</v>
      </c>
      <c r="B571" s="9">
        <v>45747</v>
      </c>
      <c r="C571" s="8" t="s">
        <v>1213</v>
      </c>
      <c r="D571" s="8" t="s">
        <v>1214</v>
      </c>
      <c r="E571" s="8" t="s">
        <v>1215</v>
      </c>
      <c r="F571" s="17">
        <v>1365</v>
      </c>
      <c r="G571" s="11">
        <v>181.35</v>
      </c>
      <c r="H571" s="11">
        <v>247542.75</v>
      </c>
    </row>
    <row r="572" spans="1:9" x14ac:dyDescent="0.2">
      <c r="A572" s="8" t="s">
        <v>960</v>
      </c>
      <c r="B572" s="9">
        <v>45747</v>
      </c>
      <c r="C572" s="8" t="s">
        <v>1219</v>
      </c>
      <c r="D572" s="8" t="s">
        <v>1220</v>
      </c>
      <c r="E572" s="8" t="s">
        <v>1221</v>
      </c>
      <c r="F572" s="17">
        <v>1304</v>
      </c>
      <c r="G572" s="11">
        <v>153.21</v>
      </c>
      <c r="H572" s="11">
        <v>199785.84</v>
      </c>
    </row>
    <row r="573" spans="1:9" x14ac:dyDescent="0.2">
      <c r="A573" s="8" t="s">
        <v>960</v>
      </c>
      <c r="B573" s="9">
        <v>45747</v>
      </c>
      <c r="C573" s="8" t="s">
        <v>867</v>
      </c>
      <c r="D573" s="8" t="s">
        <v>868</v>
      </c>
      <c r="E573" s="8" t="s">
        <v>869</v>
      </c>
      <c r="F573" s="17">
        <v>3277</v>
      </c>
      <c r="G573" s="11">
        <v>59.76</v>
      </c>
      <c r="H573" s="11">
        <v>195833.52</v>
      </c>
    </row>
    <row r="574" spans="1:9" x14ac:dyDescent="0.2">
      <c r="A574" s="8" t="s">
        <v>960</v>
      </c>
      <c r="B574" s="9">
        <v>45747</v>
      </c>
      <c r="C574" s="8" t="s">
        <v>1216</v>
      </c>
      <c r="D574" s="8" t="s">
        <v>1217</v>
      </c>
      <c r="E574" s="8" t="s">
        <v>1218</v>
      </c>
      <c r="F574" s="17">
        <v>2568</v>
      </c>
      <c r="G574" s="11">
        <v>87.79</v>
      </c>
      <c r="H574" s="11">
        <v>225444.72</v>
      </c>
    </row>
    <row r="575" spans="1:9" x14ac:dyDescent="0.2">
      <c r="A575" s="8" t="s">
        <v>960</v>
      </c>
      <c r="B575" s="9">
        <v>45747</v>
      </c>
      <c r="C575" s="8" t="s">
        <v>1222</v>
      </c>
      <c r="D575" s="8" t="s">
        <v>1223</v>
      </c>
      <c r="E575" s="8" t="s">
        <v>1224</v>
      </c>
      <c r="F575" s="17">
        <v>1765</v>
      </c>
      <c r="G575" s="11">
        <v>282.56</v>
      </c>
      <c r="H575" s="11">
        <v>498718.4</v>
      </c>
      <c r="I575" s="15">
        <f>SUM(H457:H575)</f>
        <v>85285809.270000011</v>
      </c>
    </row>
    <row r="576" spans="1:9" x14ac:dyDescent="0.2">
      <c r="A576" s="8"/>
      <c r="B576" s="9"/>
      <c r="C576" s="8"/>
      <c r="D576" s="8"/>
      <c r="E576" s="8"/>
      <c r="F576" s="12"/>
      <c r="G576" s="11"/>
      <c r="H576" s="11"/>
    </row>
    <row r="577" spans="1:16" x14ac:dyDescent="0.2">
      <c r="A577" s="8" t="s">
        <v>1237</v>
      </c>
      <c r="B577" s="9">
        <v>45747</v>
      </c>
      <c r="C577" s="8" t="s">
        <v>454</v>
      </c>
      <c r="D577" s="8" t="s">
        <v>455</v>
      </c>
      <c r="E577" s="8" t="s">
        <v>456</v>
      </c>
      <c r="F577" s="11">
        <v>702006.54</v>
      </c>
      <c r="G577" s="11">
        <v>1</v>
      </c>
      <c r="H577" s="11">
        <v>702006.54</v>
      </c>
      <c r="N577" s="18"/>
      <c r="O577" s="18"/>
      <c r="P577" s="18"/>
    </row>
    <row r="578" spans="1:16" x14ac:dyDescent="0.2">
      <c r="A578" s="8" t="s">
        <v>1237</v>
      </c>
      <c r="B578" s="9">
        <v>45747</v>
      </c>
      <c r="C578" s="8" t="s">
        <v>961</v>
      </c>
      <c r="D578" s="8" t="s">
        <v>962</v>
      </c>
      <c r="E578" s="8" t="s">
        <v>963</v>
      </c>
      <c r="F578" s="17">
        <v>1575</v>
      </c>
      <c r="G578" s="11">
        <v>383.53</v>
      </c>
      <c r="H578" s="11">
        <v>604059.75</v>
      </c>
      <c r="N578" s="18"/>
      <c r="O578" s="18"/>
      <c r="P578" s="18"/>
    </row>
    <row r="579" spans="1:16" x14ac:dyDescent="0.2">
      <c r="A579" s="8" t="s">
        <v>1237</v>
      </c>
      <c r="B579" s="9">
        <v>45747</v>
      </c>
      <c r="C579" s="8" t="s">
        <v>1244</v>
      </c>
      <c r="D579" s="8" t="s">
        <v>1245</v>
      </c>
      <c r="E579" s="8" t="s">
        <v>1246</v>
      </c>
      <c r="F579" s="17">
        <v>2881</v>
      </c>
      <c r="G579" s="11">
        <v>201.67</v>
      </c>
      <c r="H579" s="11">
        <v>581011.27</v>
      </c>
      <c r="N579" s="18"/>
      <c r="O579" s="18"/>
      <c r="P579" s="18"/>
    </row>
    <row r="580" spans="1:16" x14ac:dyDescent="0.2">
      <c r="A580" s="8" t="s">
        <v>1237</v>
      </c>
      <c r="B580" s="9">
        <v>45747</v>
      </c>
      <c r="C580" s="8" t="s">
        <v>994</v>
      </c>
      <c r="D580" s="8" t="s">
        <v>995</v>
      </c>
      <c r="E580" s="8" t="s">
        <v>996</v>
      </c>
      <c r="F580" s="17">
        <v>22896</v>
      </c>
      <c r="G580" s="11">
        <v>305.52999999999997</v>
      </c>
      <c r="H580" s="11">
        <v>6995414.8799999999</v>
      </c>
      <c r="N580" s="18"/>
      <c r="O580" s="18"/>
      <c r="P580" s="18"/>
    </row>
    <row r="581" spans="1:16" x14ac:dyDescent="0.2">
      <c r="A581" s="8" t="s">
        <v>1237</v>
      </c>
      <c r="B581" s="9">
        <v>45747</v>
      </c>
      <c r="C581" s="8" t="s">
        <v>1241</v>
      </c>
      <c r="D581" s="8" t="s">
        <v>1242</v>
      </c>
      <c r="E581" s="8" t="s">
        <v>1243</v>
      </c>
      <c r="F581" s="17">
        <v>9314</v>
      </c>
      <c r="G581" s="11">
        <v>109.27</v>
      </c>
      <c r="H581" s="11">
        <v>1017740.78</v>
      </c>
      <c r="N581" s="18"/>
      <c r="O581" s="18"/>
      <c r="P581" s="18"/>
    </row>
    <row r="582" spans="1:16" x14ac:dyDescent="0.2">
      <c r="A582" s="8" t="s">
        <v>1237</v>
      </c>
      <c r="B582" s="9">
        <v>45747</v>
      </c>
      <c r="C582" s="8" t="s">
        <v>1298</v>
      </c>
      <c r="D582" s="8" t="s">
        <v>1299</v>
      </c>
      <c r="E582" s="8" t="s">
        <v>1300</v>
      </c>
      <c r="F582" s="17">
        <v>3200</v>
      </c>
      <c r="G582" s="11">
        <v>345.24</v>
      </c>
      <c r="H582" s="11">
        <v>1104768</v>
      </c>
      <c r="N582" s="18"/>
      <c r="O582" s="18"/>
      <c r="P582" s="18"/>
    </row>
    <row r="583" spans="1:16" x14ac:dyDescent="0.2">
      <c r="A583" s="8" t="s">
        <v>1237</v>
      </c>
      <c r="B583" s="9">
        <v>45747</v>
      </c>
      <c r="C583" s="8" t="s">
        <v>964</v>
      </c>
      <c r="D583" s="8" t="s">
        <v>965</v>
      </c>
      <c r="E583" s="8" t="s">
        <v>966</v>
      </c>
      <c r="F583" s="17">
        <v>14158</v>
      </c>
      <c r="G583" s="11">
        <v>207.07</v>
      </c>
      <c r="H583" s="11">
        <v>2931697.06</v>
      </c>
      <c r="N583" s="18"/>
      <c r="O583" s="18"/>
      <c r="P583" s="18"/>
    </row>
    <row r="584" spans="1:16" x14ac:dyDescent="0.2">
      <c r="A584" s="8" t="s">
        <v>1237</v>
      </c>
      <c r="B584" s="9">
        <v>45747</v>
      </c>
      <c r="C584" s="8" t="s">
        <v>1238</v>
      </c>
      <c r="D584" s="8" t="s">
        <v>1239</v>
      </c>
      <c r="E584" s="8" t="s">
        <v>1240</v>
      </c>
      <c r="F584" s="17">
        <v>1953</v>
      </c>
      <c r="G584" s="11">
        <v>270.02</v>
      </c>
      <c r="H584" s="11">
        <v>527349.06000000006</v>
      </c>
      <c r="N584" s="18"/>
      <c r="O584" s="18"/>
      <c r="P584" s="18"/>
    </row>
    <row r="585" spans="1:16" x14ac:dyDescent="0.2">
      <c r="A585" s="8" t="s">
        <v>1237</v>
      </c>
      <c r="B585" s="9">
        <v>45747</v>
      </c>
      <c r="C585" s="8" t="s">
        <v>564</v>
      </c>
      <c r="D585" s="8" t="s">
        <v>565</v>
      </c>
      <c r="E585" s="8" t="s">
        <v>566</v>
      </c>
      <c r="F585" s="17">
        <v>1671</v>
      </c>
      <c r="G585" s="11">
        <v>311.55</v>
      </c>
      <c r="H585" s="11">
        <v>520600.05</v>
      </c>
      <c r="N585" s="18"/>
      <c r="O585" s="18"/>
      <c r="P585" s="18"/>
    </row>
    <row r="586" spans="1:16" x14ac:dyDescent="0.2">
      <c r="A586" s="8" t="s">
        <v>1237</v>
      </c>
      <c r="B586" s="9">
        <v>45747</v>
      </c>
      <c r="C586" s="8" t="s">
        <v>988</v>
      </c>
      <c r="D586" s="8" t="s">
        <v>989</v>
      </c>
      <c r="E586" s="8" t="s">
        <v>990</v>
      </c>
      <c r="F586" s="17">
        <v>10105</v>
      </c>
      <c r="G586" s="11">
        <v>77.48</v>
      </c>
      <c r="H586" s="11">
        <v>782935.4</v>
      </c>
      <c r="N586" s="18"/>
      <c r="O586" s="18"/>
      <c r="P586" s="18"/>
    </row>
    <row r="587" spans="1:16" x14ac:dyDescent="0.2">
      <c r="A587" s="8" t="s">
        <v>1237</v>
      </c>
      <c r="B587" s="9">
        <v>45747</v>
      </c>
      <c r="C587" s="8" t="s">
        <v>976</v>
      </c>
      <c r="D587" s="8" t="s">
        <v>977</v>
      </c>
      <c r="E587" s="8" t="s">
        <v>978</v>
      </c>
      <c r="F587" s="17">
        <v>36497</v>
      </c>
      <c r="G587" s="11">
        <v>65.59</v>
      </c>
      <c r="H587" s="11">
        <v>2393838.23</v>
      </c>
      <c r="N587" s="18"/>
      <c r="O587" s="18"/>
      <c r="P587" s="18"/>
    </row>
    <row r="588" spans="1:16" x14ac:dyDescent="0.2">
      <c r="A588" s="8" t="s">
        <v>1237</v>
      </c>
      <c r="B588" s="9">
        <v>45747</v>
      </c>
      <c r="C588" s="8" t="s">
        <v>1250</v>
      </c>
      <c r="D588" s="8" t="s">
        <v>1251</v>
      </c>
      <c r="E588" s="8" t="s">
        <v>1252</v>
      </c>
      <c r="F588" s="17">
        <v>1936</v>
      </c>
      <c r="G588" s="11">
        <v>229.06</v>
      </c>
      <c r="H588" s="11">
        <v>443460.16</v>
      </c>
      <c r="N588" s="18"/>
      <c r="O588" s="18"/>
      <c r="P588" s="18"/>
    </row>
    <row r="589" spans="1:16" x14ac:dyDescent="0.2">
      <c r="A589" s="8" t="s">
        <v>1237</v>
      </c>
      <c r="B589" s="9">
        <v>45747</v>
      </c>
      <c r="C589" s="8" t="s">
        <v>1247</v>
      </c>
      <c r="D589" s="8" t="s">
        <v>1248</v>
      </c>
      <c r="E589" s="8" t="s">
        <v>1249</v>
      </c>
      <c r="F589" s="17">
        <v>30266</v>
      </c>
      <c r="G589" s="11">
        <v>83.87</v>
      </c>
      <c r="H589" s="11">
        <v>2538409.42</v>
      </c>
      <c r="N589" s="18"/>
      <c r="O589" s="18"/>
      <c r="P589" s="18"/>
    </row>
    <row r="590" spans="1:16" x14ac:dyDescent="0.2">
      <c r="A590" s="8" t="s">
        <v>1237</v>
      </c>
      <c r="B590" s="9">
        <v>45747</v>
      </c>
      <c r="C590" s="8" t="s">
        <v>1253</v>
      </c>
      <c r="D590" s="8" t="s">
        <v>1254</v>
      </c>
      <c r="E590" s="8" t="s">
        <v>1255</v>
      </c>
      <c r="F590" s="17">
        <v>30731</v>
      </c>
      <c r="G590" s="11">
        <v>70.69</v>
      </c>
      <c r="H590" s="11">
        <v>2172374.39</v>
      </c>
      <c r="N590" s="18"/>
      <c r="O590" s="18"/>
      <c r="P590" s="18"/>
    </row>
    <row r="591" spans="1:16" x14ac:dyDescent="0.2">
      <c r="A591" s="8" t="s">
        <v>1237</v>
      </c>
      <c r="B591" s="9">
        <v>45747</v>
      </c>
      <c r="C591" s="8" t="s">
        <v>997</v>
      </c>
      <c r="D591" s="8" t="s">
        <v>998</v>
      </c>
      <c r="E591" s="8" t="s">
        <v>999</v>
      </c>
      <c r="F591" s="17">
        <v>8763</v>
      </c>
      <c r="G591" s="11">
        <v>532.58000000000004</v>
      </c>
      <c r="H591" s="11">
        <v>4666998.54</v>
      </c>
      <c r="N591" s="18"/>
      <c r="O591" s="18"/>
      <c r="P591" s="18"/>
    </row>
    <row r="592" spans="1:16" x14ac:dyDescent="0.2">
      <c r="A592" s="8" t="s">
        <v>1237</v>
      </c>
      <c r="B592" s="9">
        <v>45747</v>
      </c>
      <c r="C592" s="8" t="s">
        <v>1006</v>
      </c>
      <c r="D592" s="8" t="s">
        <v>1007</v>
      </c>
      <c r="E592" s="8" t="s">
        <v>1008</v>
      </c>
      <c r="F592" s="17">
        <v>11770</v>
      </c>
      <c r="G592" s="11">
        <v>100.88</v>
      </c>
      <c r="H592" s="11">
        <v>1187357.6000000001</v>
      </c>
      <c r="N592" s="18"/>
      <c r="O592" s="18"/>
      <c r="P592" s="18"/>
    </row>
    <row r="593" spans="1:16" x14ac:dyDescent="0.2">
      <c r="A593" s="8" t="s">
        <v>1237</v>
      </c>
      <c r="B593" s="9">
        <v>45747</v>
      </c>
      <c r="C593" s="8" t="s">
        <v>1265</v>
      </c>
      <c r="D593" s="8" t="s">
        <v>1266</v>
      </c>
      <c r="E593" s="8" t="s">
        <v>1267</v>
      </c>
      <c r="F593" s="17">
        <v>34358</v>
      </c>
      <c r="G593" s="11">
        <v>137.77000000000001</v>
      </c>
      <c r="H593" s="11">
        <v>4733501.66</v>
      </c>
      <c r="N593" s="18"/>
      <c r="O593" s="18"/>
      <c r="P593" s="18"/>
    </row>
    <row r="594" spans="1:16" x14ac:dyDescent="0.2">
      <c r="A594" s="8" t="s">
        <v>1237</v>
      </c>
      <c r="B594" s="9">
        <v>45747</v>
      </c>
      <c r="C594" s="8" t="s">
        <v>1259</v>
      </c>
      <c r="D594" s="8" t="s">
        <v>1260</v>
      </c>
      <c r="E594" s="8" t="s">
        <v>1261</v>
      </c>
      <c r="F594" s="17">
        <v>1790</v>
      </c>
      <c r="G594" s="11">
        <v>254.33</v>
      </c>
      <c r="H594" s="11">
        <v>455250.7</v>
      </c>
      <c r="N594" s="18"/>
      <c r="O594" s="18"/>
      <c r="P594" s="18"/>
    </row>
    <row r="595" spans="1:16" x14ac:dyDescent="0.2">
      <c r="A595" s="8" t="s">
        <v>1237</v>
      </c>
      <c r="B595" s="9">
        <v>45747</v>
      </c>
      <c r="C595" s="8" t="s">
        <v>1256</v>
      </c>
      <c r="D595" s="8" t="s">
        <v>1257</v>
      </c>
      <c r="E595" s="8" t="s">
        <v>1258</v>
      </c>
      <c r="F595" s="17">
        <v>4527</v>
      </c>
      <c r="G595" s="11">
        <v>102.4</v>
      </c>
      <c r="H595" s="11">
        <v>463564.79999999999</v>
      </c>
      <c r="N595" s="18"/>
      <c r="O595" s="18"/>
      <c r="P595" s="18"/>
    </row>
    <row r="596" spans="1:16" x14ac:dyDescent="0.2">
      <c r="A596" s="8" t="s">
        <v>1237</v>
      </c>
      <c r="B596" s="9">
        <v>45747</v>
      </c>
      <c r="C596" s="8" t="s">
        <v>621</v>
      </c>
      <c r="D596" s="8" t="s">
        <v>622</v>
      </c>
      <c r="E596" s="8" t="s">
        <v>623</v>
      </c>
      <c r="F596" s="17">
        <v>70900</v>
      </c>
      <c r="G596" s="11">
        <v>93.7</v>
      </c>
      <c r="H596" s="11">
        <v>6643330</v>
      </c>
      <c r="N596" s="18"/>
      <c r="O596" s="18"/>
      <c r="P596" s="18"/>
    </row>
    <row r="597" spans="1:16" x14ac:dyDescent="0.2">
      <c r="A597" s="8" t="s">
        <v>1237</v>
      </c>
      <c r="B597" s="9">
        <v>45747</v>
      </c>
      <c r="C597" s="8" t="s">
        <v>603</v>
      </c>
      <c r="D597" s="8" t="s">
        <v>604</v>
      </c>
      <c r="E597" s="8" t="s">
        <v>605</v>
      </c>
      <c r="F597" s="17">
        <v>94838</v>
      </c>
      <c r="G597" s="11">
        <v>75.11</v>
      </c>
      <c r="H597" s="11">
        <v>7123282.1799999997</v>
      </c>
      <c r="N597" s="18"/>
      <c r="O597" s="18"/>
      <c r="P597" s="18"/>
    </row>
    <row r="598" spans="1:16" x14ac:dyDescent="0.2">
      <c r="A598" s="8" t="s">
        <v>1237</v>
      </c>
      <c r="B598" s="9">
        <v>45747</v>
      </c>
      <c r="C598" s="8" t="s">
        <v>1033</v>
      </c>
      <c r="D598" s="8" t="s">
        <v>1034</v>
      </c>
      <c r="E598" s="8" t="s">
        <v>1035</v>
      </c>
      <c r="F598" s="17">
        <v>2930</v>
      </c>
      <c r="G598" s="11">
        <v>945.78</v>
      </c>
      <c r="H598" s="11">
        <v>2771135.4</v>
      </c>
      <c r="N598" s="18"/>
      <c r="O598" s="18"/>
      <c r="P598" s="18"/>
    </row>
    <row r="599" spans="1:16" x14ac:dyDescent="0.2">
      <c r="A599" s="8" t="s">
        <v>1237</v>
      </c>
      <c r="B599" s="9">
        <v>45747</v>
      </c>
      <c r="C599" s="8" t="s">
        <v>1262</v>
      </c>
      <c r="D599" s="8" t="s">
        <v>1263</v>
      </c>
      <c r="E599" s="8" t="s">
        <v>1264</v>
      </c>
      <c r="F599" s="17">
        <v>55520</v>
      </c>
      <c r="G599" s="11">
        <v>39.92</v>
      </c>
      <c r="H599" s="11">
        <v>2216358.4</v>
      </c>
      <c r="N599" s="18"/>
      <c r="O599" s="18"/>
      <c r="P599" s="18"/>
    </row>
    <row r="600" spans="1:16" x14ac:dyDescent="0.2">
      <c r="A600" s="8" t="s">
        <v>1237</v>
      </c>
      <c r="B600" s="9">
        <v>45747</v>
      </c>
      <c r="C600" s="8" t="s">
        <v>1171</v>
      </c>
      <c r="D600" s="8" t="s">
        <v>1172</v>
      </c>
      <c r="E600" s="8" t="s">
        <v>1173</v>
      </c>
      <c r="F600" s="17">
        <v>1847</v>
      </c>
      <c r="G600" s="11">
        <v>268.36</v>
      </c>
      <c r="H600" s="11">
        <v>495660.92</v>
      </c>
      <c r="N600" s="18"/>
      <c r="O600" s="18"/>
      <c r="P600" s="18"/>
    </row>
    <row r="601" spans="1:16" x14ac:dyDescent="0.2">
      <c r="A601" s="8" t="s">
        <v>1237</v>
      </c>
      <c r="B601" s="9">
        <v>45747</v>
      </c>
      <c r="C601" s="8" t="s">
        <v>1271</v>
      </c>
      <c r="D601" s="8" t="s">
        <v>1272</v>
      </c>
      <c r="E601" s="8" t="s">
        <v>1273</v>
      </c>
      <c r="F601" s="17">
        <v>5750</v>
      </c>
      <c r="G601" s="11">
        <v>76.5</v>
      </c>
      <c r="H601" s="11">
        <v>439875</v>
      </c>
      <c r="N601" s="18"/>
      <c r="O601" s="18"/>
      <c r="P601" s="18"/>
    </row>
    <row r="602" spans="1:16" x14ac:dyDescent="0.2">
      <c r="A602" s="8" t="s">
        <v>1237</v>
      </c>
      <c r="B602" s="9">
        <v>45747</v>
      </c>
      <c r="C602" s="8" t="s">
        <v>1030</v>
      </c>
      <c r="D602" s="8" t="s">
        <v>1031</v>
      </c>
      <c r="E602" s="8" t="s">
        <v>1032</v>
      </c>
      <c r="F602" s="17">
        <v>18671</v>
      </c>
      <c r="G602" s="11">
        <v>62.93</v>
      </c>
      <c r="H602" s="11">
        <v>1174966.03</v>
      </c>
      <c r="N602" s="18"/>
      <c r="O602" s="18"/>
      <c r="P602" s="18"/>
    </row>
    <row r="603" spans="1:16" x14ac:dyDescent="0.2">
      <c r="A603" s="8" t="s">
        <v>1237</v>
      </c>
      <c r="B603" s="9">
        <v>45747</v>
      </c>
      <c r="C603" s="8" t="s">
        <v>1277</v>
      </c>
      <c r="D603" s="8" t="s">
        <v>1278</v>
      </c>
      <c r="E603" s="8" t="s">
        <v>1279</v>
      </c>
      <c r="F603" s="17">
        <v>30096</v>
      </c>
      <c r="G603" s="11">
        <v>56.07</v>
      </c>
      <c r="H603" s="11">
        <v>1687482.72</v>
      </c>
      <c r="N603" s="18"/>
      <c r="O603" s="18"/>
      <c r="P603" s="18"/>
    </row>
    <row r="604" spans="1:16" x14ac:dyDescent="0.2">
      <c r="A604" s="8" t="s">
        <v>1237</v>
      </c>
      <c r="B604" s="9">
        <v>45747</v>
      </c>
      <c r="C604" s="8" t="s">
        <v>1283</v>
      </c>
      <c r="D604" s="8" t="s">
        <v>1284</v>
      </c>
      <c r="E604" s="8" t="s">
        <v>1285</v>
      </c>
      <c r="F604" s="17">
        <v>11683</v>
      </c>
      <c r="G604" s="11">
        <v>47.15</v>
      </c>
      <c r="H604" s="11">
        <v>550853.44999999995</v>
      </c>
      <c r="N604" s="18"/>
      <c r="O604" s="18"/>
      <c r="P604" s="18"/>
    </row>
    <row r="605" spans="1:16" x14ac:dyDescent="0.2">
      <c r="A605" s="8" t="s">
        <v>1237</v>
      </c>
      <c r="B605" s="9">
        <v>45747</v>
      </c>
      <c r="C605" s="8" t="s">
        <v>1274</v>
      </c>
      <c r="D605" s="8" t="s">
        <v>1275</v>
      </c>
      <c r="E605" s="8" t="s">
        <v>1276</v>
      </c>
      <c r="F605" s="17">
        <v>13292</v>
      </c>
      <c r="G605" s="11">
        <v>138.27000000000001</v>
      </c>
      <c r="H605" s="11">
        <v>1837884.84</v>
      </c>
      <c r="N605" s="18"/>
      <c r="O605" s="18"/>
      <c r="P605" s="18"/>
    </row>
    <row r="606" spans="1:16" x14ac:dyDescent="0.2">
      <c r="A606" s="8" t="s">
        <v>1237</v>
      </c>
      <c r="B606" s="9">
        <v>45747</v>
      </c>
      <c r="C606" s="8" t="s">
        <v>1280</v>
      </c>
      <c r="D606" s="8" t="s">
        <v>1281</v>
      </c>
      <c r="E606" s="8" t="s">
        <v>1282</v>
      </c>
      <c r="F606" s="17">
        <v>3798</v>
      </c>
      <c r="G606" s="11">
        <v>121.97</v>
      </c>
      <c r="H606" s="11">
        <v>463242.06</v>
      </c>
      <c r="N606" s="18"/>
      <c r="O606" s="18"/>
      <c r="P606" s="18"/>
    </row>
    <row r="607" spans="1:16" x14ac:dyDescent="0.2">
      <c r="A607" s="8" t="s">
        <v>1237</v>
      </c>
      <c r="B607" s="9">
        <v>45747</v>
      </c>
      <c r="C607" s="8" t="s">
        <v>1286</v>
      </c>
      <c r="D607" s="8" t="s">
        <v>1287</v>
      </c>
      <c r="E607" s="8" t="s">
        <v>1288</v>
      </c>
      <c r="F607" s="17">
        <v>4454</v>
      </c>
      <c r="G607" s="11">
        <v>253.52</v>
      </c>
      <c r="H607" s="11">
        <v>1129178.08</v>
      </c>
      <c r="N607" s="18"/>
      <c r="O607" s="18"/>
      <c r="P607" s="18"/>
    </row>
    <row r="608" spans="1:16" x14ac:dyDescent="0.2">
      <c r="A608" s="8" t="s">
        <v>1237</v>
      </c>
      <c r="B608" s="9">
        <v>45747</v>
      </c>
      <c r="C608" s="8" t="s">
        <v>979</v>
      </c>
      <c r="D608" s="8" t="s">
        <v>980</v>
      </c>
      <c r="E608" s="8" t="s">
        <v>981</v>
      </c>
      <c r="F608" s="17">
        <v>12542</v>
      </c>
      <c r="G608" s="11">
        <v>434.96</v>
      </c>
      <c r="H608" s="11">
        <v>5455268.3200000003</v>
      </c>
      <c r="N608" s="18"/>
      <c r="O608" s="18"/>
      <c r="P608" s="18"/>
    </row>
    <row r="609" spans="1:16" x14ac:dyDescent="0.2">
      <c r="A609" s="8" t="s">
        <v>1237</v>
      </c>
      <c r="B609" s="9">
        <v>45747</v>
      </c>
      <c r="C609" s="8" t="s">
        <v>657</v>
      </c>
      <c r="D609" s="8" t="s">
        <v>658</v>
      </c>
      <c r="E609" s="8" t="s">
        <v>659</v>
      </c>
      <c r="F609" s="17">
        <v>19472</v>
      </c>
      <c r="G609" s="11">
        <v>128.24</v>
      </c>
      <c r="H609" s="11">
        <v>2497089.2799999998</v>
      </c>
      <c r="N609" s="18"/>
      <c r="O609" s="18"/>
      <c r="P609" s="18"/>
    </row>
    <row r="610" spans="1:16" x14ac:dyDescent="0.2">
      <c r="A610" s="8" t="s">
        <v>1237</v>
      </c>
      <c r="B610" s="9">
        <v>45747</v>
      </c>
      <c r="C610" s="8" t="s">
        <v>666</v>
      </c>
      <c r="D610" s="8" t="s">
        <v>667</v>
      </c>
      <c r="E610" s="8" t="s">
        <v>668</v>
      </c>
      <c r="F610" s="17">
        <v>104970</v>
      </c>
      <c r="G610" s="11">
        <v>68.95</v>
      </c>
      <c r="H610" s="11">
        <v>7237681.5</v>
      </c>
      <c r="N610" s="18"/>
      <c r="O610" s="18"/>
      <c r="P610" s="18"/>
    </row>
    <row r="611" spans="1:16" x14ac:dyDescent="0.2">
      <c r="A611" s="8" t="s">
        <v>1237</v>
      </c>
      <c r="B611" s="9">
        <v>45747</v>
      </c>
      <c r="C611" s="8" t="s">
        <v>1289</v>
      </c>
      <c r="D611" s="8" t="s">
        <v>1290</v>
      </c>
      <c r="E611" s="8" t="s">
        <v>1291</v>
      </c>
      <c r="F611" s="17">
        <v>9990</v>
      </c>
      <c r="G611" s="11">
        <v>46.08</v>
      </c>
      <c r="H611" s="11">
        <v>460339.20000000001</v>
      </c>
      <c r="N611" s="18"/>
      <c r="O611" s="18"/>
      <c r="P611" s="18"/>
    </row>
    <row r="612" spans="1:16" x14ac:dyDescent="0.2">
      <c r="A612" s="8" t="s">
        <v>1237</v>
      </c>
      <c r="B612" s="9">
        <v>45747</v>
      </c>
      <c r="C612" s="8" t="s">
        <v>1039</v>
      </c>
      <c r="D612" s="8" t="s">
        <v>1040</v>
      </c>
      <c r="E612" s="8" t="s">
        <v>1041</v>
      </c>
      <c r="F612" s="17">
        <v>17630</v>
      </c>
      <c r="G612" s="11">
        <v>159.88</v>
      </c>
      <c r="H612" s="11">
        <v>2818684.4</v>
      </c>
      <c r="N612" s="18"/>
      <c r="O612" s="18"/>
      <c r="P612" s="18"/>
    </row>
    <row r="613" spans="1:16" x14ac:dyDescent="0.2">
      <c r="A613" s="8" t="s">
        <v>1237</v>
      </c>
      <c r="B613" s="9">
        <v>45747</v>
      </c>
      <c r="C613" s="8" t="s">
        <v>1295</v>
      </c>
      <c r="D613" s="8" t="s">
        <v>1296</v>
      </c>
      <c r="E613" s="8" t="s">
        <v>1297</v>
      </c>
      <c r="F613" s="17">
        <v>11245</v>
      </c>
      <c r="G613" s="11">
        <v>40.42</v>
      </c>
      <c r="H613" s="11">
        <v>454522.9</v>
      </c>
      <c r="N613" s="18"/>
      <c r="O613" s="18"/>
      <c r="P613" s="18"/>
    </row>
    <row r="614" spans="1:16" x14ac:dyDescent="0.2">
      <c r="A614" s="8" t="s">
        <v>1237</v>
      </c>
      <c r="B614" s="9">
        <v>45747</v>
      </c>
      <c r="C614" s="8" t="s">
        <v>1057</v>
      </c>
      <c r="D614" s="8" t="s">
        <v>1058</v>
      </c>
      <c r="E614" s="8" t="s">
        <v>1059</v>
      </c>
      <c r="F614" s="17">
        <v>4108</v>
      </c>
      <c r="G614" s="11">
        <v>96.26</v>
      </c>
      <c r="H614" s="11">
        <v>395436.08</v>
      </c>
      <c r="N614" s="18"/>
      <c r="O614" s="18"/>
      <c r="P614" s="18"/>
    </row>
    <row r="615" spans="1:16" x14ac:dyDescent="0.2">
      <c r="A615" s="8" t="s">
        <v>1237</v>
      </c>
      <c r="B615" s="9">
        <v>45747</v>
      </c>
      <c r="C615" s="8" t="s">
        <v>1304</v>
      </c>
      <c r="D615" s="8" t="s">
        <v>1305</v>
      </c>
      <c r="E615" s="8" t="s">
        <v>1306</v>
      </c>
      <c r="F615" s="17">
        <v>7166</v>
      </c>
      <c r="G615" s="11">
        <v>272.58</v>
      </c>
      <c r="H615" s="11">
        <v>1953308.28</v>
      </c>
      <c r="N615" s="18"/>
      <c r="O615" s="18"/>
      <c r="P615" s="18"/>
    </row>
    <row r="616" spans="1:16" x14ac:dyDescent="0.2">
      <c r="A616" s="8" t="s">
        <v>1237</v>
      </c>
      <c r="B616" s="9">
        <v>45747</v>
      </c>
      <c r="C616" s="8" t="s">
        <v>1069</v>
      </c>
      <c r="D616" s="8" t="s">
        <v>1070</v>
      </c>
      <c r="E616" s="8" t="s">
        <v>1071</v>
      </c>
      <c r="F616" s="17">
        <v>21084</v>
      </c>
      <c r="G616" s="11">
        <v>180.14</v>
      </c>
      <c r="H616" s="11">
        <v>3798071.76</v>
      </c>
      <c r="N616" s="18"/>
      <c r="O616" s="18"/>
      <c r="P616" s="18"/>
    </row>
    <row r="617" spans="1:16" x14ac:dyDescent="0.2">
      <c r="A617" s="8" t="s">
        <v>1237</v>
      </c>
      <c r="B617" s="9">
        <v>45747</v>
      </c>
      <c r="C617" s="8" t="s">
        <v>681</v>
      </c>
      <c r="D617" s="8" t="s">
        <v>682</v>
      </c>
      <c r="E617" s="8" t="s">
        <v>683</v>
      </c>
      <c r="F617" s="17">
        <v>16486</v>
      </c>
      <c r="G617" s="11">
        <v>112.05</v>
      </c>
      <c r="H617" s="11">
        <v>1847256.3</v>
      </c>
      <c r="N617" s="18"/>
      <c r="O617" s="18"/>
      <c r="P617" s="18"/>
    </row>
    <row r="618" spans="1:16" x14ac:dyDescent="0.2">
      <c r="A618" s="8" t="s">
        <v>1237</v>
      </c>
      <c r="B618" s="9">
        <v>45747</v>
      </c>
      <c r="C618" s="8" t="s">
        <v>1307</v>
      </c>
      <c r="D618" s="8" t="s">
        <v>1308</v>
      </c>
      <c r="E618" s="8" t="s">
        <v>1309</v>
      </c>
      <c r="F618" s="17">
        <v>23525</v>
      </c>
      <c r="G618" s="11">
        <v>59.79</v>
      </c>
      <c r="H618" s="11">
        <v>1406559.75</v>
      </c>
      <c r="N618" s="18"/>
      <c r="O618" s="18"/>
      <c r="P618" s="18"/>
    </row>
    <row r="619" spans="1:16" x14ac:dyDescent="0.2">
      <c r="A619" s="8" t="s">
        <v>1237</v>
      </c>
      <c r="B619" s="9">
        <v>45747</v>
      </c>
      <c r="C619" s="8" t="s">
        <v>639</v>
      </c>
      <c r="D619" s="8" t="s">
        <v>640</v>
      </c>
      <c r="E619" s="8" t="s">
        <v>641</v>
      </c>
      <c r="F619" s="17">
        <v>122101</v>
      </c>
      <c r="G619" s="11">
        <v>45.78</v>
      </c>
      <c r="H619" s="11">
        <v>5589783.7800000003</v>
      </c>
      <c r="N619" s="18"/>
      <c r="O619" s="18"/>
      <c r="P619" s="18"/>
    </row>
    <row r="620" spans="1:16" x14ac:dyDescent="0.2">
      <c r="A620" s="8" t="s">
        <v>1237</v>
      </c>
      <c r="B620" s="9">
        <v>45747</v>
      </c>
      <c r="C620" s="8" t="s">
        <v>1372</v>
      </c>
      <c r="D620" s="8" t="s">
        <v>1373</v>
      </c>
      <c r="E620" s="8" t="s">
        <v>1374</v>
      </c>
      <c r="F620" s="17">
        <v>1948</v>
      </c>
      <c r="G620" s="11">
        <v>217.13</v>
      </c>
      <c r="H620" s="11">
        <v>422969.24</v>
      </c>
      <c r="N620" s="18"/>
      <c r="O620" s="18"/>
      <c r="P620" s="18"/>
    </row>
    <row r="621" spans="1:16" x14ac:dyDescent="0.2">
      <c r="A621" s="8" t="s">
        <v>1237</v>
      </c>
      <c r="B621" s="9">
        <v>45747</v>
      </c>
      <c r="C621" s="8" t="s">
        <v>684</v>
      </c>
      <c r="D621" s="8" t="s">
        <v>685</v>
      </c>
      <c r="E621" s="8" t="s">
        <v>686</v>
      </c>
      <c r="F621" s="17">
        <v>18441</v>
      </c>
      <c r="G621" s="11">
        <v>366.49</v>
      </c>
      <c r="H621" s="11">
        <v>6758442.0899999999</v>
      </c>
      <c r="N621" s="18"/>
      <c r="O621" s="18"/>
      <c r="P621" s="18"/>
    </row>
    <row r="622" spans="1:16" x14ac:dyDescent="0.2">
      <c r="A622" s="8" t="s">
        <v>1237</v>
      </c>
      <c r="B622" s="9">
        <v>45747</v>
      </c>
      <c r="C622" s="8" t="s">
        <v>1310</v>
      </c>
      <c r="D622" s="8" t="s">
        <v>1311</v>
      </c>
      <c r="E622" s="8" t="s">
        <v>1312</v>
      </c>
      <c r="F622" s="17">
        <v>1835</v>
      </c>
      <c r="G622" s="11">
        <v>171.03</v>
      </c>
      <c r="H622" s="11">
        <v>313840.05</v>
      </c>
      <c r="N622" s="18"/>
      <c r="O622" s="18"/>
      <c r="P622" s="18"/>
    </row>
    <row r="623" spans="1:16" x14ac:dyDescent="0.2">
      <c r="A623" s="8" t="s">
        <v>1237</v>
      </c>
      <c r="B623" s="9">
        <v>45747</v>
      </c>
      <c r="C623" s="8" t="s">
        <v>1313</v>
      </c>
      <c r="D623" s="8" t="s">
        <v>1314</v>
      </c>
      <c r="E623" s="8" t="s">
        <v>1315</v>
      </c>
      <c r="F623" s="17">
        <v>640</v>
      </c>
      <c r="G623" s="11">
        <v>571.29</v>
      </c>
      <c r="H623" s="11">
        <v>365625.59999999998</v>
      </c>
      <c r="N623" s="18"/>
      <c r="O623" s="18"/>
      <c r="P623" s="18"/>
    </row>
    <row r="624" spans="1:16" x14ac:dyDescent="0.2">
      <c r="A624" s="8" t="s">
        <v>1237</v>
      </c>
      <c r="B624" s="9">
        <v>45747</v>
      </c>
      <c r="C624" s="8" t="s">
        <v>1078</v>
      </c>
      <c r="D624" s="8" t="s">
        <v>1079</v>
      </c>
      <c r="E624" s="8" t="s">
        <v>1080</v>
      </c>
      <c r="F624" s="17">
        <v>31187</v>
      </c>
      <c r="G624" s="11">
        <v>60.55</v>
      </c>
      <c r="H624" s="11">
        <v>1888372.85</v>
      </c>
      <c r="N624" s="18"/>
      <c r="O624" s="18"/>
      <c r="P624" s="18"/>
    </row>
    <row r="625" spans="1:16" x14ac:dyDescent="0.2">
      <c r="A625" s="8" t="s">
        <v>1237</v>
      </c>
      <c r="B625" s="9">
        <v>45747</v>
      </c>
      <c r="C625" s="8" t="s">
        <v>1301</v>
      </c>
      <c r="D625" s="8" t="s">
        <v>1302</v>
      </c>
      <c r="E625" s="8" t="s">
        <v>1303</v>
      </c>
      <c r="F625" s="17">
        <v>2211</v>
      </c>
      <c r="G625" s="11">
        <v>419.74</v>
      </c>
      <c r="H625" s="11">
        <v>928045.14</v>
      </c>
      <c r="N625" s="18"/>
      <c r="O625" s="18"/>
      <c r="P625" s="18"/>
    </row>
    <row r="626" spans="1:16" x14ac:dyDescent="0.2">
      <c r="A626" s="8" t="s">
        <v>1237</v>
      </c>
      <c r="B626" s="9">
        <v>45747</v>
      </c>
      <c r="C626" s="8" t="s">
        <v>1319</v>
      </c>
      <c r="D626" s="8" t="s">
        <v>1320</v>
      </c>
      <c r="E626" s="8" t="s">
        <v>1321</v>
      </c>
      <c r="F626" s="17">
        <v>12935</v>
      </c>
      <c r="G626" s="11">
        <v>34.22</v>
      </c>
      <c r="H626" s="11">
        <v>442635.7</v>
      </c>
      <c r="N626" s="18"/>
      <c r="O626" s="18"/>
      <c r="P626" s="18"/>
    </row>
    <row r="627" spans="1:16" x14ac:dyDescent="0.2">
      <c r="A627" s="8" t="s">
        <v>1237</v>
      </c>
      <c r="B627" s="9">
        <v>45747</v>
      </c>
      <c r="C627" s="8" t="s">
        <v>720</v>
      </c>
      <c r="D627" s="8" t="s">
        <v>721</v>
      </c>
      <c r="E627" s="8" t="s">
        <v>722</v>
      </c>
      <c r="F627" s="17">
        <v>22051</v>
      </c>
      <c r="G627" s="11">
        <v>142.22</v>
      </c>
      <c r="H627" s="11">
        <v>3136093.22</v>
      </c>
      <c r="N627" s="18"/>
      <c r="O627" s="18"/>
      <c r="P627" s="18"/>
    </row>
    <row r="628" spans="1:16" x14ac:dyDescent="0.2">
      <c r="A628" s="8" t="s">
        <v>1237</v>
      </c>
      <c r="B628" s="9">
        <v>45747</v>
      </c>
      <c r="C628" s="8" t="s">
        <v>1268</v>
      </c>
      <c r="D628" s="8" t="s">
        <v>1269</v>
      </c>
      <c r="E628" s="8" t="s">
        <v>1270</v>
      </c>
      <c r="F628" s="17">
        <v>84841</v>
      </c>
      <c r="G628" s="11">
        <v>71.62</v>
      </c>
      <c r="H628" s="11">
        <v>6076312.4199999999</v>
      </c>
      <c r="N628" s="18"/>
      <c r="O628" s="18"/>
      <c r="P628" s="18"/>
    </row>
    <row r="629" spans="1:16" x14ac:dyDescent="0.2">
      <c r="A629" s="8" t="s">
        <v>1237</v>
      </c>
      <c r="B629" s="9">
        <v>45747</v>
      </c>
      <c r="C629" s="8" t="s">
        <v>1322</v>
      </c>
      <c r="D629" s="8" t="s">
        <v>1323</v>
      </c>
      <c r="E629" s="8" t="s">
        <v>1324</v>
      </c>
      <c r="F629" s="17">
        <v>19123</v>
      </c>
      <c r="G629" s="11">
        <v>91.91</v>
      </c>
      <c r="H629" s="11">
        <v>1757594.93</v>
      </c>
      <c r="N629" s="18"/>
      <c r="O629" s="18"/>
      <c r="P629" s="18"/>
    </row>
    <row r="630" spans="1:16" x14ac:dyDescent="0.2">
      <c r="A630" s="8" t="s">
        <v>1237</v>
      </c>
      <c r="B630" s="9">
        <v>45747</v>
      </c>
      <c r="C630" s="8" t="s">
        <v>1105</v>
      </c>
      <c r="D630" s="8" t="s">
        <v>1106</v>
      </c>
      <c r="E630" s="8" t="s">
        <v>1107</v>
      </c>
      <c r="F630" s="17">
        <v>2360</v>
      </c>
      <c r="G630" s="11">
        <v>825.91</v>
      </c>
      <c r="H630" s="11">
        <v>1949147.6</v>
      </c>
      <c r="N630" s="18"/>
      <c r="O630" s="18"/>
      <c r="P630" s="18"/>
    </row>
    <row r="631" spans="1:16" x14ac:dyDescent="0.2">
      <c r="A631" s="8" t="s">
        <v>1237</v>
      </c>
      <c r="B631" s="9">
        <v>45747</v>
      </c>
      <c r="C631" s="8" t="s">
        <v>726</v>
      </c>
      <c r="D631" s="8" t="s">
        <v>727</v>
      </c>
      <c r="E631" s="8" t="s">
        <v>728</v>
      </c>
      <c r="F631" s="17">
        <v>9971</v>
      </c>
      <c r="G631" s="11">
        <v>446.71</v>
      </c>
      <c r="H631" s="11">
        <v>4454145.41</v>
      </c>
      <c r="N631" s="18"/>
      <c r="O631" s="18"/>
      <c r="P631" s="18"/>
    </row>
    <row r="632" spans="1:16" x14ac:dyDescent="0.2">
      <c r="A632" s="8" t="s">
        <v>1237</v>
      </c>
      <c r="B632" s="9">
        <v>45747</v>
      </c>
      <c r="C632" s="8" t="s">
        <v>1120</v>
      </c>
      <c r="D632" s="8" t="s">
        <v>1121</v>
      </c>
      <c r="E632" s="8" t="s">
        <v>1122</v>
      </c>
      <c r="F632" s="17">
        <v>8990</v>
      </c>
      <c r="G632" s="11">
        <v>548.12</v>
      </c>
      <c r="H632" s="11">
        <v>4927598.8</v>
      </c>
      <c r="N632" s="18"/>
      <c r="O632" s="18"/>
      <c r="P632" s="18"/>
    </row>
    <row r="633" spans="1:16" x14ac:dyDescent="0.2">
      <c r="A633" s="8" t="s">
        <v>1237</v>
      </c>
      <c r="B633" s="9">
        <v>45747</v>
      </c>
      <c r="C633" s="8" t="s">
        <v>1328</v>
      </c>
      <c r="D633" s="8" t="s">
        <v>1329</v>
      </c>
      <c r="E633" s="8" t="s">
        <v>1330</v>
      </c>
      <c r="F633" s="17">
        <v>3388</v>
      </c>
      <c r="G633" s="11">
        <v>672.99</v>
      </c>
      <c r="H633" s="11">
        <v>2280090.12</v>
      </c>
      <c r="N633" s="18"/>
      <c r="O633" s="18"/>
      <c r="P633" s="18"/>
    </row>
    <row r="634" spans="1:16" x14ac:dyDescent="0.2">
      <c r="A634" s="8" t="s">
        <v>1237</v>
      </c>
      <c r="B634" s="9">
        <v>45747</v>
      </c>
      <c r="C634" s="8" t="s">
        <v>1051</v>
      </c>
      <c r="D634" s="8" t="s">
        <v>1052</v>
      </c>
      <c r="E634" s="8" t="s">
        <v>1053</v>
      </c>
      <c r="F634" s="17">
        <v>11073</v>
      </c>
      <c r="G634" s="11">
        <v>576.36</v>
      </c>
      <c r="H634" s="11">
        <v>6382034.2800000003</v>
      </c>
      <c r="N634" s="18"/>
      <c r="O634" s="18"/>
      <c r="P634" s="18"/>
    </row>
    <row r="635" spans="1:16" x14ac:dyDescent="0.2">
      <c r="A635" s="8" t="s">
        <v>1237</v>
      </c>
      <c r="B635" s="9">
        <v>45747</v>
      </c>
      <c r="C635" s="8" t="s">
        <v>1325</v>
      </c>
      <c r="D635" s="8" t="s">
        <v>1326</v>
      </c>
      <c r="E635" s="8" t="s">
        <v>1327</v>
      </c>
      <c r="F635" s="17">
        <v>324</v>
      </c>
      <c r="G635" s="11">
        <v>1869.61</v>
      </c>
      <c r="H635" s="11">
        <v>605753.64</v>
      </c>
      <c r="N635" s="18"/>
      <c r="O635" s="18"/>
      <c r="P635" s="18"/>
    </row>
    <row r="636" spans="1:16" x14ac:dyDescent="0.2">
      <c r="A636" s="8" t="s">
        <v>1237</v>
      </c>
      <c r="B636" s="9">
        <v>45747</v>
      </c>
      <c r="C636" s="8" t="s">
        <v>1117</v>
      </c>
      <c r="D636" s="8" t="s">
        <v>1118</v>
      </c>
      <c r="E636" s="8" t="s">
        <v>1119</v>
      </c>
      <c r="F636" s="17">
        <v>10745</v>
      </c>
      <c r="G636" s="11">
        <v>244.03</v>
      </c>
      <c r="H636" s="11">
        <v>2622102.35</v>
      </c>
      <c r="N636" s="18"/>
      <c r="O636" s="18"/>
      <c r="P636" s="18"/>
    </row>
    <row r="637" spans="1:16" x14ac:dyDescent="0.2">
      <c r="A637" s="8" t="s">
        <v>1237</v>
      </c>
      <c r="B637" s="9">
        <v>45747</v>
      </c>
      <c r="C637" s="8" t="s">
        <v>735</v>
      </c>
      <c r="D637" s="8" t="s">
        <v>736</v>
      </c>
      <c r="E637" s="8" t="s">
        <v>737</v>
      </c>
      <c r="F637" s="17">
        <v>32751</v>
      </c>
      <c r="G637" s="11">
        <v>89.76</v>
      </c>
      <c r="H637" s="11">
        <v>2939729.76</v>
      </c>
      <c r="N637" s="18"/>
      <c r="O637" s="18"/>
      <c r="P637" s="18"/>
    </row>
    <row r="638" spans="1:16" x14ac:dyDescent="0.2">
      <c r="A638" s="8" t="s">
        <v>1237</v>
      </c>
      <c r="B638" s="9">
        <v>45747</v>
      </c>
      <c r="C638" s="8" t="s">
        <v>1123</v>
      </c>
      <c r="D638" s="8" t="s">
        <v>1124</v>
      </c>
      <c r="E638" s="8" t="s">
        <v>1125</v>
      </c>
      <c r="F638" s="17">
        <v>3729</v>
      </c>
      <c r="G638" s="11">
        <v>375.39</v>
      </c>
      <c r="H638" s="11">
        <v>1399829.31</v>
      </c>
      <c r="N638" s="18"/>
      <c r="O638" s="18"/>
      <c r="P638" s="18"/>
    </row>
    <row r="639" spans="1:16" x14ac:dyDescent="0.2">
      <c r="A639" s="8" t="s">
        <v>1237</v>
      </c>
      <c r="B639" s="9">
        <v>45747</v>
      </c>
      <c r="C639" s="8" t="s">
        <v>1132</v>
      </c>
      <c r="D639" s="8" t="s">
        <v>1133</v>
      </c>
      <c r="E639" s="8" t="s">
        <v>1134</v>
      </c>
      <c r="F639" s="17">
        <v>11106</v>
      </c>
      <c r="G639" s="11">
        <v>437.81</v>
      </c>
      <c r="H639" s="11">
        <v>4862317.8600000003</v>
      </c>
      <c r="N639" s="18"/>
      <c r="O639" s="18"/>
      <c r="P639" s="18"/>
    </row>
    <row r="640" spans="1:16" x14ac:dyDescent="0.2">
      <c r="A640" s="8" t="s">
        <v>1237</v>
      </c>
      <c r="B640" s="9">
        <v>45747</v>
      </c>
      <c r="C640" s="8" t="s">
        <v>1331</v>
      </c>
      <c r="D640" s="8" t="s">
        <v>1332</v>
      </c>
      <c r="E640" s="8" t="s">
        <v>1333</v>
      </c>
      <c r="F640" s="17">
        <v>5764</v>
      </c>
      <c r="G640" s="11">
        <v>110.6</v>
      </c>
      <c r="H640" s="11">
        <v>637498.4</v>
      </c>
      <c r="N640" s="18"/>
      <c r="O640" s="18"/>
      <c r="P640" s="18"/>
    </row>
    <row r="641" spans="1:16" x14ac:dyDescent="0.2">
      <c r="A641" s="8" t="s">
        <v>1237</v>
      </c>
      <c r="B641" s="9">
        <v>45747</v>
      </c>
      <c r="C641" s="8" t="s">
        <v>1144</v>
      </c>
      <c r="D641" s="8" t="s">
        <v>1145</v>
      </c>
      <c r="E641" s="8" t="s">
        <v>1146</v>
      </c>
      <c r="F641" s="17">
        <v>7970</v>
      </c>
      <c r="G641" s="11">
        <v>70.89</v>
      </c>
      <c r="H641" s="11">
        <v>564993.30000000005</v>
      </c>
      <c r="N641" s="18"/>
      <c r="O641" s="18"/>
      <c r="P641" s="18"/>
    </row>
    <row r="642" spans="1:16" x14ac:dyDescent="0.2">
      <c r="A642" s="8" t="s">
        <v>1237</v>
      </c>
      <c r="B642" s="9">
        <v>45747</v>
      </c>
      <c r="C642" s="8" t="s">
        <v>1138</v>
      </c>
      <c r="D642" s="8" t="s">
        <v>1139</v>
      </c>
      <c r="E642" s="8" t="s">
        <v>1140</v>
      </c>
      <c r="F642" s="17">
        <v>9974</v>
      </c>
      <c r="G642" s="11">
        <v>48.28</v>
      </c>
      <c r="H642" s="11">
        <v>481544.72</v>
      </c>
      <c r="N642" s="18"/>
      <c r="O642" s="18"/>
      <c r="P642" s="18"/>
    </row>
    <row r="643" spans="1:16" x14ac:dyDescent="0.2">
      <c r="A643" s="8" t="s">
        <v>1237</v>
      </c>
      <c r="B643" s="9">
        <v>45747</v>
      </c>
      <c r="C643" s="8" t="s">
        <v>747</v>
      </c>
      <c r="D643" s="8" t="s">
        <v>748</v>
      </c>
      <c r="E643" s="8" t="s">
        <v>749</v>
      </c>
      <c r="F643" s="17">
        <v>29184</v>
      </c>
      <c r="G643" s="11">
        <v>40.090000000000003</v>
      </c>
      <c r="H643" s="11">
        <v>1169986.5600000001</v>
      </c>
      <c r="N643" s="18"/>
      <c r="O643" s="18"/>
      <c r="P643" s="18"/>
    </row>
    <row r="644" spans="1:16" x14ac:dyDescent="0.2">
      <c r="A644" s="8" t="s">
        <v>1237</v>
      </c>
      <c r="B644" s="9">
        <v>45747</v>
      </c>
      <c r="C644" s="8" t="s">
        <v>759</v>
      </c>
      <c r="D644" s="8" t="s">
        <v>760</v>
      </c>
      <c r="E644" s="8" t="s">
        <v>761</v>
      </c>
      <c r="F644" s="17">
        <v>2389</v>
      </c>
      <c r="G644" s="11">
        <v>512.01</v>
      </c>
      <c r="H644" s="11">
        <v>1223191.8899999999</v>
      </c>
      <c r="N644" s="18"/>
      <c r="O644" s="18"/>
      <c r="P644" s="18"/>
    </row>
    <row r="645" spans="1:16" x14ac:dyDescent="0.2">
      <c r="A645" s="8" t="s">
        <v>1237</v>
      </c>
      <c r="B645" s="9">
        <v>45747</v>
      </c>
      <c r="C645" s="8" t="s">
        <v>1177</v>
      </c>
      <c r="D645" s="8" t="s">
        <v>1178</v>
      </c>
      <c r="E645" s="8" t="s">
        <v>1179</v>
      </c>
      <c r="F645" s="17">
        <v>860</v>
      </c>
      <c r="G645" s="11">
        <v>796.14</v>
      </c>
      <c r="H645" s="11">
        <v>684680.4</v>
      </c>
      <c r="N645" s="18"/>
      <c r="O645" s="18"/>
      <c r="P645" s="18"/>
    </row>
    <row r="646" spans="1:16" x14ac:dyDescent="0.2">
      <c r="A646" s="8" t="s">
        <v>1237</v>
      </c>
      <c r="B646" s="9">
        <v>45747</v>
      </c>
      <c r="C646" s="8" t="s">
        <v>1334</v>
      </c>
      <c r="D646" s="8" t="s">
        <v>1335</v>
      </c>
      <c r="E646" s="8" t="s">
        <v>1336</v>
      </c>
      <c r="F646" s="17">
        <v>7207</v>
      </c>
      <c r="G646" s="11">
        <v>69.81</v>
      </c>
      <c r="H646" s="11">
        <v>503120.67</v>
      </c>
      <c r="N646" s="18"/>
      <c r="O646" s="18"/>
      <c r="P646" s="18"/>
    </row>
    <row r="647" spans="1:16" x14ac:dyDescent="0.2">
      <c r="A647" s="8" t="s">
        <v>1237</v>
      </c>
      <c r="B647" s="9">
        <v>45747</v>
      </c>
      <c r="C647" s="8" t="s">
        <v>1343</v>
      </c>
      <c r="D647" s="8" t="s">
        <v>1344</v>
      </c>
      <c r="E647" s="8" t="s">
        <v>1345</v>
      </c>
      <c r="F647" s="17">
        <v>7510</v>
      </c>
      <c r="G647" s="11">
        <v>58.01</v>
      </c>
      <c r="H647" s="11">
        <v>435655.1</v>
      </c>
      <c r="N647" s="18"/>
      <c r="O647" s="18"/>
      <c r="P647" s="18"/>
    </row>
    <row r="648" spans="1:16" x14ac:dyDescent="0.2">
      <c r="A648" s="8" t="s">
        <v>1237</v>
      </c>
      <c r="B648" s="9">
        <v>45747</v>
      </c>
      <c r="C648" s="8" t="s">
        <v>780</v>
      </c>
      <c r="D648" s="8" t="s">
        <v>781</v>
      </c>
      <c r="E648" s="8" t="s">
        <v>782</v>
      </c>
      <c r="F648" s="17">
        <v>21060</v>
      </c>
      <c r="G648" s="11">
        <v>149.94</v>
      </c>
      <c r="H648" s="11">
        <v>3157736.4</v>
      </c>
      <c r="N648" s="18"/>
      <c r="O648" s="18"/>
      <c r="P648" s="18"/>
    </row>
    <row r="649" spans="1:16" x14ac:dyDescent="0.2">
      <c r="A649" s="8" t="s">
        <v>1237</v>
      </c>
      <c r="B649" s="9">
        <v>45747</v>
      </c>
      <c r="C649" s="8" t="s">
        <v>1340</v>
      </c>
      <c r="D649" s="8" t="s">
        <v>1341</v>
      </c>
      <c r="E649" s="8" t="s">
        <v>1342</v>
      </c>
      <c r="F649" s="17">
        <v>2484</v>
      </c>
      <c r="G649" s="11">
        <v>170.42</v>
      </c>
      <c r="H649" s="11">
        <v>423323.28</v>
      </c>
      <c r="N649" s="18"/>
      <c r="O649" s="18"/>
      <c r="P649" s="18"/>
    </row>
    <row r="650" spans="1:16" x14ac:dyDescent="0.2">
      <c r="A650" s="8" t="s">
        <v>1237</v>
      </c>
      <c r="B650" s="9">
        <v>45747</v>
      </c>
      <c r="C650" s="8" t="s">
        <v>1153</v>
      </c>
      <c r="D650" s="8" t="s">
        <v>1154</v>
      </c>
      <c r="E650" s="8" t="s">
        <v>1155</v>
      </c>
      <c r="F650" s="17">
        <v>16453</v>
      </c>
      <c r="G650" s="11">
        <v>283.01</v>
      </c>
      <c r="H650" s="11">
        <v>4656363.53</v>
      </c>
      <c r="N650" s="18"/>
      <c r="O650" s="18"/>
      <c r="P650" s="18"/>
    </row>
    <row r="651" spans="1:16" x14ac:dyDescent="0.2">
      <c r="A651" s="8" t="s">
        <v>1237</v>
      </c>
      <c r="B651" s="9">
        <v>45747</v>
      </c>
      <c r="C651" s="8" t="s">
        <v>777</v>
      </c>
      <c r="D651" s="8" t="s">
        <v>778</v>
      </c>
      <c r="E651" s="8" t="s">
        <v>779</v>
      </c>
      <c r="F651" s="17">
        <v>26422</v>
      </c>
      <c r="G651" s="11">
        <v>198.02</v>
      </c>
      <c r="H651" s="11">
        <v>5232084.4400000004</v>
      </c>
      <c r="N651" s="18"/>
      <c r="O651" s="18"/>
      <c r="P651" s="18"/>
    </row>
    <row r="652" spans="1:16" x14ac:dyDescent="0.2">
      <c r="A652" s="8" t="s">
        <v>1237</v>
      </c>
      <c r="B652" s="9">
        <v>45747</v>
      </c>
      <c r="C652" s="8" t="s">
        <v>1337</v>
      </c>
      <c r="D652" s="8" t="s">
        <v>1338</v>
      </c>
      <c r="E652" s="8" t="s">
        <v>1339</v>
      </c>
      <c r="F652" s="17">
        <v>2729</v>
      </c>
      <c r="G652" s="11">
        <v>154.94999999999999</v>
      </c>
      <c r="H652" s="11">
        <v>422858.55</v>
      </c>
      <c r="N652" s="18"/>
      <c r="O652" s="18"/>
      <c r="P652" s="18"/>
    </row>
    <row r="653" spans="1:16" x14ac:dyDescent="0.2">
      <c r="A653" s="8" t="s">
        <v>1237</v>
      </c>
      <c r="B653" s="9">
        <v>45747</v>
      </c>
      <c r="C653" s="8" t="s">
        <v>1162</v>
      </c>
      <c r="D653" s="8" t="s">
        <v>1163</v>
      </c>
      <c r="E653" s="8" t="s">
        <v>1164</v>
      </c>
      <c r="F653" s="17">
        <v>1687</v>
      </c>
      <c r="G653" s="11">
        <v>634.23</v>
      </c>
      <c r="H653" s="11">
        <v>1069946.01</v>
      </c>
      <c r="N653" s="18"/>
      <c r="O653" s="18"/>
      <c r="P653" s="18"/>
    </row>
    <row r="654" spans="1:16" x14ac:dyDescent="0.2">
      <c r="A654" s="8" t="s">
        <v>1237</v>
      </c>
      <c r="B654" s="9">
        <v>45747</v>
      </c>
      <c r="C654" s="8" t="s">
        <v>1346</v>
      </c>
      <c r="D654" s="8" t="s">
        <v>1347</v>
      </c>
      <c r="E654" s="8" t="s">
        <v>1348</v>
      </c>
      <c r="F654" s="17">
        <v>4442</v>
      </c>
      <c r="G654" s="11">
        <v>242.16</v>
      </c>
      <c r="H654" s="11">
        <v>1075674.72</v>
      </c>
      <c r="N654" s="18"/>
      <c r="O654" s="18"/>
      <c r="P654" s="18"/>
    </row>
    <row r="655" spans="1:16" x14ac:dyDescent="0.2">
      <c r="A655" s="8" t="s">
        <v>1237</v>
      </c>
      <c r="B655" s="9">
        <v>45747</v>
      </c>
      <c r="C655" s="8" t="s">
        <v>1349</v>
      </c>
      <c r="D655" s="8" t="s">
        <v>1350</v>
      </c>
      <c r="E655" s="8" t="s">
        <v>1351</v>
      </c>
      <c r="F655" s="17">
        <v>4844</v>
      </c>
      <c r="G655" s="11">
        <v>91.95</v>
      </c>
      <c r="H655" s="11">
        <v>445405.8</v>
      </c>
      <c r="N655" s="18"/>
      <c r="O655" s="18"/>
      <c r="P655" s="18"/>
    </row>
    <row r="656" spans="1:16" x14ac:dyDescent="0.2">
      <c r="A656" s="8" t="s">
        <v>1237</v>
      </c>
      <c r="B656" s="9">
        <v>45747</v>
      </c>
      <c r="C656" s="8" t="s">
        <v>1168</v>
      </c>
      <c r="D656" s="8" t="s">
        <v>1169</v>
      </c>
      <c r="E656" s="8" t="s">
        <v>1170</v>
      </c>
      <c r="F656" s="17">
        <v>4333</v>
      </c>
      <c r="G656" s="11">
        <v>508.1</v>
      </c>
      <c r="H656" s="11">
        <v>2201597.2999999998</v>
      </c>
      <c r="N656" s="18"/>
      <c r="O656" s="18"/>
      <c r="P656" s="18"/>
    </row>
    <row r="657" spans="1:16" x14ac:dyDescent="0.2">
      <c r="A657" s="8" t="s">
        <v>1237</v>
      </c>
      <c r="B657" s="9">
        <v>45747</v>
      </c>
      <c r="C657" s="8" t="s">
        <v>1316</v>
      </c>
      <c r="D657" s="8" t="s">
        <v>1317</v>
      </c>
      <c r="E657" s="8" t="s">
        <v>1318</v>
      </c>
      <c r="F657" s="17">
        <v>146981</v>
      </c>
      <c r="G657" s="11">
        <v>74.72</v>
      </c>
      <c r="H657" s="11">
        <v>10982420.32</v>
      </c>
      <c r="N657" s="18"/>
      <c r="O657" s="18"/>
      <c r="P657" s="18"/>
    </row>
    <row r="658" spans="1:16" x14ac:dyDescent="0.2">
      <c r="A658" s="8" t="s">
        <v>1237</v>
      </c>
      <c r="B658" s="9">
        <v>45747</v>
      </c>
      <c r="C658" s="8" t="s">
        <v>1189</v>
      </c>
      <c r="D658" s="8" t="s">
        <v>1190</v>
      </c>
      <c r="E658" s="8" t="s">
        <v>1191</v>
      </c>
      <c r="F658" s="17">
        <v>26837</v>
      </c>
      <c r="G658" s="11">
        <v>75.040000000000006</v>
      </c>
      <c r="H658" s="11">
        <v>2013848.48</v>
      </c>
      <c r="N658" s="18"/>
      <c r="O658" s="18"/>
      <c r="P658" s="18"/>
    </row>
    <row r="659" spans="1:16" x14ac:dyDescent="0.2">
      <c r="A659" s="8" t="s">
        <v>1237</v>
      </c>
      <c r="B659" s="9">
        <v>45747</v>
      </c>
      <c r="C659" s="8" t="s">
        <v>1352</v>
      </c>
      <c r="D659" s="8" t="s">
        <v>1353</v>
      </c>
      <c r="E659" s="8" t="s">
        <v>1354</v>
      </c>
      <c r="F659" s="17">
        <v>878</v>
      </c>
      <c r="G659" s="11">
        <v>497.71</v>
      </c>
      <c r="H659" s="11">
        <v>436989.38</v>
      </c>
      <c r="N659" s="18"/>
      <c r="O659" s="18"/>
      <c r="P659" s="18"/>
    </row>
    <row r="660" spans="1:16" x14ac:dyDescent="0.2">
      <c r="A660" s="8" t="s">
        <v>1237</v>
      </c>
      <c r="B660" s="9">
        <v>45747</v>
      </c>
      <c r="C660" s="8" t="s">
        <v>831</v>
      </c>
      <c r="D660" s="8" t="s">
        <v>832</v>
      </c>
      <c r="E660" s="8" t="s">
        <v>833</v>
      </c>
      <c r="F660" s="17">
        <v>3848</v>
      </c>
      <c r="G660" s="11">
        <v>200.47</v>
      </c>
      <c r="H660" s="11">
        <v>771408.56</v>
      </c>
      <c r="N660" s="18"/>
      <c r="O660" s="18"/>
      <c r="P660" s="18"/>
    </row>
    <row r="661" spans="1:16" x14ac:dyDescent="0.2">
      <c r="A661" s="8" t="s">
        <v>1237</v>
      </c>
      <c r="B661" s="9">
        <v>45747</v>
      </c>
      <c r="C661" s="8" t="s">
        <v>1195</v>
      </c>
      <c r="D661" s="8" t="s">
        <v>1196</v>
      </c>
      <c r="E661" s="8" t="s">
        <v>1197</v>
      </c>
      <c r="F661" s="17">
        <v>7774</v>
      </c>
      <c r="G661" s="11">
        <v>264.45999999999998</v>
      </c>
      <c r="H661" s="11">
        <v>2055912.04</v>
      </c>
      <c r="N661" s="18"/>
      <c r="O661" s="18"/>
      <c r="P661" s="18"/>
    </row>
    <row r="662" spans="1:16" x14ac:dyDescent="0.2">
      <c r="A662" s="8" t="s">
        <v>1237</v>
      </c>
      <c r="B662" s="9">
        <v>45747</v>
      </c>
      <c r="C662" s="8" t="s">
        <v>834</v>
      </c>
      <c r="D662" s="8" t="s">
        <v>835</v>
      </c>
      <c r="E662" s="8" t="s">
        <v>836</v>
      </c>
      <c r="F662" s="17">
        <v>107263</v>
      </c>
      <c r="G662" s="11">
        <v>63.81</v>
      </c>
      <c r="H662" s="11">
        <v>6844452.0300000003</v>
      </c>
      <c r="N662" s="18"/>
      <c r="O662" s="18"/>
      <c r="P662" s="18"/>
    </row>
    <row r="663" spans="1:16" x14ac:dyDescent="0.2">
      <c r="A663" s="8" t="s">
        <v>1237</v>
      </c>
      <c r="B663" s="9">
        <v>45747</v>
      </c>
      <c r="C663" s="8" t="s">
        <v>852</v>
      </c>
      <c r="D663" s="8" t="s">
        <v>853</v>
      </c>
      <c r="E663" s="8" t="s">
        <v>854</v>
      </c>
      <c r="F663" s="17">
        <v>2353</v>
      </c>
      <c r="G663" s="11">
        <v>523.75</v>
      </c>
      <c r="H663" s="11">
        <v>1232383.75</v>
      </c>
      <c r="N663" s="18"/>
      <c r="O663" s="18"/>
      <c r="P663" s="18"/>
    </row>
    <row r="664" spans="1:16" x14ac:dyDescent="0.2">
      <c r="A664" s="8" t="s">
        <v>1237</v>
      </c>
      <c r="B664" s="9">
        <v>45747</v>
      </c>
      <c r="C664" s="8" t="s">
        <v>843</v>
      </c>
      <c r="D664" s="8" t="s">
        <v>844</v>
      </c>
      <c r="E664" s="8" t="s">
        <v>845</v>
      </c>
      <c r="F664" s="17">
        <v>17719</v>
      </c>
      <c r="G664" s="11">
        <v>236.24</v>
      </c>
      <c r="H664" s="11">
        <v>4185936.56</v>
      </c>
      <c r="N664" s="18"/>
      <c r="O664" s="18"/>
      <c r="P664" s="18"/>
    </row>
    <row r="665" spans="1:16" x14ac:dyDescent="0.2">
      <c r="A665" s="8" t="s">
        <v>1237</v>
      </c>
      <c r="B665" s="9">
        <v>45747</v>
      </c>
      <c r="C665" s="8" t="s">
        <v>948</v>
      </c>
      <c r="D665" s="8" t="s">
        <v>949</v>
      </c>
      <c r="E665" s="8" t="s">
        <v>950</v>
      </c>
      <c r="F665" s="17">
        <v>138006</v>
      </c>
      <c r="G665" s="11">
        <v>93.66</v>
      </c>
      <c r="H665" s="11">
        <v>12925641.960000001</v>
      </c>
      <c r="N665" s="18"/>
      <c r="O665" s="18"/>
      <c r="P665" s="18"/>
    </row>
    <row r="666" spans="1:16" x14ac:dyDescent="0.2">
      <c r="A666" s="8" t="s">
        <v>1237</v>
      </c>
      <c r="B666" s="9">
        <v>45747</v>
      </c>
      <c r="C666" s="8" t="s">
        <v>1355</v>
      </c>
      <c r="D666" s="8" t="s">
        <v>1356</v>
      </c>
      <c r="E666" s="8" t="s">
        <v>1357</v>
      </c>
      <c r="F666" s="17">
        <v>4216</v>
      </c>
      <c r="G666" s="11">
        <v>308.27</v>
      </c>
      <c r="H666" s="11">
        <v>1299666.32</v>
      </c>
      <c r="N666" s="18"/>
      <c r="O666" s="18"/>
      <c r="P666" s="18"/>
    </row>
    <row r="667" spans="1:16" x14ac:dyDescent="0.2">
      <c r="A667" s="8" t="s">
        <v>1237</v>
      </c>
      <c r="B667" s="9">
        <v>45747</v>
      </c>
      <c r="C667" s="8" t="s">
        <v>1358</v>
      </c>
      <c r="D667" s="8" t="s">
        <v>1359</v>
      </c>
      <c r="E667" s="8" t="s">
        <v>1360</v>
      </c>
      <c r="F667" s="17">
        <v>4414</v>
      </c>
      <c r="G667" s="11">
        <v>97.45</v>
      </c>
      <c r="H667" s="11">
        <v>430144.3</v>
      </c>
      <c r="N667" s="18"/>
      <c r="O667" s="18"/>
      <c r="P667" s="18"/>
    </row>
    <row r="668" spans="1:16" x14ac:dyDescent="0.2">
      <c r="A668" s="8" t="s">
        <v>1237</v>
      </c>
      <c r="B668" s="9">
        <v>45747</v>
      </c>
      <c r="C668" s="8" t="s">
        <v>1361</v>
      </c>
      <c r="D668" s="8" t="s">
        <v>1362</v>
      </c>
      <c r="E668" s="8" t="s">
        <v>1363</v>
      </c>
      <c r="F668" s="17">
        <v>1824</v>
      </c>
      <c r="G668" s="11">
        <v>253.87</v>
      </c>
      <c r="H668" s="11">
        <v>463058.88</v>
      </c>
      <c r="N668" s="18"/>
      <c r="O668" s="18"/>
      <c r="P668" s="18"/>
    </row>
    <row r="669" spans="1:16" x14ac:dyDescent="0.2">
      <c r="A669" s="8" t="s">
        <v>1237</v>
      </c>
      <c r="B669" s="9">
        <v>45747</v>
      </c>
      <c r="C669" s="8" t="s">
        <v>1210</v>
      </c>
      <c r="D669" s="8" t="s">
        <v>1211</v>
      </c>
      <c r="E669" s="8" t="s">
        <v>1212</v>
      </c>
      <c r="F669" s="17">
        <v>1934</v>
      </c>
      <c r="G669" s="11">
        <v>484.82</v>
      </c>
      <c r="H669" s="11">
        <v>937641.88</v>
      </c>
      <c r="N669" s="18"/>
      <c r="O669" s="18"/>
      <c r="P669" s="18"/>
    </row>
    <row r="670" spans="1:16" x14ac:dyDescent="0.2">
      <c r="A670" s="8" t="s">
        <v>1237</v>
      </c>
      <c r="B670" s="9">
        <v>45747</v>
      </c>
      <c r="C670" s="8" t="s">
        <v>1219</v>
      </c>
      <c r="D670" s="8" t="s">
        <v>1220</v>
      </c>
      <c r="E670" s="8" t="s">
        <v>1221</v>
      </c>
      <c r="F670" s="17">
        <v>3500</v>
      </c>
      <c r="G670" s="11">
        <v>153.21</v>
      </c>
      <c r="H670" s="11">
        <v>536235</v>
      </c>
      <c r="N670" s="18"/>
      <c r="O670" s="18"/>
      <c r="P670" s="18"/>
    </row>
    <row r="671" spans="1:16" x14ac:dyDescent="0.2">
      <c r="A671" s="8" t="s">
        <v>1237</v>
      </c>
      <c r="B671" s="9">
        <v>45747</v>
      </c>
      <c r="C671" s="8" t="s">
        <v>1364</v>
      </c>
      <c r="D671" s="8" t="s">
        <v>1365</v>
      </c>
      <c r="E671" s="8" t="s">
        <v>1366</v>
      </c>
      <c r="F671" s="17">
        <v>10404</v>
      </c>
      <c r="G671" s="11">
        <v>231.51</v>
      </c>
      <c r="H671" s="11">
        <v>2408630.04</v>
      </c>
      <c r="N671" s="18"/>
      <c r="O671" s="18"/>
      <c r="P671" s="18"/>
    </row>
    <row r="672" spans="1:16" x14ac:dyDescent="0.2">
      <c r="A672" s="8" t="s">
        <v>1237</v>
      </c>
      <c r="B672" s="9">
        <v>45747</v>
      </c>
      <c r="C672" s="8" t="s">
        <v>1216</v>
      </c>
      <c r="D672" s="8" t="s">
        <v>1217</v>
      </c>
      <c r="E672" s="8" t="s">
        <v>1218</v>
      </c>
      <c r="F672" s="17">
        <v>16992</v>
      </c>
      <c r="G672" s="11">
        <v>87.79</v>
      </c>
      <c r="H672" s="11">
        <v>1491727.68</v>
      </c>
      <c r="N672" s="18"/>
      <c r="O672" s="18"/>
      <c r="P672" s="18"/>
    </row>
    <row r="673" spans="1:16" x14ac:dyDescent="0.2">
      <c r="A673" s="8" t="s">
        <v>1237</v>
      </c>
      <c r="B673" s="9">
        <v>45747</v>
      </c>
      <c r="C673" s="8" t="s">
        <v>1493</v>
      </c>
      <c r="D673" s="8" t="s">
        <v>1367</v>
      </c>
      <c r="E673" s="8" t="s">
        <v>1368</v>
      </c>
      <c r="F673" s="17">
        <v>6274</v>
      </c>
      <c r="G673" s="11">
        <v>70.790000000000006</v>
      </c>
      <c r="H673" s="11">
        <v>444136.46</v>
      </c>
      <c r="N673" s="18"/>
      <c r="O673" s="18"/>
      <c r="P673" s="18"/>
    </row>
    <row r="674" spans="1:16" x14ac:dyDescent="0.2">
      <c r="A674" s="8" t="s">
        <v>1237</v>
      </c>
      <c r="B674" s="9">
        <v>45747</v>
      </c>
      <c r="C674" s="8" t="s">
        <v>1292</v>
      </c>
      <c r="D674" s="8" t="s">
        <v>1293</v>
      </c>
      <c r="E674" s="8" t="s">
        <v>1294</v>
      </c>
      <c r="F674" s="17">
        <v>4113</v>
      </c>
      <c r="G674" s="11">
        <v>118.93</v>
      </c>
      <c r="H674" s="11">
        <v>489159.09</v>
      </c>
      <c r="N674" s="18"/>
      <c r="O674" s="18"/>
      <c r="P674" s="18"/>
    </row>
    <row r="675" spans="1:16" x14ac:dyDescent="0.2">
      <c r="A675" s="8" t="s">
        <v>1237</v>
      </c>
      <c r="B675" s="9">
        <v>45747</v>
      </c>
      <c r="C675" s="8" t="s">
        <v>1369</v>
      </c>
      <c r="D675" s="8" t="s">
        <v>1370</v>
      </c>
      <c r="E675" s="8" t="s">
        <v>1371</v>
      </c>
      <c r="F675" s="17">
        <v>31478</v>
      </c>
      <c r="G675" s="11">
        <v>73.77</v>
      </c>
      <c r="H675" s="11">
        <v>2322132.06</v>
      </c>
      <c r="I675" s="15">
        <f>SUM(H577:H675)</f>
        <v>226439455.15000001</v>
      </c>
      <c r="N675" s="18"/>
      <c r="O675" s="18"/>
      <c r="P675" s="18"/>
    </row>
    <row r="676" spans="1:16" x14ac:dyDescent="0.2">
      <c r="A676" s="8"/>
      <c r="B676" s="9"/>
      <c r="C676" s="8"/>
      <c r="D676" s="8"/>
      <c r="E676" s="8"/>
      <c r="F676" s="10"/>
      <c r="G676" s="11"/>
      <c r="H676" s="11"/>
    </row>
    <row r="677" spans="1:16" x14ac:dyDescent="0.2">
      <c r="A677" s="8" t="s">
        <v>1375</v>
      </c>
      <c r="B677" s="9">
        <v>45747</v>
      </c>
      <c r="C677" s="8"/>
      <c r="D677" s="8"/>
      <c r="E677" s="8" t="s">
        <v>12</v>
      </c>
      <c r="F677" s="12"/>
      <c r="G677" s="12"/>
      <c r="H677" s="11">
        <v>648902.11</v>
      </c>
      <c r="I677" s="14">
        <f>H677+H678</f>
        <v>694780.48</v>
      </c>
    </row>
    <row r="678" spans="1:16" x14ac:dyDescent="0.2">
      <c r="A678" s="8" t="s">
        <v>1375</v>
      </c>
      <c r="B678" s="9">
        <v>45747</v>
      </c>
      <c r="C678" s="8" t="s">
        <v>454</v>
      </c>
      <c r="D678" s="8" t="s">
        <v>455</v>
      </c>
      <c r="E678" s="8" t="s">
        <v>456</v>
      </c>
      <c r="F678" s="11">
        <v>45878.37</v>
      </c>
      <c r="G678" s="11">
        <v>1</v>
      </c>
      <c r="H678" s="11">
        <v>45878.37</v>
      </c>
    </row>
    <row r="679" spans="1:16" x14ac:dyDescent="0.2">
      <c r="A679" s="8" t="s">
        <v>1375</v>
      </c>
      <c r="B679" s="9">
        <v>45747</v>
      </c>
      <c r="C679" s="8" t="s">
        <v>1412</v>
      </c>
      <c r="D679" s="8" t="s">
        <v>1413</v>
      </c>
      <c r="E679" s="8" t="s">
        <v>1414</v>
      </c>
      <c r="F679" s="17">
        <v>10636</v>
      </c>
      <c r="G679" s="11">
        <v>34.75</v>
      </c>
      <c r="H679" s="11">
        <v>369601</v>
      </c>
    </row>
    <row r="680" spans="1:16" x14ac:dyDescent="0.2">
      <c r="A680" s="8" t="s">
        <v>1375</v>
      </c>
      <c r="B680" s="9">
        <v>45747</v>
      </c>
      <c r="C680" s="8" t="s">
        <v>1439</v>
      </c>
      <c r="D680" s="8" t="s">
        <v>1440</v>
      </c>
      <c r="E680" s="8" t="s">
        <v>1441</v>
      </c>
      <c r="F680" s="17">
        <v>10137</v>
      </c>
      <c r="G680" s="11">
        <v>116.37</v>
      </c>
      <c r="H680" s="11">
        <v>1179642.69</v>
      </c>
    </row>
    <row r="681" spans="1:16" x14ac:dyDescent="0.2">
      <c r="A681" s="8" t="s">
        <v>1375</v>
      </c>
      <c r="B681" s="9">
        <v>45747</v>
      </c>
      <c r="C681" s="8" t="s">
        <v>994</v>
      </c>
      <c r="D681" s="8" t="s">
        <v>995</v>
      </c>
      <c r="E681" s="8" t="s">
        <v>996</v>
      </c>
      <c r="F681" s="17">
        <v>1937</v>
      </c>
      <c r="G681" s="11">
        <v>305.52999999999997</v>
      </c>
      <c r="H681" s="11">
        <v>591811.61</v>
      </c>
    </row>
    <row r="682" spans="1:16" x14ac:dyDescent="0.2">
      <c r="A682" s="8" t="s">
        <v>1375</v>
      </c>
      <c r="B682" s="9">
        <v>45747</v>
      </c>
      <c r="C682" s="8" t="s">
        <v>1376</v>
      </c>
      <c r="D682" s="8" t="s">
        <v>1377</v>
      </c>
      <c r="E682" s="8" t="s">
        <v>1378</v>
      </c>
      <c r="F682" s="17">
        <v>4528</v>
      </c>
      <c r="G682" s="11">
        <v>108.41</v>
      </c>
      <c r="H682" s="11">
        <v>490880.48</v>
      </c>
    </row>
    <row r="683" spans="1:16" x14ac:dyDescent="0.2">
      <c r="A683" s="8" t="s">
        <v>1375</v>
      </c>
      <c r="B683" s="9">
        <v>45747</v>
      </c>
      <c r="C683" s="8" t="s">
        <v>1490</v>
      </c>
      <c r="D683" s="8" t="s">
        <v>1491</v>
      </c>
      <c r="E683" s="8" t="s">
        <v>1492</v>
      </c>
      <c r="F683" s="17">
        <v>6088</v>
      </c>
      <c r="G683" s="11">
        <v>102.17</v>
      </c>
      <c r="H683" s="11">
        <v>622010.96</v>
      </c>
    </row>
    <row r="684" spans="1:16" x14ac:dyDescent="0.2">
      <c r="A684" s="8" t="s">
        <v>1375</v>
      </c>
      <c r="B684" s="9">
        <v>45747</v>
      </c>
      <c r="C684" s="8" t="s">
        <v>988</v>
      </c>
      <c r="D684" s="8" t="s">
        <v>989</v>
      </c>
      <c r="E684" s="8" t="s">
        <v>990</v>
      </c>
      <c r="F684" s="17">
        <v>6103</v>
      </c>
      <c r="G684" s="11">
        <v>77.48</v>
      </c>
      <c r="H684" s="11">
        <v>472860.44</v>
      </c>
    </row>
    <row r="685" spans="1:16" x14ac:dyDescent="0.2">
      <c r="A685" s="8" t="s">
        <v>1375</v>
      </c>
      <c r="B685" s="9">
        <v>45747</v>
      </c>
      <c r="C685" s="8" t="s">
        <v>976</v>
      </c>
      <c r="D685" s="8" t="s">
        <v>977</v>
      </c>
      <c r="E685" s="8" t="s">
        <v>978</v>
      </c>
      <c r="F685" s="17">
        <v>9141</v>
      </c>
      <c r="G685" s="11">
        <v>65.59</v>
      </c>
      <c r="H685" s="11">
        <v>599558.18999999994</v>
      </c>
    </row>
    <row r="686" spans="1:16" x14ac:dyDescent="0.2">
      <c r="A686" s="8" t="s">
        <v>1375</v>
      </c>
      <c r="B686" s="9">
        <v>45747</v>
      </c>
      <c r="C686" s="8" t="s">
        <v>1379</v>
      </c>
      <c r="D686" s="8" t="s">
        <v>1380</v>
      </c>
      <c r="E686" s="8" t="s">
        <v>1381</v>
      </c>
      <c r="F686" s="17">
        <v>5194</v>
      </c>
      <c r="G686" s="11">
        <v>132.22999999999999</v>
      </c>
      <c r="H686" s="11">
        <v>686802.62</v>
      </c>
    </row>
    <row r="687" spans="1:16" x14ac:dyDescent="0.2">
      <c r="A687" s="8" t="s">
        <v>1375</v>
      </c>
      <c r="B687" s="9">
        <v>45747</v>
      </c>
      <c r="C687" s="8" t="s">
        <v>594</v>
      </c>
      <c r="D687" s="8" t="s">
        <v>595</v>
      </c>
      <c r="E687" s="8" t="s">
        <v>596</v>
      </c>
      <c r="F687" s="17">
        <v>46653</v>
      </c>
      <c r="G687" s="11">
        <v>15.22</v>
      </c>
      <c r="H687" s="11">
        <v>710058.66</v>
      </c>
    </row>
    <row r="688" spans="1:16" x14ac:dyDescent="0.2">
      <c r="A688" s="8" t="s">
        <v>1375</v>
      </c>
      <c r="B688" s="9">
        <v>45747</v>
      </c>
      <c r="C688" s="8" t="s">
        <v>352</v>
      </c>
      <c r="D688" s="8" t="s">
        <v>353</v>
      </c>
      <c r="E688" s="8" t="s">
        <v>354</v>
      </c>
      <c r="F688" s="17">
        <v>5413</v>
      </c>
      <c r="G688" s="11">
        <v>92.37</v>
      </c>
      <c r="H688" s="11">
        <v>499998.81</v>
      </c>
    </row>
    <row r="689" spans="1:8" x14ac:dyDescent="0.2">
      <c r="A689" s="8" t="s">
        <v>1375</v>
      </c>
      <c r="B689" s="9">
        <v>45747</v>
      </c>
      <c r="C689" s="8" t="s">
        <v>58</v>
      </c>
      <c r="D689" s="8" t="s">
        <v>59</v>
      </c>
      <c r="E689" s="8" t="s">
        <v>60</v>
      </c>
      <c r="F689" s="17">
        <v>6481</v>
      </c>
      <c r="G689" s="11">
        <v>74.459999999999994</v>
      </c>
      <c r="H689" s="11">
        <v>482575.26</v>
      </c>
    </row>
    <row r="690" spans="1:8" x14ac:dyDescent="0.2">
      <c r="A690" s="8" t="s">
        <v>1375</v>
      </c>
      <c r="B690" s="9">
        <v>45747</v>
      </c>
      <c r="C690" s="8" t="s">
        <v>997</v>
      </c>
      <c r="D690" s="8" t="s">
        <v>998</v>
      </c>
      <c r="E690" s="8" t="s">
        <v>999</v>
      </c>
      <c r="F690" s="17">
        <v>3182</v>
      </c>
      <c r="G690" s="11">
        <v>532.58000000000004</v>
      </c>
      <c r="H690" s="11">
        <v>1694669.56</v>
      </c>
    </row>
    <row r="691" spans="1:8" x14ac:dyDescent="0.2">
      <c r="A691" s="8" t="s">
        <v>1375</v>
      </c>
      <c r="B691" s="9">
        <v>45747</v>
      </c>
      <c r="C691" s="8" t="s">
        <v>1385</v>
      </c>
      <c r="D691" s="8" t="s">
        <v>1386</v>
      </c>
      <c r="E691" s="8" t="s">
        <v>1387</v>
      </c>
      <c r="F691" s="17">
        <v>18844</v>
      </c>
      <c r="G691" s="11">
        <v>101.33</v>
      </c>
      <c r="H691" s="11">
        <v>1909462.52</v>
      </c>
    </row>
    <row r="692" spans="1:8" x14ac:dyDescent="0.2">
      <c r="A692" s="8" t="s">
        <v>1375</v>
      </c>
      <c r="B692" s="9">
        <v>45747</v>
      </c>
      <c r="C692" s="8" t="s">
        <v>1265</v>
      </c>
      <c r="D692" s="8" t="s">
        <v>1266</v>
      </c>
      <c r="E692" s="8" t="s">
        <v>1267</v>
      </c>
      <c r="F692" s="17">
        <v>3716</v>
      </c>
      <c r="G692" s="11">
        <v>137.77000000000001</v>
      </c>
      <c r="H692" s="11">
        <v>511953.32</v>
      </c>
    </row>
    <row r="693" spans="1:8" x14ac:dyDescent="0.2">
      <c r="A693" s="8" t="s">
        <v>1375</v>
      </c>
      <c r="B693" s="9">
        <v>45747</v>
      </c>
      <c r="C693" s="8" t="s">
        <v>612</v>
      </c>
      <c r="D693" s="8" t="s">
        <v>613</v>
      </c>
      <c r="E693" s="8" t="s">
        <v>614</v>
      </c>
      <c r="F693" s="17">
        <v>17552</v>
      </c>
      <c r="G693" s="11">
        <v>17.657499999999999</v>
      </c>
      <c r="H693" s="11">
        <v>309924.44</v>
      </c>
    </row>
    <row r="694" spans="1:8" x14ac:dyDescent="0.2">
      <c r="A694" s="8" t="s">
        <v>1375</v>
      </c>
      <c r="B694" s="9">
        <v>45747</v>
      </c>
      <c r="C694" s="8" t="s">
        <v>621</v>
      </c>
      <c r="D694" s="8" t="s">
        <v>622</v>
      </c>
      <c r="E694" s="8" t="s">
        <v>623</v>
      </c>
      <c r="F694" s="17">
        <v>35211</v>
      </c>
      <c r="G694" s="11">
        <v>93.7</v>
      </c>
      <c r="H694" s="11">
        <v>3299270.7</v>
      </c>
    </row>
    <row r="695" spans="1:8" x14ac:dyDescent="0.2">
      <c r="A695" s="8" t="s">
        <v>1375</v>
      </c>
      <c r="B695" s="9">
        <v>45747</v>
      </c>
      <c r="C695" s="8" t="s">
        <v>1391</v>
      </c>
      <c r="D695" s="8" t="s">
        <v>1392</v>
      </c>
      <c r="E695" s="8" t="s">
        <v>1393</v>
      </c>
      <c r="F695" s="17">
        <v>1723</v>
      </c>
      <c r="G695" s="11">
        <v>265.29000000000002</v>
      </c>
      <c r="H695" s="11">
        <v>457094.67</v>
      </c>
    </row>
    <row r="696" spans="1:8" x14ac:dyDescent="0.2">
      <c r="A696" s="8" t="s">
        <v>1375</v>
      </c>
      <c r="B696" s="9">
        <v>45747</v>
      </c>
      <c r="C696" s="8" t="s">
        <v>603</v>
      </c>
      <c r="D696" s="8" t="s">
        <v>604</v>
      </c>
      <c r="E696" s="8" t="s">
        <v>605</v>
      </c>
      <c r="F696" s="17">
        <v>36420</v>
      </c>
      <c r="G696" s="11">
        <v>75.11</v>
      </c>
      <c r="H696" s="11">
        <v>2735506.2</v>
      </c>
    </row>
    <row r="697" spans="1:8" x14ac:dyDescent="0.2">
      <c r="A697" s="8" t="s">
        <v>1375</v>
      </c>
      <c r="B697" s="9">
        <v>45747</v>
      </c>
      <c r="C697" s="8" t="s">
        <v>1394</v>
      </c>
      <c r="D697" s="8" t="s">
        <v>1395</v>
      </c>
      <c r="E697" s="8" t="s">
        <v>1396</v>
      </c>
      <c r="F697" s="17">
        <v>4802</v>
      </c>
      <c r="G697" s="11">
        <v>97.46</v>
      </c>
      <c r="H697" s="11">
        <v>468002.92</v>
      </c>
    </row>
    <row r="698" spans="1:8" x14ac:dyDescent="0.2">
      <c r="A698" s="8" t="s">
        <v>1375</v>
      </c>
      <c r="B698" s="9">
        <v>45747</v>
      </c>
      <c r="C698" s="8" t="s">
        <v>633</v>
      </c>
      <c r="D698" s="8" t="s">
        <v>634</v>
      </c>
      <c r="E698" s="8" t="s">
        <v>635</v>
      </c>
      <c r="F698" s="17">
        <v>2008</v>
      </c>
      <c r="G698" s="11">
        <v>105.02</v>
      </c>
      <c r="H698" s="11">
        <v>210880.16</v>
      </c>
    </row>
    <row r="699" spans="1:8" x14ac:dyDescent="0.2">
      <c r="A699" s="8" t="s">
        <v>1375</v>
      </c>
      <c r="B699" s="9">
        <v>45747</v>
      </c>
      <c r="C699" s="8" t="s">
        <v>1382</v>
      </c>
      <c r="D699" s="8" t="s">
        <v>1383</v>
      </c>
      <c r="E699" s="8" t="s">
        <v>1384</v>
      </c>
      <c r="F699" s="17">
        <v>795</v>
      </c>
      <c r="G699" s="11">
        <v>278.08999999999997</v>
      </c>
      <c r="H699" s="11">
        <v>221081.55</v>
      </c>
    </row>
    <row r="700" spans="1:8" x14ac:dyDescent="0.2">
      <c r="A700" s="8" t="s">
        <v>1375</v>
      </c>
      <c r="B700" s="9">
        <v>45747</v>
      </c>
      <c r="C700" s="8" t="s">
        <v>1397</v>
      </c>
      <c r="D700" s="8" t="s">
        <v>1398</v>
      </c>
      <c r="E700" s="8" t="s">
        <v>1399</v>
      </c>
      <c r="F700" s="17">
        <v>14785</v>
      </c>
      <c r="G700" s="11">
        <v>13.91</v>
      </c>
      <c r="H700" s="11">
        <v>205659.35</v>
      </c>
    </row>
    <row r="701" spans="1:8" x14ac:dyDescent="0.2">
      <c r="A701" s="8" t="s">
        <v>1375</v>
      </c>
      <c r="B701" s="9">
        <v>45747</v>
      </c>
      <c r="C701" s="8" t="s">
        <v>642</v>
      </c>
      <c r="D701" s="8" t="s">
        <v>643</v>
      </c>
      <c r="E701" s="8" t="s">
        <v>644</v>
      </c>
      <c r="F701" s="17">
        <v>4377</v>
      </c>
      <c r="G701" s="11">
        <v>137.44499999999999</v>
      </c>
      <c r="H701" s="11">
        <v>601596.77</v>
      </c>
    </row>
    <row r="702" spans="1:8" x14ac:dyDescent="0.2">
      <c r="A702" s="8" t="s">
        <v>1375</v>
      </c>
      <c r="B702" s="9">
        <v>45747</v>
      </c>
      <c r="C702" s="8" t="s">
        <v>1409</v>
      </c>
      <c r="D702" s="8" t="s">
        <v>1410</v>
      </c>
      <c r="E702" s="8" t="s">
        <v>1411</v>
      </c>
      <c r="F702" s="17">
        <v>5505</v>
      </c>
      <c r="G702" s="11">
        <v>144.52000000000001</v>
      </c>
      <c r="H702" s="11">
        <v>795582.6</v>
      </c>
    </row>
    <row r="703" spans="1:8" x14ac:dyDescent="0.2">
      <c r="A703" s="8" t="s">
        <v>1375</v>
      </c>
      <c r="B703" s="9">
        <v>45747</v>
      </c>
      <c r="C703" s="8" t="s">
        <v>1286</v>
      </c>
      <c r="D703" s="8" t="s">
        <v>1287</v>
      </c>
      <c r="E703" s="8" t="s">
        <v>1288</v>
      </c>
      <c r="F703" s="17">
        <v>10538</v>
      </c>
      <c r="G703" s="11">
        <v>253.52</v>
      </c>
      <c r="H703" s="11">
        <v>2671593.7599999998</v>
      </c>
    </row>
    <row r="704" spans="1:8" x14ac:dyDescent="0.2">
      <c r="A704" s="8" t="s">
        <v>1375</v>
      </c>
      <c r="B704" s="9">
        <v>45747</v>
      </c>
      <c r="C704" s="8" t="s">
        <v>1415</v>
      </c>
      <c r="D704" s="8" t="s">
        <v>1416</v>
      </c>
      <c r="E704" s="8" t="s">
        <v>1417</v>
      </c>
      <c r="F704" s="17">
        <v>1474</v>
      </c>
      <c r="G704" s="11">
        <v>129.4</v>
      </c>
      <c r="H704" s="11">
        <v>190735.6</v>
      </c>
    </row>
    <row r="705" spans="1:8" x14ac:dyDescent="0.2">
      <c r="A705" s="8" t="s">
        <v>1375</v>
      </c>
      <c r="B705" s="9">
        <v>45747</v>
      </c>
      <c r="C705" s="8" t="s">
        <v>666</v>
      </c>
      <c r="D705" s="8" t="s">
        <v>667</v>
      </c>
      <c r="E705" s="8" t="s">
        <v>668</v>
      </c>
      <c r="F705" s="17">
        <v>12305</v>
      </c>
      <c r="G705" s="11">
        <v>68.95</v>
      </c>
      <c r="H705" s="11">
        <v>848429.75</v>
      </c>
    </row>
    <row r="706" spans="1:8" x14ac:dyDescent="0.2">
      <c r="A706" s="8" t="s">
        <v>1375</v>
      </c>
      <c r="B706" s="9">
        <v>45747</v>
      </c>
      <c r="C706" s="8" t="s">
        <v>1421</v>
      </c>
      <c r="D706" s="8" t="s">
        <v>1422</v>
      </c>
      <c r="E706" s="8" t="s">
        <v>1423</v>
      </c>
      <c r="F706" s="17">
        <v>1736</v>
      </c>
      <c r="G706" s="11">
        <v>266.27</v>
      </c>
      <c r="H706" s="11">
        <v>462244.72</v>
      </c>
    </row>
    <row r="707" spans="1:8" x14ac:dyDescent="0.2">
      <c r="A707" s="8" t="s">
        <v>1375</v>
      </c>
      <c r="B707" s="9">
        <v>45747</v>
      </c>
      <c r="C707" s="8" t="s">
        <v>1424</v>
      </c>
      <c r="D707" s="8" t="s">
        <v>1425</v>
      </c>
      <c r="E707" s="8" t="s">
        <v>1426</v>
      </c>
      <c r="F707" s="17">
        <v>47350</v>
      </c>
      <c r="G707" s="11">
        <v>19.010000000000002</v>
      </c>
      <c r="H707" s="11">
        <v>900123.5</v>
      </c>
    </row>
    <row r="708" spans="1:8" x14ac:dyDescent="0.2">
      <c r="A708" s="8" t="s">
        <v>1375</v>
      </c>
      <c r="B708" s="9">
        <v>45747</v>
      </c>
      <c r="C708" s="8" t="s">
        <v>672</v>
      </c>
      <c r="D708" s="8" t="s">
        <v>673</v>
      </c>
      <c r="E708" s="8" t="s">
        <v>674</v>
      </c>
      <c r="F708" s="17">
        <v>23195</v>
      </c>
      <c r="G708" s="11">
        <v>24.9</v>
      </c>
      <c r="H708" s="11">
        <v>577555.5</v>
      </c>
    </row>
    <row r="709" spans="1:8" x14ac:dyDescent="0.2">
      <c r="A709" s="8" t="s">
        <v>1375</v>
      </c>
      <c r="B709" s="9">
        <v>45747</v>
      </c>
      <c r="C709" s="8" t="s">
        <v>1060</v>
      </c>
      <c r="D709" s="8" t="s">
        <v>1061</v>
      </c>
      <c r="E709" s="8" t="s">
        <v>1062</v>
      </c>
      <c r="F709" s="17">
        <v>7637</v>
      </c>
      <c r="G709" s="11">
        <v>52.71</v>
      </c>
      <c r="H709" s="11">
        <v>402546.27</v>
      </c>
    </row>
    <row r="710" spans="1:8" x14ac:dyDescent="0.2">
      <c r="A710" s="8" t="s">
        <v>1375</v>
      </c>
      <c r="B710" s="9">
        <v>45747</v>
      </c>
      <c r="C710" s="8" t="s">
        <v>1418</v>
      </c>
      <c r="D710" s="8" t="s">
        <v>1419</v>
      </c>
      <c r="E710" s="8" t="s">
        <v>1420</v>
      </c>
      <c r="F710" s="17">
        <v>649</v>
      </c>
      <c r="G710" s="11">
        <v>1447.2525000000001</v>
      </c>
      <c r="H710" s="11">
        <v>939266.87</v>
      </c>
    </row>
    <row r="711" spans="1:8" x14ac:dyDescent="0.2">
      <c r="A711" s="8" t="s">
        <v>1375</v>
      </c>
      <c r="B711" s="9">
        <v>45747</v>
      </c>
      <c r="C711" s="8" t="s">
        <v>1388</v>
      </c>
      <c r="D711" s="8" t="s">
        <v>1389</v>
      </c>
      <c r="E711" s="8" t="s">
        <v>1390</v>
      </c>
      <c r="F711" s="17">
        <v>3964</v>
      </c>
      <c r="G711" s="11">
        <v>99.83</v>
      </c>
      <c r="H711" s="11">
        <v>395726.12</v>
      </c>
    </row>
    <row r="712" spans="1:8" x14ac:dyDescent="0.2">
      <c r="A712" s="8" t="s">
        <v>1375</v>
      </c>
      <c r="B712" s="9">
        <v>45747</v>
      </c>
      <c r="C712" s="8" t="s">
        <v>690</v>
      </c>
      <c r="D712" s="8" t="s">
        <v>691</v>
      </c>
      <c r="E712" s="8" t="s">
        <v>692</v>
      </c>
      <c r="F712" s="17">
        <v>34138</v>
      </c>
      <c r="G712" s="11">
        <v>15.01</v>
      </c>
      <c r="H712" s="11">
        <v>512411.38</v>
      </c>
    </row>
    <row r="713" spans="1:8" x14ac:dyDescent="0.2">
      <c r="A713" s="8" t="s">
        <v>1375</v>
      </c>
      <c r="B713" s="9">
        <v>45747</v>
      </c>
      <c r="C713" s="8" t="s">
        <v>1427</v>
      </c>
      <c r="D713" s="8" t="s">
        <v>1428</v>
      </c>
      <c r="E713" s="8" t="s">
        <v>1429</v>
      </c>
      <c r="F713" s="17">
        <v>11611</v>
      </c>
      <c r="G713" s="11">
        <v>66.44</v>
      </c>
      <c r="H713" s="11">
        <v>771434.84</v>
      </c>
    </row>
    <row r="714" spans="1:8" x14ac:dyDescent="0.2">
      <c r="A714" s="8" t="s">
        <v>1375</v>
      </c>
      <c r="B714" s="9">
        <v>45747</v>
      </c>
      <c r="C714" s="8" t="s">
        <v>1430</v>
      </c>
      <c r="D714" s="8" t="s">
        <v>1431</v>
      </c>
      <c r="E714" s="8" t="s">
        <v>1432</v>
      </c>
      <c r="F714" s="17">
        <v>1216</v>
      </c>
      <c r="G714" s="11">
        <v>262.02999999999997</v>
      </c>
      <c r="H714" s="11">
        <v>318628.47999999998</v>
      </c>
    </row>
    <row r="715" spans="1:8" x14ac:dyDescent="0.2">
      <c r="A715" s="8" t="s">
        <v>1375</v>
      </c>
      <c r="B715" s="9">
        <v>45747</v>
      </c>
      <c r="C715" s="8" t="s">
        <v>1075</v>
      </c>
      <c r="D715" s="8" t="s">
        <v>1076</v>
      </c>
      <c r="E715" s="8" t="s">
        <v>1077</v>
      </c>
      <c r="F715" s="17">
        <v>1760</v>
      </c>
      <c r="G715" s="11">
        <v>227.55</v>
      </c>
      <c r="H715" s="11">
        <v>400488</v>
      </c>
    </row>
    <row r="716" spans="1:8" x14ac:dyDescent="0.2">
      <c r="A716" s="8" t="s">
        <v>1375</v>
      </c>
      <c r="B716" s="9">
        <v>45747</v>
      </c>
      <c r="C716" s="8" t="s">
        <v>687</v>
      </c>
      <c r="D716" s="8" t="s">
        <v>688</v>
      </c>
      <c r="E716" s="8" t="s">
        <v>689</v>
      </c>
      <c r="F716" s="17">
        <v>20743</v>
      </c>
      <c r="G716" s="11">
        <v>27.13</v>
      </c>
      <c r="H716" s="11">
        <v>562757.59</v>
      </c>
    </row>
    <row r="717" spans="1:8" x14ac:dyDescent="0.2">
      <c r="A717" s="8" t="s">
        <v>1375</v>
      </c>
      <c r="B717" s="9">
        <v>45747</v>
      </c>
      <c r="C717" s="8" t="s">
        <v>1433</v>
      </c>
      <c r="D717" s="8" t="s">
        <v>1434</v>
      </c>
      <c r="E717" s="8" t="s">
        <v>1435</v>
      </c>
      <c r="F717" s="17">
        <v>65700</v>
      </c>
      <c r="G717" s="11">
        <v>31.52</v>
      </c>
      <c r="H717" s="11">
        <v>2070864</v>
      </c>
    </row>
    <row r="718" spans="1:8" x14ac:dyDescent="0.2">
      <c r="A718" s="8" t="s">
        <v>1375</v>
      </c>
      <c r="B718" s="9">
        <v>45747</v>
      </c>
      <c r="C718" s="8" t="s">
        <v>1078</v>
      </c>
      <c r="D718" s="8" t="s">
        <v>1079</v>
      </c>
      <c r="E718" s="8" t="s">
        <v>1080</v>
      </c>
      <c r="F718" s="17">
        <v>2867</v>
      </c>
      <c r="G718" s="11">
        <v>60.55</v>
      </c>
      <c r="H718" s="11">
        <v>173596.85</v>
      </c>
    </row>
    <row r="719" spans="1:8" x14ac:dyDescent="0.2">
      <c r="A719" s="8" t="s">
        <v>1375</v>
      </c>
      <c r="B719" s="9">
        <v>45747</v>
      </c>
      <c r="C719" s="8" t="s">
        <v>696</v>
      </c>
      <c r="D719" s="8" t="s">
        <v>697</v>
      </c>
      <c r="E719" s="8" t="s">
        <v>698</v>
      </c>
      <c r="F719" s="17">
        <v>72702</v>
      </c>
      <c r="G719" s="11">
        <v>18.25</v>
      </c>
      <c r="H719" s="11">
        <v>1326811.5</v>
      </c>
    </row>
    <row r="720" spans="1:8" x14ac:dyDescent="0.2">
      <c r="A720" s="8" t="s">
        <v>1375</v>
      </c>
      <c r="B720" s="9">
        <v>45747</v>
      </c>
      <c r="C720" s="8" t="s">
        <v>1436</v>
      </c>
      <c r="D720" s="8" t="s">
        <v>1437</v>
      </c>
      <c r="E720" s="8" t="s">
        <v>1438</v>
      </c>
      <c r="F720" s="17">
        <v>1490</v>
      </c>
      <c r="G720" s="11">
        <v>135.21</v>
      </c>
      <c r="H720" s="11">
        <v>201462.9</v>
      </c>
    </row>
    <row r="721" spans="1:8" x14ac:dyDescent="0.2">
      <c r="A721" s="8" t="s">
        <v>1375</v>
      </c>
      <c r="B721" s="9">
        <v>45747</v>
      </c>
      <c r="C721" s="8" t="s">
        <v>699</v>
      </c>
      <c r="D721" s="8" t="s">
        <v>700</v>
      </c>
      <c r="E721" s="8" t="s">
        <v>701</v>
      </c>
      <c r="F721" s="17">
        <v>14804</v>
      </c>
      <c r="G721" s="11">
        <v>13.93</v>
      </c>
      <c r="H721" s="11">
        <v>206219.72</v>
      </c>
    </row>
    <row r="722" spans="1:8" x14ac:dyDescent="0.2">
      <c r="A722" s="8" t="s">
        <v>1375</v>
      </c>
      <c r="B722" s="9">
        <v>45747</v>
      </c>
      <c r="C722" s="8" t="s">
        <v>1442</v>
      </c>
      <c r="D722" s="8" t="s">
        <v>1443</v>
      </c>
      <c r="E722" s="8" t="s">
        <v>1444</v>
      </c>
      <c r="F722" s="17">
        <v>27202</v>
      </c>
      <c r="G722" s="11">
        <v>15.75</v>
      </c>
      <c r="H722" s="11">
        <v>428431.5</v>
      </c>
    </row>
    <row r="723" spans="1:8" x14ac:dyDescent="0.2">
      <c r="A723" s="8" t="s">
        <v>1375</v>
      </c>
      <c r="B723" s="9">
        <v>45747</v>
      </c>
      <c r="C723" s="8" t="s">
        <v>720</v>
      </c>
      <c r="D723" s="8" t="s">
        <v>721</v>
      </c>
      <c r="E723" s="8" t="s">
        <v>722</v>
      </c>
      <c r="F723" s="17">
        <v>6311</v>
      </c>
      <c r="G723" s="11">
        <v>142.22</v>
      </c>
      <c r="H723" s="11">
        <v>897550.42</v>
      </c>
    </row>
    <row r="724" spans="1:8" x14ac:dyDescent="0.2">
      <c r="A724" s="8" t="s">
        <v>1375</v>
      </c>
      <c r="B724" s="9">
        <v>45747</v>
      </c>
      <c r="C724" s="8" t="s">
        <v>1268</v>
      </c>
      <c r="D724" s="8" t="s">
        <v>1269</v>
      </c>
      <c r="E724" s="8" t="s">
        <v>1270</v>
      </c>
      <c r="F724" s="17">
        <v>13281</v>
      </c>
      <c r="G724" s="11">
        <v>71.62</v>
      </c>
      <c r="H724" s="11">
        <v>951185.22</v>
      </c>
    </row>
    <row r="725" spans="1:8" x14ac:dyDescent="0.2">
      <c r="A725" s="8" t="s">
        <v>1375</v>
      </c>
      <c r="B725" s="9">
        <v>45747</v>
      </c>
      <c r="C725" s="8" t="s">
        <v>1403</v>
      </c>
      <c r="D725" s="8" t="s">
        <v>1404</v>
      </c>
      <c r="E725" s="8" t="s">
        <v>1405</v>
      </c>
      <c r="F725" s="17">
        <v>7214</v>
      </c>
      <c r="G725" s="11">
        <v>91.29</v>
      </c>
      <c r="H725" s="11">
        <v>658566.06000000006</v>
      </c>
    </row>
    <row r="726" spans="1:8" x14ac:dyDescent="0.2">
      <c r="A726" s="8" t="s">
        <v>1375</v>
      </c>
      <c r="B726" s="9">
        <v>45747</v>
      </c>
      <c r="C726" s="8" t="s">
        <v>1445</v>
      </c>
      <c r="D726" s="8" t="s">
        <v>1446</v>
      </c>
      <c r="E726" s="8" t="s">
        <v>1447</v>
      </c>
      <c r="F726" s="17">
        <v>14511</v>
      </c>
      <c r="G726" s="11">
        <v>67.69</v>
      </c>
      <c r="H726" s="11">
        <v>982249.59</v>
      </c>
    </row>
    <row r="727" spans="1:8" x14ac:dyDescent="0.2">
      <c r="A727" s="8" t="s">
        <v>1375</v>
      </c>
      <c r="B727" s="9">
        <v>45747</v>
      </c>
      <c r="C727" s="8" t="s">
        <v>1105</v>
      </c>
      <c r="D727" s="8" t="s">
        <v>1106</v>
      </c>
      <c r="E727" s="8" t="s">
        <v>1107</v>
      </c>
      <c r="F727" s="17">
        <v>516</v>
      </c>
      <c r="G727" s="11">
        <v>825.91</v>
      </c>
      <c r="H727" s="11">
        <v>426169.56</v>
      </c>
    </row>
    <row r="728" spans="1:8" x14ac:dyDescent="0.2">
      <c r="A728" s="8" t="s">
        <v>1375</v>
      </c>
      <c r="B728" s="9">
        <v>45747</v>
      </c>
      <c r="C728" s="8" t="s">
        <v>726</v>
      </c>
      <c r="D728" s="8" t="s">
        <v>727</v>
      </c>
      <c r="E728" s="8" t="s">
        <v>728</v>
      </c>
      <c r="F728" s="17">
        <v>2883</v>
      </c>
      <c r="G728" s="11">
        <v>446.71</v>
      </c>
      <c r="H728" s="11">
        <v>1287864.93</v>
      </c>
    </row>
    <row r="729" spans="1:8" x14ac:dyDescent="0.2">
      <c r="A729" s="8" t="s">
        <v>1375</v>
      </c>
      <c r="B729" s="9">
        <v>45747</v>
      </c>
      <c r="C729" s="8" t="s">
        <v>1400</v>
      </c>
      <c r="D729" s="8" t="s">
        <v>1401</v>
      </c>
      <c r="E729" s="8" t="s">
        <v>1402</v>
      </c>
      <c r="F729" s="17">
        <v>4774</v>
      </c>
      <c r="G729" s="11">
        <v>231.4</v>
      </c>
      <c r="H729" s="11">
        <v>1104703.6000000001</v>
      </c>
    </row>
    <row r="730" spans="1:8" x14ac:dyDescent="0.2">
      <c r="A730" s="8" t="s">
        <v>1375</v>
      </c>
      <c r="B730" s="9">
        <v>45747</v>
      </c>
      <c r="C730" s="8" t="s">
        <v>196</v>
      </c>
      <c r="D730" s="8" t="s">
        <v>197</v>
      </c>
      <c r="E730" s="8" t="s">
        <v>198</v>
      </c>
      <c r="F730" s="17">
        <v>4974</v>
      </c>
      <c r="G730" s="11">
        <v>173.02</v>
      </c>
      <c r="H730" s="11">
        <v>860601.48</v>
      </c>
    </row>
    <row r="731" spans="1:8" x14ac:dyDescent="0.2">
      <c r="A731" s="8" t="s">
        <v>1375</v>
      </c>
      <c r="B731" s="9">
        <v>45747</v>
      </c>
      <c r="C731" s="8" t="s">
        <v>1328</v>
      </c>
      <c r="D731" s="8" t="s">
        <v>1329</v>
      </c>
      <c r="E731" s="8" t="s">
        <v>1330</v>
      </c>
      <c r="F731" s="17">
        <v>2463</v>
      </c>
      <c r="G731" s="11">
        <v>672.99</v>
      </c>
      <c r="H731" s="11">
        <v>1657574.37</v>
      </c>
    </row>
    <row r="732" spans="1:8" x14ac:dyDescent="0.2">
      <c r="A732" s="8" t="s">
        <v>1375</v>
      </c>
      <c r="B732" s="9">
        <v>45747</v>
      </c>
      <c r="C732" s="8" t="s">
        <v>1051</v>
      </c>
      <c r="D732" s="8" t="s">
        <v>1052</v>
      </c>
      <c r="E732" s="8" t="s">
        <v>1053</v>
      </c>
      <c r="F732" s="17">
        <v>628</v>
      </c>
      <c r="G732" s="11">
        <v>576.36</v>
      </c>
      <c r="H732" s="11">
        <v>361954.08</v>
      </c>
    </row>
    <row r="733" spans="1:8" x14ac:dyDescent="0.2">
      <c r="A733" s="8" t="s">
        <v>1375</v>
      </c>
      <c r="B733" s="9">
        <v>45747</v>
      </c>
      <c r="C733" s="8" t="s">
        <v>732</v>
      </c>
      <c r="D733" s="8" t="s">
        <v>733</v>
      </c>
      <c r="E733" s="8" t="s">
        <v>734</v>
      </c>
      <c r="F733" s="17">
        <v>17578</v>
      </c>
      <c r="G733" s="11">
        <v>31.15</v>
      </c>
      <c r="H733" s="11">
        <v>547554.69999999995</v>
      </c>
    </row>
    <row r="734" spans="1:8" x14ac:dyDescent="0.2">
      <c r="A734" s="8" t="s">
        <v>1375</v>
      </c>
      <c r="B734" s="9">
        <v>45747</v>
      </c>
      <c r="C734" s="8" t="s">
        <v>735</v>
      </c>
      <c r="D734" s="8" t="s">
        <v>736</v>
      </c>
      <c r="E734" s="8" t="s">
        <v>737</v>
      </c>
      <c r="F734" s="17">
        <v>22291</v>
      </c>
      <c r="G734" s="11">
        <v>89.76</v>
      </c>
      <c r="H734" s="11">
        <v>2000840.16</v>
      </c>
    </row>
    <row r="735" spans="1:8" x14ac:dyDescent="0.2">
      <c r="A735" s="8" t="s">
        <v>1375</v>
      </c>
      <c r="B735" s="9">
        <v>45747</v>
      </c>
      <c r="C735" s="8" t="s">
        <v>1123</v>
      </c>
      <c r="D735" s="8" t="s">
        <v>1124</v>
      </c>
      <c r="E735" s="8" t="s">
        <v>1125</v>
      </c>
      <c r="F735" s="17">
        <v>5712</v>
      </c>
      <c r="G735" s="11">
        <v>375.39</v>
      </c>
      <c r="H735" s="11">
        <v>2144227.6800000002</v>
      </c>
    </row>
    <row r="736" spans="1:8" x14ac:dyDescent="0.2">
      <c r="A736" s="8" t="s">
        <v>1375</v>
      </c>
      <c r="B736" s="9">
        <v>45747</v>
      </c>
      <c r="C736" s="8" t="s">
        <v>1132</v>
      </c>
      <c r="D736" s="8" t="s">
        <v>1133</v>
      </c>
      <c r="E736" s="8" t="s">
        <v>1134</v>
      </c>
      <c r="F736" s="17">
        <v>2855</v>
      </c>
      <c r="G736" s="11">
        <v>437.81</v>
      </c>
      <c r="H736" s="11">
        <v>1249947.55</v>
      </c>
    </row>
    <row r="737" spans="1:8" x14ac:dyDescent="0.2">
      <c r="A737" s="8" t="s">
        <v>1375</v>
      </c>
      <c r="B737" s="9">
        <v>45747</v>
      </c>
      <c r="C737" s="8" t="s">
        <v>1331</v>
      </c>
      <c r="D737" s="8" t="s">
        <v>1332</v>
      </c>
      <c r="E737" s="8" t="s">
        <v>1333</v>
      </c>
      <c r="F737" s="17">
        <v>1327</v>
      </c>
      <c r="G737" s="11">
        <v>110.6</v>
      </c>
      <c r="H737" s="11">
        <v>146766.20000000001</v>
      </c>
    </row>
    <row r="738" spans="1:8" x14ac:dyDescent="0.2">
      <c r="A738" s="8" t="s">
        <v>1375</v>
      </c>
      <c r="B738" s="9">
        <v>45747</v>
      </c>
      <c r="C738" s="8" t="s">
        <v>304</v>
      </c>
      <c r="D738" s="8" t="s">
        <v>305</v>
      </c>
      <c r="E738" s="8" t="s">
        <v>306</v>
      </c>
      <c r="F738" s="17">
        <v>26509</v>
      </c>
      <c r="G738" s="11">
        <v>79.19</v>
      </c>
      <c r="H738" s="11">
        <v>2099247.71</v>
      </c>
    </row>
    <row r="739" spans="1:8" x14ac:dyDescent="0.2">
      <c r="A739" s="8" t="s">
        <v>1375</v>
      </c>
      <c r="B739" s="9">
        <v>45747</v>
      </c>
      <c r="C739" s="8" t="s">
        <v>738</v>
      </c>
      <c r="D739" s="8" t="s">
        <v>739</v>
      </c>
      <c r="E739" s="8" t="s">
        <v>740</v>
      </c>
      <c r="F739" s="17">
        <v>16695</v>
      </c>
      <c r="G739" s="11">
        <v>65.61</v>
      </c>
      <c r="H739" s="11">
        <v>1095358.95</v>
      </c>
    </row>
    <row r="740" spans="1:8" x14ac:dyDescent="0.2">
      <c r="A740" s="8" t="s">
        <v>1375</v>
      </c>
      <c r="B740" s="9">
        <v>45747</v>
      </c>
      <c r="C740" s="8" t="s">
        <v>310</v>
      </c>
      <c r="D740" s="8" t="s">
        <v>311</v>
      </c>
      <c r="E740" s="8" t="s">
        <v>312</v>
      </c>
      <c r="F740" s="17">
        <v>14856</v>
      </c>
      <c r="G740" s="11">
        <v>49.06</v>
      </c>
      <c r="H740" s="11">
        <v>728835.36</v>
      </c>
    </row>
    <row r="741" spans="1:8" x14ac:dyDescent="0.2">
      <c r="A741" s="8" t="s">
        <v>1375</v>
      </c>
      <c r="B741" s="9">
        <v>45747</v>
      </c>
      <c r="C741" s="8" t="s">
        <v>759</v>
      </c>
      <c r="D741" s="8" t="s">
        <v>760</v>
      </c>
      <c r="E741" s="8" t="s">
        <v>761</v>
      </c>
      <c r="F741" s="17">
        <v>1380</v>
      </c>
      <c r="G741" s="11">
        <v>512.01</v>
      </c>
      <c r="H741" s="11">
        <v>706573.8</v>
      </c>
    </row>
    <row r="742" spans="1:8" x14ac:dyDescent="0.2">
      <c r="A742" s="8" t="s">
        <v>1375</v>
      </c>
      <c r="B742" s="9">
        <v>45747</v>
      </c>
      <c r="C742" s="8" t="s">
        <v>744</v>
      </c>
      <c r="D742" s="8" t="s">
        <v>745</v>
      </c>
      <c r="E742" s="8" t="s">
        <v>746</v>
      </c>
      <c r="F742" s="17">
        <v>19730</v>
      </c>
      <c r="G742" s="11">
        <v>24.15</v>
      </c>
      <c r="H742" s="11">
        <v>476479.5</v>
      </c>
    </row>
    <row r="743" spans="1:8" x14ac:dyDescent="0.2">
      <c r="A743" s="8" t="s">
        <v>1375</v>
      </c>
      <c r="B743" s="9">
        <v>45747</v>
      </c>
      <c r="C743" s="8" t="s">
        <v>1451</v>
      </c>
      <c r="D743" s="8" t="s">
        <v>1452</v>
      </c>
      <c r="E743" s="8" t="s">
        <v>1453</v>
      </c>
      <c r="F743" s="17">
        <v>7565</v>
      </c>
      <c r="G743" s="11">
        <v>69.44</v>
      </c>
      <c r="H743" s="11">
        <v>525313.6</v>
      </c>
    </row>
    <row r="744" spans="1:8" x14ac:dyDescent="0.2">
      <c r="A744" s="8" t="s">
        <v>1375</v>
      </c>
      <c r="B744" s="9">
        <v>45747</v>
      </c>
      <c r="C744" s="8" t="s">
        <v>1448</v>
      </c>
      <c r="D744" s="8" t="s">
        <v>1449</v>
      </c>
      <c r="E744" s="8" t="s">
        <v>1450</v>
      </c>
      <c r="F744" s="17">
        <v>3643</v>
      </c>
      <c r="G744" s="11">
        <v>49.6</v>
      </c>
      <c r="H744" s="11">
        <v>180692.8</v>
      </c>
    </row>
    <row r="745" spans="1:8" x14ac:dyDescent="0.2">
      <c r="A745" s="8" t="s">
        <v>1375</v>
      </c>
      <c r="B745" s="9">
        <v>45747</v>
      </c>
      <c r="C745" s="8" t="s">
        <v>1454</v>
      </c>
      <c r="D745" s="8" t="s">
        <v>1455</v>
      </c>
      <c r="E745" s="8" t="s">
        <v>1456</v>
      </c>
      <c r="F745" s="17">
        <v>20741</v>
      </c>
      <c r="G745" s="11">
        <v>45.96</v>
      </c>
      <c r="H745" s="11">
        <v>953256.36</v>
      </c>
    </row>
    <row r="746" spans="1:8" x14ac:dyDescent="0.2">
      <c r="A746" s="8" t="s">
        <v>1375</v>
      </c>
      <c r="B746" s="9">
        <v>45747</v>
      </c>
      <c r="C746" s="8" t="s">
        <v>780</v>
      </c>
      <c r="D746" s="8" t="s">
        <v>781</v>
      </c>
      <c r="E746" s="8" t="s">
        <v>782</v>
      </c>
      <c r="F746" s="17">
        <v>4053</v>
      </c>
      <c r="G746" s="11">
        <v>149.94</v>
      </c>
      <c r="H746" s="11">
        <v>607706.81999999995</v>
      </c>
    </row>
    <row r="747" spans="1:8" x14ac:dyDescent="0.2">
      <c r="A747" s="8" t="s">
        <v>1375</v>
      </c>
      <c r="B747" s="9">
        <v>45747</v>
      </c>
      <c r="C747" s="8" t="s">
        <v>1340</v>
      </c>
      <c r="D747" s="8" t="s">
        <v>1341</v>
      </c>
      <c r="E747" s="8" t="s">
        <v>1342</v>
      </c>
      <c r="F747" s="17">
        <v>2708</v>
      </c>
      <c r="G747" s="11">
        <v>170.42</v>
      </c>
      <c r="H747" s="11">
        <v>461497.36</v>
      </c>
    </row>
    <row r="748" spans="1:8" x14ac:dyDescent="0.2">
      <c r="A748" s="8" t="s">
        <v>1375</v>
      </c>
      <c r="B748" s="9">
        <v>45747</v>
      </c>
      <c r="C748" s="8" t="s">
        <v>1153</v>
      </c>
      <c r="D748" s="8" t="s">
        <v>1154</v>
      </c>
      <c r="E748" s="8" t="s">
        <v>1155</v>
      </c>
      <c r="F748" s="17">
        <v>3224</v>
      </c>
      <c r="G748" s="11">
        <v>283.01</v>
      </c>
      <c r="H748" s="11">
        <v>912424.24</v>
      </c>
    </row>
    <row r="749" spans="1:8" x14ac:dyDescent="0.2">
      <c r="A749" s="8" t="s">
        <v>1375</v>
      </c>
      <c r="B749" s="9">
        <v>45747</v>
      </c>
      <c r="C749" s="8" t="s">
        <v>777</v>
      </c>
      <c r="D749" s="8" t="s">
        <v>778</v>
      </c>
      <c r="E749" s="8" t="s">
        <v>779</v>
      </c>
      <c r="F749" s="17">
        <v>3191</v>
      </c>
      <c r="G749" s="11">
        <v>198.02</v>
      </c>
      <c r="H749" s="11">
        <v>631881.81999999995</v>
      </c>
    </row>
    <row r="750" spans="1:8" x14ac:dyDescent="0.2">
      <c r="A750" s="8" t="s">
        <v>1375</v>
      </c>
      <c r="B750" s="9">
        <v>45747</v>
      </c>
      <c r="C750" s="8" t="s">
        <v>774</v>
      </c>
      <c r="D750" s="8" t="s">
        <v>775</v>
      </c>
      <c r="E750" s="8" t="s">
        <v>776</v>
      </c>
      <c r="F750" s="17">
        <v>2901</v>
      </c>
      <c r="G750" s="11">
        <v>175.77</v>
      </c>
      <c r="H750" s="11">
        <v>509908.77</v>
      </c>
    </row>
    <row r="751" spans="1:8" x14ac:dyDescent="0.2">
      <c r="A751" s="8" t="s">
        <v>1375</v>
      </c>
      <c r="B751" s="9">
        <v>45747</v>
      </c>
      <c r="C751" s="8" t="s">
        <v>1460</v>
      </c>
      <c r="D751" s="8" t="s">
        <v>1461</v>
      </c>
      <c r="E751" s="8" t="s">
        <v>1462</v>
      </c>
      <c r="F751" s="17">
        <v>25336</v>
      </c>
      <c r="G751" s="11">
        <v>11.97</v>
      </c>
      <c r="H751" s="11">
        <v>303271.92</v>
      </c>
    </row>
    <row r="752" spans="1:8" x14ac:dyDescent="0.2">
      <c r="A752" s="8" t="s">
        <v>1375</v>
      </c>
      <c r="B752" s="9">
        <v>45747</v>
      </c>
      <c r="C752" s="8" t="s">
        <v>1406</v>
      </c>
      <c r="D752" s="8" t="s">
        <v>1407</v>
      </c>
      <c r="E752" s="8" t="s">
        <v>1408</v>
      </c>
      <c r="F752" s="17">
        <v>124911</v>
      </c>
      <c r="G752" s="11">
        <v>13.19</v>
      </c>
      <c r="H752" s="11">
        <v>1647576.09</v>
      </c>
    </row>
    <row r="753" spans="1:8" x14ac:dyDescent="0.2">
      <c r="A753" s="8" t="s">
        <v>1375</v>
      </c>
      <c r="B753" s="9">
        <v>45747</v>
      </c>
      <c r="C753" s="8" t="s">
        <v>792</v>
      </c>
      <c r="D753" s="8" t="s">
        <v>793</v>
      </c>
      <c r="E753" s="8" t="s">
        <v>794</v>
      </c>
      <c r="F753" s="17">
        <v>6967</v>
      </c>
      <c r="G753" s="11">
        <v>50.41</v>
      </c>
      <c r="H753" s="11">
        <v>351206.47</v>
      </c>
    </row>
    <row r="754" spans="1:8" x14ac:dyDescent="0.2">
      <c r="A754" s="8" t="s">
        <v>1375</v>
      </c>
      <c r="B754" s="9">
        <v>45747</v>
      </c>
      <c r="C754" s="8" t="s">
        <v>1463</v>
      </c>
      <c r="D754" s="8" t="s">
        <v>1464</v>
      </c>
      <c r="E754" s="8" t="s">
        <v>1465</v>
      </c>
      <c r="F754" s="17">
        <v>10143</v>
      </c>
      <c r="G754" s="11">
        <v>23.86</v>
      </c>
      <c r="H754" s="11">
        <v>242011.98</v>
      </c>
    </row>
    <row r="755" spans="1:8" x14ac:dyDescent="0.2">
      <c r="A755" s="8" t="s">
        <v>1375</v>
      </c>
      <c r="B755" s="9">
        <v>45747</v>
      </c>
      <c r="C755" s="8" t="s">
        <v>795</v>
      </c>
      <c r="D755" s="8" t="s">
        <v>796</v>
      </c>
      <c r="E755" s="8" t="s">
        <v>797</v>
      </c>
      <c r="F755" s="17">
        <v>3461</v>
      </c>
      <c r="G755" s="11">
        <v>60.08</v>
      </c>
      <c r="H755" s="11">
        <v>207936.88</v>
      </c>
    </row>
    <row r="756" spans="1:8" x14ac:dyDescent="0.2">
      <c r="A756" s="8" t="s">
        <v>1375</v>
      </c>
      <c r="B756" s="9">
        <v>45747</v>
      </c>
      <c r="C756" s="8" t="s">
        <v>1346</v>
      </c>
      <c r="D756" s="8" t="s">
        <v>1347</v>
      </c>
      <c r="E756" s="8" t="s">
        <v>1348</v>
      </c>
      <c r="F756" s="17">
        <v>5557</v>
      </c>
      <c r="G756" s="11">
        <v>242.16</v>
      </c>
      <c r="H756" s="11">
        <v>1345683.12</v>
      </c>
    </row>
    <row r="757" spans="1:8" x14ac:dyDescent="0.2">
      <c r="A757" s="8" t="s">
        <v>1375</v>
      </c>
      <c r="B757" s="9">
        <v>45747</v>
      </c>
      <c r="C757" s="8" t="s">
        <v>801</v>
      </c>
      <c r="D757" s="8" t="s">
        <v>802</v>
      </c>
      <c r="E757" s="8" t="s">
        <v>803</v>
      </c>
      <c r="F757" s="17">
        <v>20298</v>
      </c>
      <c r="G757" s="11">
        <v>112.72</v>
      </c>
      <c r="H757" s="11">
        <v>2287990.56</v>
      </c>
    </row>
    <row r="758" spans="1:8" x14ac:dyDescent="0.2">
      <c r="A758" s="8" t="s">
        <v>1375</v>
      </c>
      <c r="B758" s="9">
        <v>45747</v>
      </c>
      <c r="C758" s="8" t="s">
        <v>1466</v>
      </c>
      <c r="D758" s="8" t="s">
        <v>1467</v>
      </c>
      <c r="E758" s="8" t="s">
        <v>1468</v>
      </c>
      <c r="F758" s="17">
        <v>6048</v>
      </c>
      <c r="G758" s="11">
        <v>268.44</v>
      </c>
      <c r="H758" s="11">
        <v>1623525.12</v>
      </c>
    </row>
    <row r="759" spans="1:8" x14ac:dyDescent="0.2">
      <c r="A759" s="8" t="s">
        <v>1375</v>
      </c>
      <c r="B759" s="9">
        <v>45747</v>
      </c>
      <c r="C759" s="8" t="s">
        <v>822</v>
      </c>
      <c r="D759" s="8" t="s">
        <v>823</v>
      </c>
      <c r="E759" s="8" t="s">
        <v>824</v>
      </c>
      <c r="F759" s="17">
        <v>80153</v>
      </c>
      <c r="G759" s="11">
        <v>15.46</v>
      </c>
      <c r="H759" s="11">
        <v>1239165.3799999999</v>
      </c>
    </row>
    <row r="760" spans="1:8" x14ac:dyDescent="0.2">
      <c r="A760" s="8" t="s">
        <v>1375</v>
      </c>
      <c r="B760" s="9">
        <v>45747</v>
      </c>
      <c r="C760" s="8" t="s">
        <v>552</v>
      </c>
      <c r="D760" s="8" t="s">
        <v>553</v>
      </c>
      <c r="E760" s="8" t="s">
        <v>554</v>
      </c>
      <c r="F760" s="17">
        <v>20974</v>
      </c>
      <c r="G760" s="11">
        <v>28.28</v>
      </c>
      <c r="H760" s="11">
        <v>593144.72</v>
      </c>
    </row>
    <row r="761" spans="1:8" x14ac:dyDescent="0.2">
      <c r="A761" s="8" t="s">
        <v>1375</v>
      </c>
      <c r="B761" s="9">
        <v>45747</v>
      </c>
      <c r="C761" s="8" t="s">
        <v>825</v>
      </c>
      <c r="D761" s="8" t="s">
        <v>826</v>
      </c>
      <c r="E761" s="8" t="s">
        <v>827</v>
      </c>
      <c r="F761" s="17">
        <v>208983</v>
      </c>
      <c r="G761" s="11">
        <v>14.87</v>
      </c>
      <c r="H761" s="11">
        <v>3107577.21</v>
      </c>
    </row>
    <row r="762" spans="1:8" x14ac:dyDescent="0.2">
      <c r="A762" s="8" t="s">
        <v>1375</v>
      </c>
      <c r="B762" s="9">
        <v>45747</v>
      </c>
      <c r="C762" s="8" t="s">
        <v>445</v>
      </c>
      <c r="D762" s="8" t="s">
        <v>446</v>
      </c>
      <c r="E762" s="8" t="s">
        <v>447</v>
      </c>
      <c r="F762" s="17">
        <v>13846</v>
      </c>
      <c r="G762" s="11">
        <v>34.979999999999997</v>
      </c>
      <c r="H762" s="11">
        <v>484333.08</v>
      </c>
    </row>
    <row r="763" spans="1:8" x14ac:dyDescent="0.2">
      <c r="A763" s="8" t="s">
        <v>1375</v>
      </c>
      <c r="B763" s="9">
        <v>45747</v>
      </c>
      <c r="C763" s="8" t="s">
        <v>1478</v>
      </c>
      <c r="D763" s="8" t="s">
        <v>1479</v>
      </c>
      <c r="E763" s="8" t="s">
        <v>1480</v>
      </c>
      <c r="F763" s="17">
        <v>19982</v>
      </c>
      <c r="G763" s="11">
        <v>23.81</v>
      </c>
      <c r="H763" s="11">
        <v>475771.42</v>
      </c>
    </row>
    <row r="764" spans="1:8" x14ac:dyDescent="0.2">
      <c r="A764" s="8" t="s">
        <v>1375</v>
      </c>
      <c r="B764" s="9">
        <v>45747</v>
      </c>
      <c r="C764" s="8" t="s">
        <v>1481</v>
      </c>
      <c r="D764" s="8" t="s">
        <v>1482</v>
      </c>
      <c r="E764" s="8" t="s">
        <v>1483</v>
      </c>
      <c r="F764" s="17">
        <v>43211</v>
      </c>
      <c r="G764" s="11">
        <v>15.65</v>
      </c>
      <c r="H764" s="11">
        <v>676252.15</v>
      </c>
    </row>
    <row r="765" spans="1:8" x14ac:dyDescent="0.2">
      <c r="A765" s="8" t="s">
        <v>1375</v>
      </c>
      <c r="B765" s="9">
        <v>45747</v>
      </c>
      <c r="C765" s="8" t="s">
        <v>1457</v>
      </c>
      <c r="D765" s="8" t="s">
        <v>1458</v>
      </c>
      <c r="E765" s="8" t="s">
        <v>1459</v>
      </c>
      <c r="F765" s="17">
        <v>21282</v>
      </c>
      <c r="G765" s="11">
        <v>14.77</v>
      </c>
      <c r="H765" s="11">
        <v>314335.14</v>
      </c>
    </row>
    <row r="766" spans="1:8" x14ac:dyDescent="0.2">
      <c r="A766" s="8" t="s">
        <v>1375</v>
      </c>
      <c r="B766" s="9">
        <v>45747</v>
      </c>
      <c r="C766" s="8" t="s">
        <v>1469</v>
      </c>
      <c r="D766" s="8" t="s">
        <v>1470</v>
      </c>
      <c r="E766" s="8" t="s">
        <v>1471</v>
      </c>
      <c r="F766" s="17">
        <v>6964</v>
      </c>
      <c r="G766" s="11">
        <v>266.70999999999998</v>
      </c>
      <c r="H766" s="11">
        <v>1857368.44</v>
      </c>
    </row>
    <row r="767" spans="1:8" x14ac:dyDescent="0.2">
      <c r="A767" s="8" t="s">
        <v>1375</v>
      </c>
      <c r="B767" s="9">
        <v>45747</v>
      </c>
      <c r="C767" s="8" t="s">
        <v>831</v>
      </c>
      <c r="D767" s="8" t="s">
        <v>832</v>
      </c>
      <c r="E767" s="8" t="s">
        <v>833</v>
      </c>
      <c r="F767" s="17">
        <v>3030</v>
      </c>
      <c r="G767" s="11">
        <v>200.47</v>
      </c>
      <c r="H767" s="11">
        <v>607424.1</v>
      </c>
    </row>
    <row r="768" spans="1:8" x14ac:dyDescent="0.2">
      <c r="A768" s="8" t="s">
        <v>1375</v>
      </c>
      <c r="B768" s="9">
        <v>45747</v>
      </c>
      <c r="C768" s="8" t="s">
        <v>1472</v>
      </c>
      <c r="D768" s="8" t="s">
        <v>1473</v>
      </c>
      <c r="E768" s="8" t="s">
        <v>1474</v>
      </c>
      <c r="F768" s="17">
        <v>10048</v>
      </c>
      <c r="G768" s="11">
        <v>166</v>
      </c>
      <c r="H768" s="11">
        <v>1667968</v>
      </c>
    </row>
    <row r="769" spans="1:11" x14ac:dyDescent="0.2">
      <c r="A769" s="8" t="s">
        <v>1375</v>
      </c>
      <c r="B769" s="9">
        <v>45747</v>
      </c>
      <c r="C769" s="8" t="s">
        <v>834</v>
      </c>
      <c r="D769" s="8" t="s">
        <v>835</v>
      </c>
      <c r="E769" s="8" t="s">
        <v>836</v>
      </c>
      <c r="F769" s="17">
        <v>34923</v>
      </c>
      <c r="G769" s="11">
        <v>63.81</v>
      </c>
      <c r="H769" s="11">
        <v>2228436.63</v>
      </c>
    </row>
    <row r="770" spans="1:11" x14ac:dyDescent="0.2">
      <c r="A770" s="8" t="s">
        <v>1375</v>
      </c>
      <c r="B770" s="9">
        <v>45747</v>
      </c>
      <c r="C770" s="8" t="s">
        <v>1204</v>
      </c>
      <c r="D770" s="8" t="s">
        <v>1205</v>
      </c>
      <c r="E770" s="8" t="s">
        <v>1206</v>
      </c>
      <c r="F770" s="17">
        <v>9106</v>
      </c>
      <c r="G770" s="11">
        <v>187.9</v>
      </c>
      <c r="H770" s="11">
        <v>1711017.4</v>
      </c>
    </row>
    <row r="771" spans="1:11" x14ac:dyDescent="0.2">
      <c r="A771" s="8" t="s">
        <v>1375</v>
      </c>
      <c r="B771" s="9">
        <v>45747</v>
      </c>
      <c r="C771" s="8" t="s">
        <v>843</v>
      </c>
      <c r="D771" s="8" t="s">
        <v>844</v>
      </c>
      <c r="E771" s="8" t="s">
        <v>845</v>
      </c>
      <c r="F771" s="17">
        <v>2273</v>
      </c>
      <c r="G771" s="11">
        <v>236.24</v>
      </c>
      <c r="H771" s="11">
        <v>536973.52</v>
      </c>
    </row>
    <row r="772" spans="1:11" x14ac:dyDescent="0.2">
      <c r="A772" s="8" t="s">
        <v>1375</v>
      </c>
      <c r="B772" s="9">
        <v>45747</v>
      </c>
      <c r="C772" s="8" t="s">
        <v>846</v>
      </c>
      <c r="D772" s="8" t="s">
        <v>847</v>
      </c>
      <c r="E772" s="8" t="s">
        <v>848</v>
      </c>
      <c r="F772" s="17">
        <v>3707</v>
      </c>
      <c r="G772" s="11">
        <v>56.295499999999997</v>
      </c>
      <c r="H772" s="11">
        <v>208687.42</v>
      </c>
    </row>
    <row r="773" spans="1:11" x14ac:dyDescent="0.2">
      <c r="A773" s="8" t="s">
        <v>1375</v>
      </c>
      <c r="B773" s="9">
        <v>45747</v>
      </c>
      <c r="C773" s="8" t="s">
        <v>855</v>
      </c>
      <c r="D773" s="8" t="s">
        <v>856</v>
      </c>
      <c r="E773" s="8" t="s">
        <v>857</v>
      </c>
      <c r="F773" s="17">
        <v>6515</v>
      </c>
      <c r="G773" s="11">
        <v>26.76</v>
      </c>
      <c r="H773" s="11">
        <v>174341.4</v>
      </c>
    </row>
    <row r="774" spans="1:11" x14ac:dyDescent="0.2">
      <c r="A774" s="8" t="s">
        <v>1375</v>
      </c>
      <c r="B774" s="9">
        <v>45747</v>
      </c>
      <c r="C774" s="8" t="s">
        <v>1355</v>
      </c>
      <c r="D774" s="8" t="s">
        <v>1356</v>
      </c>
      <c r="E774" s="8" t="s">
        <v>1357</v>
      </c>
      <c r="F774" s="17">
        <v>7117</v>
      </c>
      <c r="G774" s="11">
        <v>308.27</v>
      </c>
      <c r="H774" s="11">
        <v>2193957.59</v>
      </c>
    </row>
    <row r="775" spans="1:11" x14ac:dyDescent="0.2">
      <c r="A775" s="8" t="s">
        <v>1375</v>
      </c>
      <c r="B775" s="9">
        <v>45747</v>
      </c>
      <c r="C775" s="8" t="s">
        <v>1484</v>
      </c>
      <c r="D775" s="8" t="s">
        <v>1485</v>
      </c>
      <c r="E775" s="8" t="s">
        <v>1486</v>
      </c>
      <c r="F775" s="17">
        <v>46489</v>
      </c>
      <c r="G775" s="11">
        <v>15.68</v>
      </c>
      <c r="H775" s="11">
        <v>728947.52</v>
      </c>
    </row>
    <row r="776" spans="1:11" x14ac:dyDescent="0.2">
      <c r="A776" s="8" t="s">
        <v>1375</v>
      </c>
      <c r="B776" s="9">
        <v>45747</v>
      </c>
      <c r="C776" s="8" t="s">
        <v>1475</v>
      </c>
      <c r="D776" s="8" t="s">
        <v>1476</v>
      </c>
      <c r="E776" s="8" t="s">
        <v>1477</v>
      </c>
      <c r="F776" s="17">
        <v>126536</v>
      </c>
      <c r="G776" s="11">
        <v>8.7200000000000006</v>
      </c>
      <c r="H776" s="11">
        <v>1103393.92</v>
      </c>
    </row>
    <row r="777" spans="1:11" x14ac:dyDescent="0.2">
      <c r="A777" s="8" t="s">
        <v>1375</v>
      </c>
      <c r="B777" s="9">
        <v>45747</v>
      </c>
      <c r="C777" s="8" t="s">
        <v>1361</v>
      </c>
      <c r="D777" s="8" t="s">
        <v>1362</v>
      </c>
      <c r="E777" s="8" t="s">
        <v>1363</v>
      </c>
      <c r="F777" s="17">
        <v>2143</v>
      </c>
      <c r="G777" s="11">
        <v>253.87</v>
      </c>
      <c r="H777" s="11">
        <v>544043.41</v>
      </c>
    </row>
    <row r="778" spans="1:11" x14ac:dyDescent="0.2">
      <c r="A778" s="8" t="s">
        <v>1375</v>
      </c>
      <c r="B778" s="9">
        <v>45747</v>
      </c>
      <c r="C778" s="8" t="s">
        <v>1219</v>
      </c>
      <c r="D778" s="8" t="s">
        <v>1220</v>
      </c>
      <c r="E778" s="8" t="s">
        <v>1221</v>
      </c>
      <c r="F778" s="17">
        <v>4140</v>
      </c>
      <c r="G778" s="11">
        <v>153.21</v>
      </c>
      <c r="H778" s="11">
        <v>634289.4</v>
      </c>
    </row>
    <row r="779" spans="1:11" x14ac:dyDescent="0.2">
      <c r="A779" s="8" t="s">
        <v>1375</v>
      </c>
      <c r="B779" s="9">
        <v>45747</v>
      </c>
      <c r="C779" s="8" t="s">
        <v>1487</v>
      </c>
      <c r="D779" s="8" t="s">
        <v>1488</v>
      </c>
      <c r="E779" s="8" t="s">
        <v>1489</v>
      </c>
      <c r="F779" s="17">
        <v>309816</v>
      </c>
      <c r="G779" s="11">
        <v>3.06</v>
      </c>
      <c r="H779" s="11">
        <v>948036.96</v>
      </c>
    </row>
    <row r="780" spans="1:11" x14ac:dyDescent="0.2">
      <c r="A780" s="8" t="s">
        <v>1375</v>
      </c>
      <c r="B780" s="9">
        <v>45747</v>
      </c>
      <c r="C780" s="8" t="s">
        <v>1364</v>
      </c>
      <c r="D780" s="8" t="s">
        <v>1365</v>
      </c>
      <c r="E780" s="8" t="s">
        <v>1366</v>
      </c>
      <c r="F780" s="17">
        <v>9980</v>
      </c>
      <c r="G780" s="11">
        <v>231.51</v>
      </c>
      <c r="H780" s="11">
        <v>2310469.7999999998</v>
      </c>
    </row>
    <row r="781" spans="1:11" x14ac:dyDescent="0.2">
      <c r="A781" s="8" t="s">
        <v>1375</v>
      </c>
      <c r="B781" s="9">
        <v>45747</v>
      </c>
      <c r="C781" s="8" t="s">
        <v>1216</v>
      </c>
      <c r="D781" s="8" t="s">
        <v>1217</v>
      </c>
      <c r="E781" s="8" t="s">
        <v>1218</v>
      </c>
      <c r="F781" s="17">
        <v>7288</v>
      </c>
      <c r="G781" s="11">
        <v>87.79</v>
      </c>
      <c r="H781" s="11">
        <v>639813.52</v>
      </c>
      <c r="I781" s="15">
        <f>SUM(H677:H781)</f>
        <v>93344477.769999996</v>
      </c>
      <c r="J781" s="15"/>
      <c r="K781" s="15"/>
    </row>
    <row r="782" spans="1:11" x14ac:dyDescent="0.2">
      <c r="K782" s="19"/>
    </row>
  </sheetData>
  <sortState xmlns:xlrd2="http://schemas.microsoft.com/office/spreadsheetml/2017/richdata2" ref="A189:H411">
    <sortCondition ref="C189:C411"/>
    <sortCondition ref="A189:A411"/>
  </sortState>
  <pageMargins left="0.5" right="0" top="0.25" bottom="0.554170078740158" header="0.25" footer="0.25"/>
  <pageSetup orientation="landscape" horizontalDpi="300" verticalDpi="300"/>
  <headerFooter alignWithMargins="0">
    <oddFooter>&amp;L&amp;"Calibri,Regular"&amp;9 HOLDINGS - DETAIL 
&amp;"-,Regular"&amp;8 Page 1 of 1 
&amp;"-,Regular"Run Date : 04/01/2025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- Detail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Thawley</cp:lastModifiedBy>
  <dcterms:created xsi:type="dcterms:W3CDTF">2025-04-09T22:26:19Z</dcterms:created>
  <dcterms:modified xsi:type="dcterms:W3CDTF">2025-04-09T22:26:19Z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