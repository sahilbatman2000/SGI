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SGI/AUM Report/"/>
    </mc:Choice>
  </mc:AlternateContent>
  <xr:revisionPtr revIDLastSave="0" documentId="13_ncr:1_{2909FC87-1753-6149-818D-196D41606BDD}" xr6:coauthVersionLast="47" xr6:coauthVersionMax="47" xr10:uidLastSave="{00000000-0000-0000-0000-000000000000}"/>
  <bookViews>
    <workbookView xWindow="0" yWindow="500" windowWidth="28800" windowHeight="17500" tabRatio="830" activeTab="1" xr2:uid="{00000000-000D-0000-FFFF-FFFF00000000}"/>
  </bookViews>
  <sheets>
    <sheet name="AUM" sheetId="4" r:id="rId1"/>
    <sheet name="Strategy&amp;Account" sheetId="23" r:id="rId2"/>
    <sheet name="SILVX" sheetId="3" r:id="rId3"/>
    <sheet name="SGLIX" sheetId="18" r:id="rId4"/>
    <sheet name="BOGIX" sheetId="30" r:id="rId5"/>
    <sheet name="FoF" sheetId="28" r:id="rId6"/>
    <sheet name="DYTA" sheetId="34" r:id="rId7"/>
    <sheet name="SGLC" sheetId="35" r:id="rId8"/>
    <sheet name="GINX" sheetId="39" r:id="rId9"/>
    <sheet name="USDX" sheetId="40" r:id="rId10"/>
    <sheet name="QXQ" sheetId="42" r:id="rId11"/>
    <sheet name="LDRX" sheetId="43" r:id="rId12"/>
    <sheet name="HF" sheetId="29" r:id="rId13"/>
    <sheet name="IB" sheetId="33" r:id="rId14"/>
    <sheet name="Schwab" sheetId="9" r:id="rId15"/>
    <sheet name="Fidelity" sheetId="2" r:id="rId16"/>
    <sheet name="Empower" sheetId="32" r:id="rId17"/>
    <sheet name="TFA - Folio" sheetId="1" r:id="rId18"/>
    <sheet name="UNC" sheetId="15" r:id="rId19"/>
    <sheet name="Schwab LC" sheetId="24" r:id="rId20"/>
    <sheet name="AA Models" sheetId="31" r:id="rId21"/>
    <sheet name="NC State" sheetId="25" r:id="rId22"/>
    <sheet name="Holiday Oil" sheetId="22" r:id="rId23"/>
    <sheet name="SCLVX" sheetId="17" r:id="rId24"/>
    <sheet name="Stifel" sheetId="12" r:id="rId25"/>
    <sheet name="TDA" sheetId="10" r:id="rId26"/>
    <sheet name="Asbestos" sheetId="26" r:id="rId27"/>
    <sheet name="TUG" sheetId="27" r:id="rId28"/>
    <sheet name="Cline" sheetId="20" r:id="rId29"/>
    <sheet name="Prudential" sheetId="11" r:id="rId30"/>
    <sheet name="LACERA" sheetId="19" r:id="rId31"/>
    <sheet name="Folio" sheetId="14" r:id="rId32"/>
    <sheet name="2017 Summary" sheetId="21" r:id="rId33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35" l="1"/>
  <c r="B32" i="35"/>
  <c r="L65" i="28" l="1"/>
  <c r="L64" i="28"/>
  <c r="B65" i="28"/>
  <c r="B64" i="28"/>
  <c r="B56" i="30"/>
  <c r="B55" i="30"/>
  <c r="B107" i="18"/>
  <c r="B106" i="18"/>
  <c r="B162" i="3"/>
  <c r="B161" i="3"/>
  <c r="B17" i="42"/>
  <c r="B16" i="42"/>
  <c r="B21" i="39"/>
  <c r="B20" i="39"/>
  <c r="B21" i="40"/>
  <c r="B20" i="40"/>
  <c r="B32" i="34"/>
  <c r="B31" i="34"/>
  <c r="L120" i="23"/>
  <c r="L119" i="23"/>
  <c r="L118" i="23"/>
  <c r="L117" i="23"/>
  <c r="L116" i="23"/>
  <c r="L115" i="23"/>
  <c r="L114" i="23"/>
  <c r="L113" i="23"/>
  <c r="L112" i="23"/>
  <c r="L111" i="23"/>
  <c r="L121" i="23"/>
  <c r="L122" i="23"/>
  <c r="L134" i="23"/>
  <c r="L133" i="23"/>
  <c r="L132" i="23"/>
  <c r="L131" i="23"/>
  <c r="L130" i="23"/>
  <c r="L129" i="23"/>
  <c r="L128" i="23"/>
  <c r="L127" i="23"/>
  <c r="L126" i="23"/>
  <c r="L125" i="23"/>
  <c r="L124" i="23"/>
  <c r="L123" i="23"/>
  <c r="L135" i="23"/>
  <c r="L139" i="23"/>
  <c r="L138" i="23"/>
  <c r="L137" i="23"/>
  <c r="L136" i="23"/>
  <c r="L151" i="23"/>
  <c r="L150" i="23"/>
  <c r="L148" i="23"/>
  <c r="L147" i="23"/>
  <c r="L146" i="23"/>
  <c r="L145" i="23"/>
  <c r="L144" i="23"/>
  <c r="L143" i="23"/>
  <c r="L142" i="23"/>
  <c r="L141" i="23"/>
  <c r="L140" i="23"/>
  <c r="L152" i="23"/>
  <c r="BD152" i="23"/>
  <c r="BC152" i="23"/>
  <c r="BB152" i="23"/>
  <c r="BA152" i="23"/>
  <c r="BF152" i="23"/>
  <c r="BE152" i="23"/>
  <c r="M152" i="23"/>
  <c r="K152" i="23"/>
  <c r="J152" i="23"/>
  <c r="M151" i="23"/>
  <c r="K151" i="23"/>
  <c r="J151" i="23"/>
  <c r="M150" i="23"/>
  <c r="K150" i="23"/>
  <c r="J150" i="23"/>
  <c r="G115" i="15"/>
  <c r="F115" i="15"/>
  <c r="S44" i="33" l="1"/>
  <c r="R44" i="33"/>
  <c r="D112" i="24" l="1"/>
  <c r="T147" i="9"/>
  <c r="S147" i="9"/>
  <c r="R147" i="9"/>
  <c r="I152" i="23"/>
  <c r="H152" i="23"/>
  <c r="BC150" i="23"/>
  <c r="BD150" i="23"/>
  <c r="BE150" i="23"/>
  <c r="BF150" i="23"/>
  <c r="BC151" i="23"/>
  <c r="BD151" i="23"/>
  <c r="BE151" i="23"/>
  <c r="BF151" i="23"/>
  <c r="BA150" i="23"/>
  <c r="BB150" i="23"/>
  <c r="BA151" i="23"/>
  <c r="BB151" i="23"/>
  <c r="D18" i="40"/>
  <c r="E18" i="40" l="1"/>
  <c r="F18" i="40" s="1"/>
  <c r="D29" i="35" l="1"/>
  <c r="E29" i="35" s="1"/>
  <c r="F29" i="35" s="1"/>
  <c r="J29" i="34"/>
  <c r="E29" i="34"/>
  <c r="F29" i="34" s="1"/>
  <c r="D29" i="34"/>
  <c r="AC62" i="28"/>
  <c r="AB62" i="28"/>
  <c r="AD62" i="28" s="1"/>
  <c r="D53" i="30"/>
  <c r="E53" i="30" s="1"/>
  <c r="F53" i="30" s="1"/>
  <c r="D104" i="18"/>
  <c r="E104" i="18" s="1"/>
  <c r="F104" i="18" s="1"/>
  <c r="D159" i="3"/>
  <c r="E159" i="3" l="1"/>
  <c r="F159" i="3" s="1"/>
  <c r="P152" i="2" l="1"/>
  <c r="B145" i="23" l="1"/>
  <c r="B144" i="23"/>
  <c r="B143" i="23"/>
  <c r="B142" i="23"/>
  <c r="B141" i="23"/>
  <c r="B140" i="23"/>
  <c r="B139" i="23"/>
  <c r="B138" i="23"/>
  <c r="B137" i="23"/>
  <c r="B136" i="23"/>
  <c r="B135" i="23"/>
  <c r="B134" i="23"/>
  <c r="B133" i="23"/>
  <c r="B132" i="23"/>
  <c r="B131" i="23"/>
  <c r="B130" i="23"/>
  <c r="B129" i="23"/>
  <c r="B128" i="23"/>
  <c r="B127" i="23"/>
  <c r="B126" i="23"/>
  <c r="B125" i="23"/>
  <c r="B124" i="23"/>
  <c r="B123" i="23"/>
  <c r="B122" i="23"/>
  <c r="B146" i="23"/>
  <c r="B147" i="23"/>
  <c r="B148" i="23"/>
  <c r="B150" i="23"/>
  <c r="B151" i="23"/>
  <c r="BH152" i="23" l="1"/>
  <c r="BG152" i="23"/>
  <c r="BJ152" i="23" l="1"/>
  <c r="BI152" i="23"/>
  <c r="AQ152" i="23"/>
  <c r="AR151" i="23"/>
  <c r="AQ151" i="23"/>
  <c r="AR150" i="23"/>
  <c r="AQ150" i="23"/>
  <c r="D4" i="24" l="1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49" i="24"/>
  <c r="D50" i="24"/>
  <c r="D51" i="24"/>
  <c r="D52" i="24"/>
  <c r="D53" i="24"/>
  <c r="D54" i="24"/>
  <c r="D55" i="24"/>
  <c r="D56" i="24"/>
  <c r="D57" i="24"/>
  <c r="D58" i="24"/>
  <c r="D59" i="24"/>
  <c r="D60" i="24"/>
  <c r="D61" i="24"/>
  <c r="D62" i="24"/>
  <c r="D63" i="24"/>
  <c r="D64" i="24"/>
  <c r="D65" i="24"/>
  <c r="D66" i="24"/>
  <c r="D67" i="24"/>
  <c r="D68" i="24"/>
  <c r="D69" i="24"/>
  <c r="D70" i="24"/>
  <c r="D71" i="24"/>
  <c r="D72" i="24"/>
  <c r="D73" i="24"/>
  <c r="D74" i="24"/>
  <c r="D75" i="24"/>
  <c r="D76" i="24"/>
  <c r="D77" i="24"/>
  <c r="D78" i="24"/>
  <c r="D79" i="24"/>
  <c r="D80" i="24"/>
  <c r="D81" i="24"/>
  <c r="D82" i="24"/>
  <c r="D83" i="24"/>
  <c r="D84" i="24"/>
  <c r="D85" i="24"/>
  <c r="D86" i="24"/>
  <c r="D87" i="24"/>
  <c r="D88" i="24"/>
  <c r="D89" i="24"/>
  <c r="D90" i="24"/>
  <c r="D91" i="24"/>
  <c r="D92" i="24"/>
  <c r="D93" i="24"/>
  <c r="D94" i="24"/>
  <c r="D95" i="24"/>
  <c r="D96" i="24"/>
  <c r="D97" i="24"/>
  <c r="D98" i="24"/>
  <c r="D99" i="24"/>
  <c r="D100" i="24"/>
  <c r="D101" i="24"/>
  <c r="D102" i="24"/>
  <c r="D103" i="24"/>
  <c r="D104" i="24"/>
  <c r="D105" i="24"/>
  <c r="D106" i="24"/>
  <c r="D107" i="24"/>
  <c r="D108" i="24"/>
  <c r="D109" i="24"/>
  <c r="D110" i="24"/>
  <c r="D111" i="24"/>
  <c r="D3" i="24"/>
  <c r="D2" i="24"/>
  <c r="AP152" i="23" l="1"/>
  <c r="AO152" i="23"/>
  <c r="AN152" i="23"/>
  <c r="AM152" i="23"/>
  <c r="AL152" i="23"/>
  <c r="AK152" i="23"/>
  <c r="AJ152" i="23"/>
  <c r="AI152" i="23"/>
  <c r="AL151" i="23"/>
  <c r="AK151" i="23"/>
  <c r="AJ151" i="23"/>
  <c r="AI151" i="23"/>
  <c r="AL150" i="23"/>
  <c r="AK150" i="23"/>
  <c r="AJ150" i="23"/>
  <c r="AI150" i="23"/>
  <c r="S43" i="33"/>
  <c r="R43" i="33"/>
  <c r="S42" i="33"/>
  <c r="R42" i="33"/>
  <c r="S140" i="9"/>
  <c r="S139" i="9"/>
  <c r="P148" i="2"/>
  <c r="P145" i="2"/>
  <c r="P147" i="2"/>
  <c r="G152" i="23" l="1"/>
  <c r="F152" i="23"/>
  <c r="G151" i="23"/>
  <c r="F151" i="23"/>
  <c r="G150" i="23"/>
  <c r="F150" i="23"/>
  <c r="BJ151" i="23"/>
  <c r="BI151" i="23"/>
  <c r="BH151" i="23"/>
  <c r="BG151" i="23"/>
  <c r="G114" i="15"/>
  <c r="F114" i="15"/>
  <c r="AH152" i="23"/>
  <c r="AG152" i="23"/>
  <c r="AH151" i="23"/>
  <c r="AG151" i="23"/>
  <c r="D18" i="39" l="1"/>
  <c r="E18" i="39" s="1"/>
  <c r="F18" i="39" s="1"/>
  <c r="D17" i="39"/>
  <c r="E17" i="39" s="1"/>
  <c r="F17" i="39" s="1"/>
  <c r="D16" i="39"/>
  <c r="E16" i="39" s="1"/>
  <c r="F16" i="39" s="1"/>
  <c r="D52" i="30"/>
  <c r="E52" i="30" s="1"/>
  <c r="F52" i="30" s="1"/>
  <c r="D103" i="18"/>
  <c r="E103" i="18" s="1"/>
  <c r="F103" i="18" s="1"/>
  <c r="D158" i="3"/>
  <c r="D28" i="35"/>
  <c r="E28" i="35" s="1"/>
  <c r="F28" i="35" s="1"/>
  <c r="D28" i="34"/>
  <c r="E28" i="34" s="1"/>
  <c r="F28" i="34" s="1"/>
  <c r="J28" i="34"/>
  <c r="AC61" i="28"/>
  <c r="AB61" i="28"/>
  <c r="AD61" i="28" s="1"/>
  <c r="U151" i="23" s="1"/>
  <c r="D17" i="40"/>
  <c r="AH150" i="23"/>
  <c r="AG150" i="23"/>
  <c r="AF152" i="23"/>
  <c r="AE152" i="23"/>
  <c r="AD152" i="23"/>
  <c r="AC152" i="23"/>
  <c r="AB152" i="23"/>
  <c r="AA152" i="23"/>
  <c r="AF151" i="23"/>
  <c r="AE151" i="23"/>
  <c r="AD151" i="23"/>
  <c r="AC151" i="23"/>
  <c r="AB151" i="23"/>
  <c r="AA151" i="23"/>
  <c r="AF150" i="23"/>
  <c r="AE150" i="23"/>
  <c r="AD150" i="23"/>
  <c r="AC150" i="23"/>
  <c r="AB150" i="23"/>
  <c r="AA150" i="23"/>
  <c r="D16" i="40"/>
  <c r="AC60" i="28"/>
  <c r="AB60" i="28"/>
  <c r="AD60" i="28" s="1"/>
  <c r="U150" i="23" s="1"/>
  <c r="V152" i="23"/>
  <c r="U152" i="23"/>
  <c r="V151" i="23"/>
  <c r="V150" i="23"/>
  <c r="Z152" i="23"/>
  <c r="Y152" i="23"/>
  <c r="X152" i="23"/>
  <c r="W152" i="23"/>
  <c r="Z151" i="23"/>
  <c r="Y151" i="23"/>
  <c r="X151" i="23"/>
  <c r="W151" i="23"/>
  <c r="Z150" i="23"/>
  <c r="Y150" i="23"/>
  <c r="X150" i="23"/>
  <c r="W150" i="23"/>
  <c r="T152" i="23"/>
  <c r="S152" i="23"/>
  <c r="R152" i="23"/>
  <c r="Q152" i="23"/>
  <c r="P152" i="23"/>
  <c r="E152" i="23" s="1"/>
  <c r="O152" i="23"/>
  <c r="T151" i="23"/>
  <c r="S151" i="23"/>
  <c r="R151" i="23"/>
  <c r="I151" i="23" s="1"/>
  <c r="Q151" i="23"/>
  <c r="H151" i="23" s="1"/>
  <c r="P151" i="23"/>
  <c r="E151" i="23" s="1"/>
  <c r="O151" i="23"/>
  <c r="T150" i="23"/>
  <c r="S150" i="23"/>
  <c r="R150" i="23"/>
  <c r="I150" i="23" s="1"/>
  <c r="Q150" i="23"/>
  <c r="H150" i="23" s="1"/>
  <c r="J27" i="34"/>
  <c r="D27" i="34"/>
  <c r="E27" i="34" s="1"/>
  <c r="F27" i="34" s="1"/>
  <c r="D27" i="35"/>
  <c r="E27" i="35" s="1"/>
  <c r="F27" i="35" s="1"/>
  <c r="D102" i="18"/>
  <c r="E102" i="18" s="1"/>
  <c r="F102" i="18" s="1"/>
  <c r="D51" i="30"/>
  <c r="E51" i="30" s="1"/>
  <c r="F51" i="30" s="1"/>
  <c r="D152" i="23" l="1"/>
  <c r="B152" i="23"/>
  <c r="C152" i="23"/>
  <c r="D151" i="23"/>
  <c r="E158" i="3"/>
  <c r="F158" i="3" s="1"/>
  <c r="E17" i="40"/>
  <c r="F17" i="40" s="1"/>
  <c r="E16" i="40"/>
  <c r="F16" i="40" s="1"/>
  <c r="AN151" i="23" l="1"/>
  <c r="AN150" i="23"/>
  <c r="AM150" i="23"/>
  <c r="T146" i="9" l="1"/>
  <c r="S146" i="9"/>
  <c r="AM151" i="23" s="1"/>
  <c r="T145" i="9" l="1"/>
  <c r="S145" i="9"/>
  <c r="R146" i="9"/>
  <c r="R145" i="9"/>
  <c r="P151" i="2"/>
  <c r="AP151" i="23" l="1"/>
  <c r="C151" i="23" s="1"/>
  <c r="AO151" i="23"/>
  <c r="AP150" i="23"/>
  <c r="P150" i="2"/>
  <c r="AO150" i="23" s="1"/>
  <c r="N161" i="3"/>
  <c r="N155" i="3"/>
  <c r="N148" i="3"/>
  <c r="N140" i="3"/>
  <c r="H153" i="3" a="1"/>
  <c r="H153" i="3" s="1"/>
  <c r="H141" i="3" a="1"/>
  <c r="H141" i="3" s="1"/>
  <c r="H129" i="3" a="1"/>
  <c r="H129" i="3" s="1"/>
  <c r="H117" i="3" l="1" a="1"/>
  <c r="H117" i="3" s="1"/>
  <c r="H105" i="3" a="1"/>
  <c r="H105" i="3" s="1"/>
  <c r="BJ150" i="23" l="1"/>
  <c r="BI150" i="23"/>
  <c r="BH150" i="23"/>
  <c r="BG150" i="23"/>
  <c r="G113" i="15"/>
  <c r="F113" i="15"/>
  <c r="D157" i="3"/>
  <c r="P150" i="23"/>
  <c r="O150" i="23"/>
  <c r="D150" i="23" l="1"/>
  <c r="E150" i="23"/>
  <c r="C150" i="23"/>
  <c r="E157" i="3"/>
  <c r="F157" i="3" s="1"/>
  <c r="T144" i="9" l="1"/>
  <c r="S144" i="9"/>
  <c r="R144" i="9"/>
  <c r="Z154" i="1" l="1"/>
  <c r="Y154" i="1"/>
  <c r="X154" i="1"/>
  <c r="W154" i="1"/>
  <c r="Z153" i="1"/>
  <c r="Y153" i="1"/>
  <c r="X153" i="1"/>
  <c r="W153" i="1"/>
  <c r="D154" i="1"/>
  <c r="D153" i="1"/>
  <c r="H154" i="1"/>
  <c r="J154" i="1"/>
  <c r="J153" i="1"/>
  <c r="S41" i="33"/>
  <c r="R41" i="33"/>
  <c r="S40" i="33"/>
  <c r="R40" i="33"/>
  <c r="BF149" i="23" l="1"/>
  <c r="BE149" i="23"/>
  <c r="BD149" i="23"/>
  <c r="BC149" i="23"/>
  <c r="BB149" i="23"/>
  <c r="BA149" i="23"/>
  <c r="BF148" i="23"/>
  <c r="BE148" i="23"/>
  <c r="BD148" i="23"/>
  <c r="BC148" i="23"/>
  <c r="BB148" i="23"/>
  <c r="BA148" i="23"/>
  <c r="BB147" i="23" l="1"/>
  <c r="BA147" i="23"/>
  <c r="T143" i="9"/>
  <c r="T142" i="9"/>
  <c r="S143" i="9"/>
  <c r="R143" i="9"/>
  <c r="R142" i="9"/>
  <c r="S137" i="9"/>
  <c r="S142" i="9"/>
  <c r="R39" i="33"/>
  <c r="S39" i="33"/>
  <c r="AC59" i="28"/>
  <c r="AC58" i="28"/>
  <c r="AC57" i="28"/>
  <c r="AR149" i="23"/>
  <c r="AQ149" i="23"/>
  <c r="AR148" i="23"/>
  <c r="AQ148" i="23"/>
  <c r="AL149" i="23"/>
  <c r="AK149" i="23"/>
  <c r="AL148" i="23"/>
  <c r="AK148" i="23"/>
  <c r="AJ149" i="23"/>
  <c r="AI149" i="23"/>
  <c r="AJ148" i="23"/>
  <c r="AI148" i="23"/>
  <c r="G149" i="23"/>
  <c r="G148" i="23"/>
  <c r="G147" i="23"/>
  <c r="F149" i="23"/>
  <c r="D15" i="40"/>
  <c r="F148" i="23"/>
  <c r="F147" i="23"/>
  <c r="D14" i="40"/>
  <c r="D15" i="39"/>
  <c r="E15" i="39" s="1"/>
  <c r="F15" i="39" s="1"/>
  <c r="E15" i="40" l="1"/>
  <c r="F15" i="40" s="1"/>
  <c r="E14" i="40"/>
  <c r="F14" i="40" s="1"/>
  <c r="D14" i="39"/>
  <c r="E14" i="39" s="1"/>
  <c r="F14" i="39" s="1"/>
  <c r="D26" i="35"/>
  <c r="E26" i="35" s="1"/>
  <c r="F26" i="35" s="1"/>
  <c r="D25" i="35"/>
  <c r="E25" i="35" s="1"/>
  <c r="F25" i="35" s="1"/>
  <c r="J26" i="34"/>
  <c r="J25" i="34"/>
  <c r="D26" i="34"/>
  <c r="E26" i="34" s="1"/>
  <c r="F26" i="34" s="1"/>
  <c r="D25" i="34"/>
  <c r="E25" i="34" s="1"/>
  <c r="F25" i="34" s="1"/>
  <c r="AB59" i="28"/>
  <c r="AD59" i="28" s="1"/>
  <c r="AB58" i="28"/>
  <c r="D50" i="30"/>
  <c r="E50" i="30" s="1"/>
  <c r="F50" i="30" s="1"/>
  <c r="E49" i="30"/>
  <c r="F49" i="30" s="1"/>
  <c r="D49" i="30"/>
  <c r="D101" i="18"/>
  <c r="E101" i="18" s="1"/>
  <c r="F101" i="18" s="1"/>
  <c r="E100" i="18"/>
  <c r="F100" i="18" s="1"/>
  <c r="D100" i="18"/>
  <c r="D156" i="3"/>
  <c r="D155" i="3"/>
  <c r="E155" i="3" s="1"/>
  <c r="AD58" i="28" l="1"/>
  <c r="F155" i="3"/>
  <c r="E156" i="3"/>
  <c r="F156" i="3" s="1"/>
  <c r="BJ149" i="23" l="1"/>
  <c r="BI149" i="23"/>
  <c r="BJ148" i="23"/>
  <c r="BI148" i="23"/>
  <c r="BH149" i="23"/>
  <c r="BG149" i="23"/>
  <c r="BH148" i="23"/>
  <c r="BG148" i="23"/>
  <c r="F112" i="15"/>
  <c r="F111" i="15"/>
  <c r="G112" i="15"/>
  <c r="G111" i="15"/>
  <c r="AF149" i="23"/>
  <c r="AE149" i="23"/>
  <c r="AD149" i="23"/>
  <c r="AC149" i="23"/>
  <c r="AB149" i="23"/>
  <c r="AA149" i="23"/>
  <c r="Z149" i="23"/>
  <c r="Y149" i="23"/>
  <c r="X149" i="23"/>
  <c r="W149" i="23"/>
  <c r="V149" i="23"/>
  <c r="U149" i="23"/>
  <c r="T149" i="23"/>
  <c r="S149" i="23"/>
  <c r="R149" i="23"/>
  <c r="I149" i="23" s="1"/>
  <c r="Q149" i="23"/>
  <c r="H149" i="23" s="1"/>
  <c r="AF148" i="23"/>
  <c r="AE148" i="23"/>
  <c r="AD148" i="23"/>
  <c r="AC148" i="23"/>
  <c r="AB148" i="23"/>
  <c r="AA148" i="23"/>
  <c r="Z148" i="23"/>
  <c r="Y148" i="23"/>
  <c r="X148" i="23"/>
  <c r="W148" i="23"/>
  <c r="V148" i="23"/>
  <c r="U148" i="23"/>
  <c r="T148" i="23"/>
  <c r="S148" i="23"/>
  <c r="R148" i="23"/>
  <c r="I148" i="23" s="1"/>
  <c r="Q148" i="23"/>
  <c r="H148" i="23" s="1"/>
  <c r="P149" i="23"/>
  <c r="O149" i="23"/>
  <c r="P148" i="23"/>
  <c r="O148" i="23"/>
  <c r="AN149" i="23"/>
  <c r="AN148" i="23"/>
  <c r="AM149" i="23"/>
  <c r="AM148" i="23"/>
  <c r="AP149" i="23"/>
  <c r="AP148" i="23"/>
  <c r="AO149" i="23"/>
  <c r="AO148" i="23"/>
  <c r="P149" i="2"/>
  <c r="L149" i="23" l="1"/>
  <c r="B149" i="23"/>
  <c r="E148" i="23"/>
  <c r="E149" i="23"/>
  <c r="J149" i="23"/>
  <c r="J148" i="23"/>
  <c r="M148" i="23"/>
  <c r="M149" i="23"/>
  <c r="D148" i="23"/>
  <c r="D149" i="23"/>
  <c r="K148" i="23"/>
  <c r="C148" i="23"/>
  <c r="K149" i="23"/>
  <c r="C149" i="23"/>
  <c r="G110" i="15"/>
  <c r="F110" i="15"/>
  <c r="D13" i="40"/>
  <c r="D13" i="39"/>
  <c r="E13" i="39" s="1"/>
  <c r="F13" i="39" s="1"/>
  <c r="D24" i="35"/>
  <c r="E24" i="35" s="1"/>
  <c r="F24" i="35" s="1"/>
  <c r="D24" i="34"/>
  <c r="E24" i="34" s="1"/>
  <c r="F24" i="34" s="1"/>
  <c r="J24" i="34"/>
  <c r="AB57" i="28"/>
  <c r="D48" i="30"/>
  <c r="E48" i="30" s="1"/>
  <c r="F48" i="30" s="1"/>
  <c r="D99" i="18"/>
  <c r="E99" i="18" s="1"/>
  <c r="F99" i="18" s="1"/>
  <c r="D154" i="3"/>
  <c r="AD57" i="28" l="1"/>
  <c r="E13" i="40"/>
  <c r="F13" i="40" s="1"/>
  <c r="E154" i="3"/>
  <c r="F154" i="3" s="1"/>
  <c r="BJ147" i="23"/>
  <c r="BI147" i="23"/>
  <c r="BH147" i="23"/>
  <c r="BG147" i="23"/>
  <c r="AR147" i="23"/>
  <c r="AQ147" i="23"/>
  <c r="AP147" i="23"/>
  <c r="AO147" i="23"/>
  <c r="AN147" i="23"/>
  <c r="AM147" i="23"/>
  <c r="AL147" i="23"/>
  <c r="AK147" i="23"/>
  <c r="AJ147" i="23"/>
  <c r="AI147" i="23"/>
  <c r="AF147" i="23"/>
  <c r="AE147" i="23"/>
  <c r="AD147" i="23"/>
  <c r="AC147" i="23"/>
  <c r="AB147" i="23"/>
  <c r="AA147" i="23"/>
  <c r="Z147" i="23"/>
  <c r="Y147" i="23"/>
  <c r="X147" i="23"/>
  <c r="W147" i="23"/>
  <c r="V147" i="23"/>
  <c r="U147" i="23"/>
  <c r="T147" i="23"/>
  <c r="S147" i="23"/>
  <c r="R147" i="23"/>
  <c r="I147" i="23" s="1"/>
  <c r="Q147" i="23"/>
  <c r="H147" i="23" s="1"/>
  <c r="P147" i="23"/>
  <c r="O147" i="23"/>
  <c r="BF147" i="23"/>
  <c r="BF146" i="23"/>
  <c r="BF145" i="23"/>
  <c r="BF144" i="23"/>
  <c r="BE147" i="23"/>
  <c r="BD147" i="23"/>
  <c r="BC147" i="23"/>
  <c r="Z152" i="1"/>
  <c r="Y152" i="1"/>
  <c r="X152" i="1"/>
  <c r="W152" i="1"/>
  <c r="H152" i="1"/>
  <c r="D152" i="1"/>
  <c r="J152" i="1"/>
  <c r="BE146" i="23"/>
  <c r="BD146" i="23"/>
  <c r="BC146" i="23"/>
  <c r="BB146" i="23"/>
  <c r="BA146" i="23"/>
  <c r="BE145" i="23"/>
  <c r="BD145" i="23"/>
  <c r="BC145" i="23"/>
  <c r="BB145" i="23"/>
  <c r="BA145" i="23"/>
  <c r="BE144" i="23"/>
  <c r="BD144" i="23"/>
  <c r="BC144" i="23"/>
  <c r="BB144" i="23"/>
  <c r="BA144" i="23"/>
  <c r="H151" i="1"/>
  <c r="H150" i="1"/>
  <c r="H149" i="1"/>
  <c r="Z151" i="1"/>
  <c r="Y151" i="1"/>
  <c r="X151" i="1"/>
  <c r="W151" i="1"/>
  <c r="D151" i="1"/>
  <c r="D150" i="1"/>
  <c r="D149" i="1"/>
  <c r="J151" i="1"/>
  <c r="J150" i="1"/>
  <c r="J149" i="1"/>
  <c r="AM146" i="23"/>
  <c r="B141" i="9"/>
  <c r="AL146" i="23"/>
  <c r="AK146" i="23"/>
  <c r="R38" i="33"/>
  <c r="R37" i="33"/>
  <c r="AL145" i="23" s="1"/>
  <c r="R36" i="33"/>
  <c r="AL144" i="23" s="1"/>
  <c r="S38" i="33"/>
  <c r="S37" i="33"/>
  <c r="AK145" i="23" s="1"/>
  <c r="S36" i="33"/>
  <c r="AK144" i="23" s="1"/>
  <c r="J147" i="23" l="1"/>
  <c r="M147" i="23"/>
  <c r="D147" i="23"/>
  <c r="E147" i="23"/>
  <c r="K147" i="23"/>
  <c r="C147" i="23"/>
  <c r="AR146" i="23"/>
  <c r="AQ146" i="23"/>
  <c r="AR145" i="23"/>
  <c r="AQ145" i="23"/>
  <c r="AR144" i="23"/>
  <c r="AQ144" i="23"/>
  <c r="J23" i="34"/>
  <c r="W146" i="23" s="1"/>
  <c r="J22" i="34"/>
  <c r="D23" i="34"/>
  <c r="E23" i="34" s="1"/>
  <c r="F23" i="34" s="1"/>
  <c r="D22" i="34"/>
  <c r="E22" i="34" s="1"/>
  <c r="F22" i="34" s="1"/>
  <c r="D21" i="34"/>
  <c r="E21" i="34" s="1"/>
  <c r="F21" i="34" s="1"/>
  <c r="AJ146" i="23"/>
  <c r="AI146" i="23"/>
  <c r="AJ145" i="23"/>
  <c r="AI145" i="23"/>
  <c r="AJ144" i="23"/>
  <c r="AI144" i="23"/>
  <c r="CL146" i="23"/>
  <c r="CK146" i="23"/>
  <c r="CL145" i="23"/>
  <c r="CK145" i="23"/>
  <c r="CL144" i="23"/>
  <c r="CK144" i="23"/>
  <c r="BJ146" i="23"/>
  <c r="BI146" i="23"/>
  <c r="BH146" i="23"/>
  <c r="BG146" i="23"/>
  <c r="BJ145" i="23"/>
  <c r="BH145" i="23"/>
  <c r="BG145" i="23"/>
  <c r="BJ144" i="23"/>
  <c r="BH144" i="23"/>
  <c r="BG144" i="23"/>
  <c r="G109" i="15"/>
  <c r="F109" i="15"/>
  <c r="G108" i="15"/>
  <c r="F108" i="15"/>
  <c r="G107" i="15"/>
  <c r="F107" i="15"/>
  <c r="BI145" i="23"/>
  <c r="BI144" i="23"/>
  <c r="AN146" i="23"/>
  <c r="AN145" i="23"/>
  <c r="AM145" i="23"/>
  <c r="AN144" i="23"/>
  <c r="T141" i="9"/>
  <c r="S141" i="9"/>
  <c r="T140" i="9"/>
  <c r="T139" i="9"/>
  <c r="AM144" i="23"/>
  <c r="R141" i="9"/>
  <c r="R140" i="9"/>
  <c r="R139" i="9"/>
  <c r="AF146" i="23"/>
  <c r="AE146" i="23"/>
  <c r="AF145" i="23"/>
  <c r="AE145" i="23"/>
  <c r="AF144" i="23"/>
  <c r="AE144" i="23"/>
  <c r="AD146" i="23"/>
  <c r="AC146" i="23"/>
  <c r="AB146" i="23"/>
  <c r="AA146" i="23"/>
  <c r="Z146" i="23"/>
  <c r="Y146" i="23"/>
  <c r="X146" i="23"/>
  <c r="AD145" i="23"/>
  <c r="AC145" i="23"/>
  <c r="AB145" i="23"/>
  <c r="AA145" i="23"/>
  <c r="Z145" i="23"/>
  <c r="Y145" i="23"/>
  <c r="X145" i="23"/>
  <c r="AD144" i="23"/>
  <c r="AC144" i="23"/>
  <c r="AB144" i="23"/>
  <c r="AA144" i="23"/>
  <c r="Z144" i="23"/>
  <c r="Y144" i="23"/>
  <c r="X144" i="23"/>
  <c r="D12" i="40"/>
  <c r="D11" i="40"/>
  <c r="D10" i="40"/>
  <c r="E11" i="40" l="1"/>
  <c r="F11" i="40" s="1"/>
  <c r="E10" i="40"/>
  <c r="F10" i="40" s="1"/>
  <c r="E12" i="40"/>
  <c r="F12" i="40" s="1"/>
  <c r="D12" i="39"/>
  <c r="E12" i="39" s="1"/>
  <c r="F12" i="39" s="1"/>
  <c r="D11" i="39"/>
  <c r="E11" i="39" s="1"/>
  <c r="F11" i="39" s="1"/>
  <c r="D10" i="39"/>
  <c r="E10" i="39" s="1"/>
  <c r="F10" i="39" s="1"/>
  <c r="D23" i="35"/>
  <c r="E23" i="35" s="1"/>
  <c r="F23" i="35" s="1"/>
  <c r="D22" i="35"/>
  <c r="E22" i="35" s="1"/>
  <c r="F22" i="35" s="1"/>
  <c r="D21" i="35"/>
  <c r="E21" i="35" s="1"/>
  <c r="F21" i="35" s="1"/>
  <c r="W145" i="23"/>
  <c r="J21" i="34"/>
  <c r="W144" i="23" s="1"/>
  <c r="G146" i="23"/>
  <c r="F146" i="23"/>
  <c r="G145" i="23"/>
  <c r="F145" i="23"/>
  <c r="G144" i="23"/>
  <c r="F144" i="23"/>
  <c r="V146" i="23"/>
  <c r="T146" i="23"/>
  <c r="M146" i="23" s="1"/>
  <c r="S146" i="23"/>
  <c r="R146" i="23"/>
  <c r="I146" i="23" s="1"/>
  <c r="Q146" i="23"/>
  <c r="H146" i="23" s="1"/>
  <c r="P146" i="23"/>
  <c r="O146" i="23"/>
  <c r="V145" i="23"/>
  <c r="T145" i="23"/>
  <c r="M145" i="23" s="1"/>
  <c r="S145" i="23"/>
  <c r="R145" i="23"/>
  <c r="I145" i="23" s="1"/>
  <c r="Q145" i="23"/>
  <c r="H145" i="23" s="1"/>
  <c r="P145" i="23"/>
  <c r="E145" i="23" s="1"/>
  <c r="O145" i="23"/>
  <c r="D145" i="23" s="1"/>
  <c r="V144" i="23"/>
  <c r="T144" i="23"/>
  <c r="M144" i="23" s="1"/>
  <c r="S144" i="23"/>
  <c r="R144" i="23"/>
  <c r="I144" i="23" s="1"/>
  <c r="Q144" i="23"/>
  <c r="H144" i="23" s="1"/>
  <c r="P144" i="23"/>
  <c r="E144" i="23" s="1"/>
  <c r="O144" i="23"/>
  <c r="D144" i="23" s="1"/>
  <c r="AC56" i="28"/>
  <c r="AB56" i="28"/>
  <c r="AC55" i="28"/>
  <c r="AB55" i="28"/>
  <c r="AC54" i="28"/>
  <c r="AB54" i="28"/>
  <c r="D47" i="30"/>
  <c r="E47" i="30" s="1"/>
  <c r="F47" i="30" s="1"/>
  <c r="D46" i="30"/>
  <c r="E46" i="30" s="1"/>
  <c r="F46" i="30" s="1"/>
  <c r="D45" i="30"/>
  <c r="E45" i="30" s="1"/>
  <c r="F45" i="30" s="1"/>
  <c r="D96" i="18"/>
  <c r="E96" i="18" s="1"/>
  <c r="F96" i="18" s="1"/>
  <c r="D97" i="18"/>
  <c r="E97" i="18" s="1"/>
  <c r="F97" i="18" s="1"/>
  <c r="D98" i="18"/>
  <c r="E98" i="18" s="1"/>
  <c r="F98" i="18" s="1"/>
  <c r="D153" i="3"/>
  <c r="D152" i="3"/>
  <c r="E152" i="3" s="1"/>
  <c r="D151" i="3"/>
  <c r="AP146" i="23"/>
  <c r="AO146" i="23"/>
  <c r="AP145" i="23"/>
  <c r="AO145" i="23"/>
  <c r="AP144" i="23"/>
  <c r="P146" i="2"/>
  <c r="P144" i="2"/>
  <c r="AO144" i="23" s="1"/>
  <c r="G84" i="22"/>
  <c r="G83" i="22"/>
  <c r="G82" i="22"/>
  <c r="E146" i="23" l="1"/>
  <c r="C146" i="23"/>
  <c r="D146" i="23"/>
  <c r="AD56" i="28"/>
  <c r="U146" i="23" s="1"/>
  <c r="J146" i="23" s="1"/>
  <c r="K146" i="23"/>
  <c r="K145" i="23"/>
  <c r="C144" i="23"/>
  <c r="K144" i="23"/>
  <c r="C145" i="23"/>
  <c r="AD55" i="28"/>
  <c r="U145" i="23" s="1"/>
  <c r="J145" i="23" s="1"/>
  <c r="AD54" i="28"/>
  <c r="U144" i="23" s="1"/>
  <c r="J144" i="23" s="1"/>
  <c r="E151" i="3"/>
  <c r="F151" i="3" s="1"/>
  <c r="F152" i="3"/>
  <c r="E153" i="3"/>
  <c r="F153" i="3" s="1"/>
  <c r="X147" i="1"/>
  <c r="X146" i="1"/>
  <c r="S35" i="33"/>
  <c r="AK143" i="23" s="1"/>
  <c r="S34" i="33"/>
  <c r="AK142" i="23" s="1"/>
  <c r="S33" i="33"/>
  <c r="AK141" i="23" s="1"/>
  <c r="O149" i="1"/>
  <c r="K149" i="1"/>
  <c r="BF143" i="23"/>
  <c r="BE143" i="23"/>
  <c r="BD143" i="23"/>
  <c r="BC143" i="23"/>
  <c r="BF142" i="23"/>
  <c r="BD142" i="23"/>
  <c r="BF141" i="23"/>
  <c r="BE141" i="23"/>
  <c r="BD141" i="23"/>
  <c r="BC141" i="23"/>
  <c r="BB143" i="23"/>
  <c r="BA143" i="23"/>
  <c r="BB142" i="23"/>
  <c r="BB141" i="23"/>
  <c r="BA141" i="23"/>
  <c r="W140" i="1"/>
  <c r="Z148" i="1"/>
  <c r="Y148" i="1"/>
  <c r="X148" i="1"/>
  <c r="W148" i="1"/>
  <c r="H148" i="1"/>
  <c r="B148" i="1"/>
  <c r="D148" i="1"/>
  <c r="D147" i="1"/>
  <c r="D146" i="1"/>
  <c r="J148" i="1"/>
  <c r="J147" i="1"/>
  <c r="J146" i="1"/>
  <c r="R35" i="33"/>
  <c r="AL143" i="23" s="1"/>
  <c r="R34" i="33"/>
  <c r="AL142" i="23" s="1"/>
  <c r="R33" i="33"/>
  <c r="AL141" i="23" s="1"/>
  <c r="AJ143" i="23"/>
  <c r="AI143" i="23"/>
  <c r="AJ142" i="23"/>
  <c r="AI142" i="23"/>
  <c r="AJ141" i="23"/>
  <c r="AI141" i="23"/>
  <c r="G143" i="23" l="1"/>
  <c r="F143" i="23"/>
  <c r="G142" i="23"/>
  <c r="F142" i="23"/>
  <c r="G141" i="23"/>
  <c r="F141" i="23"/>
  <c r="AR143" i="23"/>
  <c r="AQ143" i="23"/>
  <c r="AR142" i="23"/>
  <c r="AQ142" i="23"/>
  <c r="AR141" i="23"/>
  <c r="AQ141" i="23"/>
  <c r="F33" i="32"/>
  <c r="F32" i="32"/>
  <c r="F31" i="32"/>
  <c r="BJ143" i="23"/>
  <c r="BI143" i="23"/>
  <c r="BJ142" i="23"/>
  <c r="BI142" i="23"/>
  <c r="BJ141" i="23"/>
  <c r="T138" i="9" l="1"/>
  <c r="S138" i="9"/>
  <c r="AM143" i="23" s="1"/>
  <c r="T137" i="9"/>
  <c r="AM142" i="23"/>
  <c r="BI141" i="23"/>
  <c r="T136" i="9"/>
  <c r="S136" i="9"/>
  <c r="AM141" i="23" s="1"/>
  <c r="AN143" i="23"/>
  <c r="AN142" i="23"/>
  <c r="AN141" i="23"/>
  <c r="F4" i="40"/>
  <c r="F5" i="40"/>
  <c r="F6" i="40"/>
  <c r="F7" i="40"/>
  <c r="F3" i="40"/>
  <c r="E4" i="40"/>
  <c r="E5" i="40"/>
  <c r="E6" i="40"/>
  <c r="E7" i="40"/>
  <c r="E8" i="40"/>
  <c r="E9" i="40"/>
  <c r="F9" i="40" s="1"/>
  <c r="E3" i="40"/>
  <c r="D9" i="40"/>
  <c r="D8" i="40"/>
  <c r="F8" i="40" s="1"/>
  <c r="D7" i="40"/>
  <c r="D6" i="40"/>
  <c r="D5" i="40"/>
  <c r="D4" i="40"/>
  <c r="D3" i="40"/>
  <c r="CL143" i="23"/>
  <c r="CK143" i="23"/>
  <c r="CL142" i="23"/>
  <c r="CK142" i="23"/>
  <c r="CL141" i="23"/>
  <c r="CK141" i="23"/>
  <c r="AF143" i="23" l="1"/>
  <c r="AE143" i="23"/>
  <c r="AD143" i="23"/>
  <c r="AC143" i="23"/>
  <c r="AB143" i="23"/>
  <c r="AF142" i="23"/>
  <c r="AE142" i="23"/>
  <c r="AD142" i="23"/>
  <c r="AC142" i="23"/>
  <c r="AB142" i="23"/>
  <c r="AF141" i="23"/>
  <c r="AE141" i="23"/>
  <c r="AD141" i="23"/>
  <c r="AC141" i="23"/>
  <c r="AB141" i="23"/>
  <c r="AA143" i="23"/>
  <c r="Z143" i="23"/>
  <c r="Y143" i="23"/>
  <c r="X143" i="23"/>
  <c r="V143" i="23"/>
  <c r="T143" i="23"/>
  <c r="S143" i="23"/>
  <c r="R143" i="23"/>
  <c r="I143" i="23" s="1"/>
  <c r="Q143" i="23"/>
  <c r="H143" i="23" s="1"/>
  <c r="P143" i="23"/>
  <c r="O143" i="23"/>
  <c r="AA142" i="23"/>
  <c r="Z142" i="23"/>
  <c r="Y142" i="23"/>
  <c r="X142" i="23"/>
  <c r="V142" i="23"/>
  <c r="T142" i="23"/>
  <c r="S142" i="23"/>
  <c r="R142" i="23"/>
  <c r="Q142" i="23"/>
  <c r="P142" i="23"/>
  <c r="O142" i="23"/>
  <c r="AA141" i="23"/>
  <c r="Z141" i="23"/>
  <c r="Y141" i="23"/>
  <c r="X141" i="23"/>
  <c r="V141" i="23"/>
  <c r="T141" i="23"/>
  <c r="S141" i="23"/>
  <c r="R141" i="23"/>
  <c r="Q141" i="23"/>
  <c r="P141" i="23"/>
  <c r="O141" i="23"/>
  <c r="CJ142" i="23"/>
  <c r="CI142" i="23"/>
  <c r="CJ141" i="23"/>
  <c r="CI141" i="23"/>
  <c r="B143" i="1"/>
  <c r="B144" i="1"/>
  <c r="B145" i="1"/>
  <c r="R136" i="9"/>
  <c r="R137" i="9"/>
  <c r="R138" i="9"/>
  <c r="M143" i="23" l="1"/>
  <c r="M141" i="23"/>
  <c r="I141" i="23"/>
  <c r="H141" i="23"/>
  <c r="M142" i="23"/>
  <c r="H142" i="23"/>
  <c r="I142" i="23"/>
  <c r="D9" i="39"/>
  <c r="E9" i="39" s="1"/>
  <c r="F9" i="39" s="1"/>
  <c r="D8" i="39"/>
  <c r="E8" i="39" s="1"/>
  <c r="F8" i="39" s="1"/>
  <c r="D7" i="39"/>
  <c r="E7" i="39" s="1"/>
  <c r="F7" i="39" s="1"/>
  <c r="D20" i="35"/>
  <c r="E20" i="35" s="1"/>
  <c r="F20" i="35" s="1"/>
  <c r="D19" i="35"/>
  <c r="E19" i="35" s="1"/>
  <c r="F19" i="35" s="1"/>
  <c r="D18" i="35"/>
  <c r="E18" i="35" s="1"/>
  <c r="F18" i="35" s="1"/>
  <c r="J20" i="34"/>
  <c r="W143" i="23" s="1"/>
  <c r="J19" i="34"/>
  <c r="W142" i="23" s="1"/>
  <c r="J18" i="34"/>
  <c r="W141" i="23" s="1"/>
  <c r="D20" i="34"/>
  <c r="E20" i="34" s="1"/>
  <c r="F20" i="34" s="1"/>
  <c r="D19" i="34"/>
  <c r="E19" i="34" s="1"/>
  <c r="F19" i="34" s="1"/>
  <c r="D18" i="34"/>
  <c r="E18" i="34" s="1"/>
  <c r="F18" i="34" s="1"/>
  <c r="AC51" i="28"/>
  <c r="AB51" i="28"/>
  <c r="AD51" i="28" s="1"/>
  <c r="U141" i="23" s="1"/>
  <c r="AC53" i="28"/>
  <c r="AB53" i="28"/>
  <c r="AC52" i="28"/>
  <c r="AB52" i="28"/>
  <c r="D44" i="30"/>
  <c r="E44" i="30" s="1"/>
  <c r="F44" i="30" s="1"/>
  <c r="D43" i="30"/>
  <c r="E43" i="30" s="1"/>
  <c r="F43" i="30" s="1"/>
  <c r="E42" i="30"/>
  <c r="F42" i="30" s="1"/>
  <c r="D42" i="30"/>
  <c r="D95" i="18"/>
  <c r="E95" i="18" s="1"/>
  <c r="F95" i="18" s="1"/>
  <c r="D94" i="18"/>
  <c r="E94" i="18" s="1"/>
  <c r="F94" i="18" s="1"/>
  <c r="D93" i="18"/>
  <c r="E93" i="18" s="1"/>
  <c r="F93" i="18" s="1"/>
  <c r="D150" i="3"/>
  <c r="D149" i="3"/>
  <c r="D148" i="3"/>
  <c r="E148" i="3" s="1"/>
  <c r="BH143" i="23"/>
  <c r="E143" i="23" s="1"/>
  <c r="BG143" i="23"/>
  <c r="D143" i="23" s="1"/>
  <c r="BH142" i="23"/>
  <c r="E142" i="23" s="1"/>
  <c r="BG142" i="23"/>
  <c r="D142" i="23" s="1"/>
  <c r="BH141" i="23"/>
  <c r="E141" i="23" s="1"/>
  <c r="BG141" i="23"/>
  <c r="D141" i="23" s="1"/>
  <c r="G106" i="15"/>
  <c r="F106" i="15"/>
  <c r="G105" i="15"/>
  <c r="F105" i="15"/>
  <c r="G104" i="15"/>
  <c r="F104" i="15"/>
  <c r="G81" i="22"/>
  <c r="AP143" i="23"/>
  <c r="K143" i="23" s="1"/>
  <c r="AO143" i="23"/>
  <c r="AP142" i="23"/>
  <c r="K142" i="23" s="1"/>
  <c r="AO142" i="23"/>
  <c r="AP141" i="23"/>
  <c r="K141" i="23" s="1"/>
  <c r="AO141" i="23"/>
  <c r="P143" i="2"/>
  <c r="G80" i="22"/>
  <c r="P142" i="2"/>
  <c r="P141" i="2"/>
  <c r="G79" i="22"/>
  <c r="J141" i="23" l="1"/>
  <c r="C142" i="23"/>
  <c r="C143" i="23"/>
  <c r="C141" i="23"/>
  <c r="AD52" i="28"/>
  <c r="U142" i="23" s="1"/>
  <c r="J142" i="23" s="1"/>
  <c r="AD53" i="28"/>
  <c r="U143" i="23" s="1"/>
  <c r="E149" i="3"/>
  <c r="F149" i="3" s="1"/>
  <c r="E150" i="3"/>
  <c r="F150" i="3" s="1"/>
  <c r="F148" i="3"/>
  <c r="S135" i="9"/>
  <c r="P140" i="2"/>
  <c r="J143" i="23" l="1"/>
  <c r="AF140" i="23"/>
  <c r="AE140" i="23"/>
  <c r="S32" i="33" l="1"/>
  <c r="R32" i="33"/>
  <c r="S31" i="33" l="1"/>
  <c r="R31" i="33"/>
  <c r="AL140" i="23" l="1"/>
  <c r="AK140" i="23"/>
  <c r="AL139" i="23"/>
  <c r="AK139" i="23"/>
  <c r="S30" i="33"/>
  <c r="AK138" i="23" s="1"/>
  <c r="R30" i="33"/>
  <c r="AL138" i="23" s="1"/>
  <c r="AJ140" i="23"/>
  <c r="AI140" i="23"/>
  <c r="AJ139" i="23"/>
  <c r="AI139" i="23"/>
  <c r="AJ138" i="23"/>
  <c r="AI138" i="23"/>
  <c r="W145" i="1" l="1"/>
  <c r="F30" i="32"/>
  <c r="AQ140" i="23" s="1"/>
  <c r="AR140" i="23"/>
  <c r="AR139" i="23"/>
  <c r="AQ139" i="23"/>
  <c r="AR138" i="23"/>
  <c r="AQ138" i="23"/>
  <c r="F29" i="32"/>
  <c r="F28" i="32"/>
  <c r="G140" i="23"/>
  <c r="F140" i="23"/>
  <c r="T135" i="9"/>
  <c r="R135" i="9"/>
  <c r="T134" i="9"/>
  <c r="S134" i="9"/>
  <c r="AM139" i="23" s="1"/>
  <c r="R134" i="9"/>
  <c r="CJ140" i="23"/>
  <c r="CI140" i="23"/>
  <c r="CJ139" i="23"/>
  <c r="CI139" i="23"/>
  <c r="CJ138" i="23"/>
  <c r="CI138" i="23"/>
  <c r="CL140" i="23"/>
  <c r="CK140" i="23"/>
  <c r="CL139" i="23"/>
  <c r="CK139" i="23"/>
  <c r="CL138" i="23"/>
  <c r="CK138" i="23"/>
  <c r="BJ140" i="23"/>
  <c r="BJ139" i="23"/>
  <c r="BJ138" i="23"/>
  <c r="BI138" i="23"/>
  <c r="BI140" i="23"/>
  <c r="BI139" i="23"/>
  <c r="AN140" i="23"/>
  <c r="AM140" i="23"/>
  <c r="AN139" i="23"/>
  <c r="AN138" i="23"/>
  <c r="T133" i="9"/>
  <c r="S133" i="9"/>
  <c r="AM138" i="23" s="1"/>
  <c r="R133" i="9"/>
  <c r="CN139" i="23"/>
  <c r="G139" i="23" s="1"/>
  <c r="CM139" i="23"/>
  <c r="F139" i="23" s="1"/>
  <c r="CN138" i="23"/>
  <c r="G138" i="23" s="1"/>
  <c r="CM138" i="23"/>
  <c r="F138" i="23" s="1"/>
  <c r="P139" i="2"/>
  <c r="AP140" i="23" l="1"/>
  <c r="AO140" i="23"/>
  <c r="AP139" i="23"/>
  <c r="AO139" i="23"/>
  <c r="AP138" i="23"/>
  <c r="P138" i="2"/>
  <c r="AO138" i="23" s="1"/>
  <c r="G78" i="22"/>
  <c r="G77" i="22"/>
  <c r="G76" i="22"/>
  <c r="BF140" i="23"/>
  <c r="BE140" i="23"/>
  <c r="BD140" i="23"/>
  <c r="BC140" i="23"/>
  <c r="BB140" i="23"/>
  <c r="BA140" i="23"/>
  <c r="BF139" i="23"/>
  <c r="BE139" i="23"/>
  <c r="BD139" i="23"/>
  <c r="BC139" i="23"/>
  <c r="BB139" i="23"/>
  <c r="BA139" i="23"/>
  <c r="BF138" i="23"/>
  <c r="BE138" i="23"/>
  <c r="BD138" i="23"/>
  <c r="BC138" i="23"/>
  <c r="BB138" i="23"/>
  <c r="H145" i="1"/>
  <c r="Z145" i="1"/>
  <c r="Y145" i="1"/>
  <c r="X145" i="1"/>
  <c r="W144" i="1"/>
  <c r="X144" i="1"/>
  <c r="Z144" i="1"/>
  <c r="Y144" i="1"/>
  <c r="W143" i="1"/>
  <c r="X143" i="1"/>
  <c r="X142" i="1"/>
  <c r="H144" i="1"/>
  <c r="H143" i="1"/>
  <c r="BA138" i="23" s="1"/>
  <c r="D145" i="1"/>
  <c r="E145" i="1" s="1"/>
  <c r="D144" i="1"/>
  <c r="E144" i="1" s="1"/>
  <c r="D143" i="1"/>
  <c r="E143" i="1" s="1"/>
  <c r="Z143" i="1"/>
  <c r="Y143" i="1"/>
  <c r="J143" i="1"/>
  <c r="J144" i="1"/>
  <c r="J145" i="1"/>
  <c r="BH140" i="23"/>
  <c r="BG140" i="23"/>
  <c r="BH139" i="23"/>
  <c r="BG139" i="23"/>
  <c r="BH138" i="23"/>
  <c r="BG138" i="23"/>
  <c r="G103" i="15"/>
  <c r="F103" i="15"/>
  <c r="G102" i="15"/>
  <c r="F102" i="15"/>
  <c r="G101" i="15"/>
  <c r="F101" i="15"/>
  <c r="F145" i="1" l="1"/>
  <c r="G145" i="1" s="1"/>
  <c r="F144" i="1"/>
  <c r="G144" i="1" s="1"/>
  <c r="F143" i="1"/>
  <c r="G143" i="1" s="1"/>
  <c r="D4" i="39"/>
  <c r="E4" i="39" s="1"/>
  <c r="F4" i="39" s="1"/>
  <c r="D5" i="39"/>
  <c r="E5" i="39" s="1"/>
  <c r="F5" i="39" s="1"/>
  <c r="D6" i="39"/>
  <c r="E6" i="39"/>
  <c r="F6" i="39" s="1"/>
  <c r="E3" i="39"/>
  <c r="F3" i="39" s="1"/>
  <c r="D3" i="39"/>
  <c r="D17" i="35"/>
  <c r="E17" i="35" s="1"/>
  <c r="F17" i="35" s="1"/>
  <c r="D16" i="35"/>
  <c r="E16" i="35" s="1"/>
  <c r="F16" i="35" s="1"/>
  <c r="E15" i="35"/>
  <c r="F15" i="35" s="1"/>
  <c r="D15" i="35"/>
  <c r="D17" i="34"/>
  <c r="E17" i="34" s="1"/>
  <c r="F17" i="34" s="1"/>
  <c r="D16" i="34"/>
  <c r="E16" i="34" s="1"/>
  <c r="F16" i="34" s="1"/>
  <c r="D15" i="34"/>
  <c r="E15" i="34" s="1"/>
  <c r="F15" i="34" s="1"/>
  <c r="D41" i="30"/>
  <c r="E41" i="30" s="1"/>
  <c r="F41" i="30" s="1"/>
  <c r="D40" i="30"/>
  <c r="E40" i="30" s="1"/>
  <c r="F40" i="30" s="1"/>
  <c r="E39" i="30"/>
  <c r="F39" i="30" s="1"/>
  <c r="D39" i="30"/>
  <c r="D92" i="18"/>
  <c r="E92" i="18" s="1"/>
  <c r="F92" i="18" s="1"/>
  <c r="E91" i="18"/>
  <c r="F91" i="18" s="1"/>
  <c r="D91" i="18"/>
  <c r="E90" i="18"/>
  <c r="F90" i="18" s="1"/>
  <c r="D90" i="18"/>
  <c r="D147" i="3"/>
  <c r="D146" i="3"/>
  <c r="D145" i="3"/>
  <c r="E145" i="3" l="1"/>
  <c r="F145" i="3" s="1"/>
  <c r="E146" i="3"/>
  <c r="F146" i="3" s="1"/>
  <c r="E147" i="3"/>
  <c r="F147" i="3" s="1"/>
  <c r="AD140" i="23"/>
  <c r="AC140" i="23"/>
  <c r="AB140" i="23"/>
  <c r="AA140" i="23"/>
  <c r="Z140" i="23"/>
  <c r="Y140" i="23"/>
  <c r="X140" i="23"/>
  <c r="AD139" i="23"/>
  <c r="AC139" i="23"/>
  <c r="AB139" i="23"/>
  <c r="AA139" i="23"/>
  <c r="Z139" i="23"/>
  <c r="Y139" i="23"/>
  <c r="X139" i="23"/>
  <c r="AD138" i="23"/>
  <c r="AC138" i="23"/>
  <c r="AB138" i="23"/>
  <c r="AA138" i="23"/>
  <c r="Z138" i="23"/>
  <c r="Y138" i="23"/>
  <c r="X138" i="23"/>
  <c r="J17" i="34"/>
  <c r="W140" i="23" s="1"/>
  <c r="J16" i="34"/>
  <c r="W139" i="23" s="1"/>
  <c r="J15" i="34"/>
  <c r="W138" i="23" s="1"/>
  <c r="V140" i="23"/>
  <c r="K140" i="23" s="1"/>
  <c r="V139" i="23"/>
  <c r="V138" i="23"/>
  <c r="AC50" i="28"/>
  <c r="AB50" i="28"/>
  <c r="AC49" i="28"/>
  <c r="AB49" i="28"/>
  <c r="AC48" i="28"/>
  <c r="AB48" i="28"/>
  <c r="T140" i="23"/>
  <c r="S140" i="23"/>
  <c r="T139" i="23"/>
  <c r="S139" i="23"/>
  <c r="T138" i="23"/>
  <c r="S138" i="23"/>
  <c r="R140" i="23"/>
  <c r="I140" i="23" s="1"/>
  <c r="Q140" i="23"/>
  <c r="H140" i="23" s="1"/>
  <c r="R139" i="23"/>
  <c r="I139" i="23" s="1"/>
  <c r="Q139" i="23"/>
  <c r="H139" i="23" s="1"/>
  <c r="R138" i="23"/>
  <c r="I138" i="23" s="1"/>
  <c r="Q138" i="23"/>
  <c r="H138" i="23" s="1"/>
  <c r="D100" i="17"/>
  <c r="D99" i="17"/>
  <c r="P140" i="23"/>
  <c r="P139" i="23"/>
  <c r="P138" i="23"/>
  <c r="O140" i="23"/>
  <c r="D140" i="23" s="1"/>
  <c r="O139" i="23"/>
  <c r="D139" i="23" s="1"/>
  <c r="O138" i="23"/>
  <c r="AD50" i="28" l="1"/>
  <c r="U140" i="23" s="1"/>
  <c r="J140" i="23" s="1"/>
  <c r="K139" i="23"/>
  <c r="M139" i="23"/>
  <c r="C140" i="23"/>
  <c r="K138" i="23"/>
  <c r="E139" i="23"/>
  <c r="C139" i="23"/>
  <c r="E138" i="23"/>
  <c r="C138" i="23"/>
  <c r="M138" i="23"/>
  <c r="M140" i="23"/>
  <c r="E140" i="23"/>
  <c r="D138" i="23"/>
  <c r="AD49" i="28"/>
  <c r="U139" i="23" s="1"/>
  <c r="J139" i="23" s="1"/>
  <c r="AD48" i="28"/>
  <c r="U138" i="23" s="1"/>
  <c r="J138" i="23" s="1"/>
  <c r="E99" i="17"/>
  <c r="F99" i="17" s="1"/>
  <c r="E100" i="17"/>
  <c r="F100" i="17" s="1"/>
  <c r="W142" i="1"/>
  <c r="H142" i="1"/>
  <c r="D142" i="1"/>
  <c r="E142" i="1" s="1"/>
  <c r="D141" i="1"/>
  <c r="E141" i="1" s="1"/>
  <c r="D140" i="1"/>
  <c r="Z142" i="1"/>
  <c r="Y142" i="1"/>
  <c r="J142" i="1"/>
  <c r="B3" i="40"/>
  <c r="B3" i="39"/>
  <c r="S29" i="33"/>
  <c r="R29" i="33"/>
  <c r="F142" i="1" l="1"/>
  <c r="G142" i="1" s="1"/>
  <c r="F27" i="32"/>
  <c r="G100" i="15"/>
  <c r="F100" i="15"/>
  <c r="D89" i="18"/>
  <c r="E89" i="18" s="1"/>
  <c r="F89" i="18" s="1"/>
  <c r="D88" i="18"/>
  <c r="E88" i="18" s="1"/>
  <c r="F88" i="18" s="1"/>
  <c r="D98" i="17"/>
  <c r="D144" i="3"/>
  <c r="D143" i="3"/>
  <c r="D38" i="30"/>
  <c r="E38" i="30" s="1"/>
  <c r="F38" i="30" s="1"/>
  <c r="D37" i="30"/>
  <c r="E37" i="30" s="1"/>
  <c r="F37" i="30" s="1"/>
  <c r="AC47" i="28"/>
  <c r="AB47" i="28"/>
  <c r="D14" i="34"/>
  <c r="E14" i="34" s="1"/>
  <c r="F14" i="34" s="1"/>
  <c r="D13" i="34"/>
  <c r="E13" i="34" s="1"/>
  <c r="F13" i="34" s="1"/>
  <c r="D14" i="35"/>
  <c r="E14" i="35" s="1"/>
  <c r="F14" i="35" s="1"/>
  <c r="D13" i="35"/>
  <c r="E13" i="35" s="1"/>
  <c r="F13" i="35" s="1"/>
  <c r="J14" i="34"/>
  <c r="E98" i="17" l="1"/>
  <c r="F98" i="17" s="1"/>
  <c r="E144" i="3"/>
  <c r="F144" i="3" s="1"/>
  <c r="E143" i="3"/>
  <c r="F143" i="3" s="1"/>
  <c r="AD47" i="28"/>
  <c r="G75" i="22" l="1"/>
  <c r="S132" i="9"/>
  <c r="AM137" i="23" s="1"/>
  <c r="S131" i="9"/>
  <c r="P137" i="2"/>
  <c r="AO137" i="23" s="1"/>
  <c r="P136" i="2"/>
  <c r="BI137" i="23"/>
  <c r="T3" i="9"/>
  <c r="T132" i="9"/>
  <c r="CJ137" i="23"/>
  <c r="CI137" i="23"/>
  <c r="CL137" i="23"/>
  <c r="CK137" i="23"/>
  <c r="BJ137" i="23"/>
  <c r="BH137" i="23"/>
  <c r="BG137" i="23"/>
  <c r="BF137" i="23"/>
  <c r="BE137" i="23"/>
  <c r="BD137" i="23"/>
  <c r="BC137" i="23"/>
  <c r="BB137" i="23"/>
  <c r="BA137" i="23"/>
  <c r="AR137" i="23"/>
  <c r="AQ137" i="23"/>
  <c r="AP137" i="23"/>
  <c r="AN137" i="23"/>
  <c r="AL137" i="23"/>
  <c r="AK137" i="23"/>
  <c r="AJ137" i="23"/>
  <c r="AI137" i="23"/>
  <c r="AD137" i="23"/>
  <c r="AC137" i="23"/>
  <c r="AB137" i="23"/>
  <c r="AA137" i="23"/>
  <c r="Z137" i="23"/>
  <c r="Y137" i="23"/>
  <c r="X137" i="23"/>
  <c r="W137" i="23"/>
  <c r="V137" i="23"/>
  <c r="U137" i="23"/>
  <c r="T137" i="23"/>
  <c r="S137" i="23"/>
  <c r="R137" i="23"/>
  <c r="I137" i="23" s="1"/>
  <c r="Q137" i="23"/>
  <c r="CN137" i="23"/>
  <c r="G137" i="23" s="1"/>
  <c r="CM137" i="23"/>
  <c r="F137" i="23" s="1"/>
  <c r="P137" i="23"/>
  <c r="O137" i="23"/>
  <c r="E97" i="17"/>
  <c r="F97" i="17" s="1"/>
  <c r="D97" i="17"/>
  <c r="J137" i="23" l="1"/>
  <c r="C137" i="23"/>
  <c r="H137" i="23"/>
  <c r="E137" i="23"/>
  <c r="D137" i="23"/>
  <c r="M137" i="23"/>
  <c r="K137" i="23"/>
  <c r="T131" i="9"/>
  <c r="F26" i="32" l="1"/>
  <c r="S28" i="33"/>
  <c r="R28" i="33"/>
  <c r="J13" i="34"/>
  <c r="G74" i="22" l="1"/>
  <c r="G73" i="22"/>
  <c r="P135" i="2"/>
  <c r="S27" i="33" l="1"/>
  <c r="R27" i="33"/>
  <c r="X141" i="1"/>
  <c r="X140" i="1"/>
  <c r="X139" i="1"/>
  <c r="W141" i="1"/>
  <c r="H141" i="1"/>
  <c r="Z141" i="1"/>
  <c r="Y141" i="1"/>
  <c r="H140" i="1"/>
  <c r="E140" i="1"/>
  <c r="Z140" i="1"/>
  <c r="Y140" i="1"/>
  <c r="J141" i="1"/>
  <c r="J140" i="1"/>
  <c r="G99" i="15"/>
  <c r="F99" i="15"/>
  <c r="G98" i="15"/>
  <c r="F98" i="15"/>
  <c r="AD136" i="23"/>
  <c r="AC136" i="23"/>
  <c r="AB136" i="23"/>
  <c r="AA136" i="23"/>
  <c r="AC46" i="28"/>
  <c r="AB46" i="28"/>
  <c r="AD46" i="28" l="1"/>
  <c r="F141" i="1"/>
  <c r="G141" i="1" s="1"/>
  <c r="F140" i="1"/>
  <c r="G140" i="1" s="1"/>
  <c r="F25" i="32"/>
  <c r="D87" i="18"/>
  <c r="E87" i="18" s="1"/>
  <c r="F87" i="18" s="1"/>
  <c r="D142" i="3"/>
  <c r="D96" i="17"/>
  <c r="D36" i="30"/>
  <c r="E36" i="30" s="1"/>
  <c r="F36" i="30" s="1"/>
  <c r="AC45" i="28"/>
  <c r="AB45" i="28"/>
  <c r="D12" i="35"/>
  <c r="E12" i="35" s="1"/>
  <c r="F12" i="35" s="1"/>
  <c r="J12" i="34"/>
  <c r="W135" i="23" s="1"/>
  <c r="D12" i="34"/>
  <c r="E12" i="34" s="1"/>
  <c r="F12" i="34" s="1"/>
  <c r="T130" i="9"/>
  <c r="R130" i="9"/>
  <c r="R131" i="9"/>
  <c r="R132" i="9"/>
  <c r="S130" i="9"/>
  <c r="AM135" i="23" s="1"/>
  <c r="O135" i="23"/>
  <c r="P135" i="23"/>
  <c r="CM135" i="23"/>
  <c r="F135" i="23" s="1"/>
  <c r="CN135" i="23"/>
  <c r="G135" i="23" s="1"/>
  <c r="Q135" i="23"/>
  <c r="R135" i="23"/>
  <c r="S135" i="23"/>
  <c r="T135" i="23"/>
  <c r="V135" i="23"/>
  <c r="X135" i="23"/>
  <c r="Y135" i="23"/>
  <c r="Z135" i="23"/>
  <c r="AI135" i="23"/>
  <c r="AJ135" i="23"/>
  <c r="AK135" i="23"/>
  <c r="AL135" i="23"/>
  <c r="AN135" i="23"/>
  <c r="AO135" i="23"/>
  <c r="AP135" i="23"/>
  <c r="AQ135" i="23"/>
  <c r="AR135" i="23"/>
  <c r="BA135" i="23"/>
  <c r="BB135" i="23"/>
  <c r="BC135" i="23"/>
  <c r="BD135" i="23"/>
  <c r="BE135" i="23"/>
  <c r="BF135" i="23"/>
  <c r="BG135" i="23"/>
  <c r="BH135" i="23"/>
  <c r="BI135" i="23"/>
  <c r="BJ135" i="23"/>
  <c r="CK135" i="23"/>
  <c r="CL135" i="23"/>
  <c r="CI135" i="23"/>
  <c r="CJ135" i="23"/>
  <c r="O136" i="23"/>
  <c r="P136" i="23"/>
  <c r="CM136" i="23"/>
  <c r="F136" i="23" s="1"/>
  <c r="CN136" i="23"/>
  <c r="G136" i="23" s="1"/>
  <c r="Q136" i="23"/>
  <c r="R136" i="23"/>
  <c r="S136" i="23"/>
  <c r="T136" i="23"/>
  <c r="U136" i="23"/>
  <c r="V136" i="23"/>
  <c r="W136" i="23"/>
  <c r="X136" i="23"/>
  <c r="Y136" i="23"/>
  <c r="Z136" i="23"/>
  <c r="AI136" i="23"/>
  <c r="AJ136" i="23"/>
  <c r="AK136" i="23"/>
  <c r="AL136" i="23"/>
  <c r="AM136" i="23"/>
  <c r="AN136" i="23"/>
  <c r="AO136" i="23"/>
  <c r="AP136" i="23"/>
  <c r="AQ136" i="23"/>
  <c r="AR136" i="23"/>
  <c r="BA136" i="23"/>
  <c r="BB136" i="23"/>
  <c r="BC136" i="23"/>
  <c r="BD136" i="23"/>
  <c r="BE136" i="23"/>
  <c r="BF136" i="23"/>
  <c r="BG136" i="23"/>
  <c r="BH136" i="23"/>
  <c r="BI136" i="23"/>
  <c r="BJ136" i="23"/>
  <c r="CK136" i="23"/>
  <c r="CL136" i="23"/>
  <c r="CI136" i="23"/>
  <c r="CJ136" i="23"/>
  <c r="BD134" i="23"/>
  <c r="BC134" i="23"/>
  <c r="BB134" i="23"/>
  <c r="W139" i="1"/>
  <c r="H139" i="1"/>
  <c r="BA134" i="23" s="1"/>
  <c r="D139" i="1"/>
  <c r="E139" i="1" s="1"/>
  <c r="F139" i="1" s="1"/>
  <c r="BF134" i="23"/>
  <c r="BE134" i="23"/>
  <c r="Z139" i="1"/>
  <c r="Y139" i="1"/>
  <c r="X138" i="1"/>
  <c r="W138" i="1"/>
  <c r="X137" i="1"/>
  <c r="W137" i="1"/>
  <c r="BF133" i="23"/>
  <c r="BE133" i="23"/>
  <c r="BD133" i="23"/>
  <c r="BC133" i="23"/>
  <c r="BB133" i="23"/>
  <c r="BA133" i="23"/>
  <c r="BF132" i="23"/>
  <c r="BE132" i="23"/>
  <c r="BD132" i="23"/>
  <c r="BC132" i="23"/>
  <c r="BB132" i="23"/>
  <c r="BA132" i="23"/>
  <c r="H138" i="1"/>
  <c r="D138" i="1"/>
  <c r="E138" i="1" s="1"/>
  <c r="F138" i="1" s="1"/>
  <c r="Z138" i="1"/>
  <c r="Y138" i="1"/>
  <c r="H137" i="1"/>
  <c r="D137" i="1"/>
  <c r="Z137" i="1"/>
  <c r="Y137" i="1"/>
  <c r="J136" i="23" l="1"/>
  <c r="D136" i="23"/>
  <c r="C135" i="23"/>
  <c r="C136" i="23"/>
  <c r="AD45" i="28"/>
  <c r="U135" i="23" s="1"/>
  <c r="G139" i="1"/>
  <c r="K136" i="23"/>
  <c r="I136" i="23"/>
  <c r="H136" i="23"/>
  <c r="M136" i="23"/>
  <c r="E142" i="3"/>
  <c r="F142" i="3" s="1"/>
  <c r="E96" i="17"/>
  <c r="F96" i="17" s="1"/>
  <c r="M135" i="23"/>
  <c r="K135" i="23"/>
  <c r="I135" i="23"/>
  <c r="H135" i="23"/>
  <c r="E136" i="23"/>
  <c r="E135" i="23"/>
  <c r="D135" i="23"/>
  <c r="G138" i="1"/>
  <c r="J135" i="23" l="1"/>
  <c r="AN134" i="23"/>
  <c r="AN133" i="23"/>
  <c r="AM133" i="23"/>
  <c r="T129" i="9"/>
  <c r="R129" i="9"/>
  <c r="S129" i="9"/>
  <c r="AM134" i="23" s="1"/>
  <c r="T128" i="9"/>
  <c r="S128" i="9"/>
  <c r="R128" i="9"/>
  <c r="AJ134" i="23"/>
  <c r="AI134" i="23"/>
  <c r="AL133" i="23"/>
  <c r="AJ133" i="23"/>
  <c r="AI133" i="23"/>
  <c r="AJ132" i="23"/>
  <c r="AI132" i="23"/>
  <c r="S26" i="33"/>
  <c r="AK134" i="23" s="1"/>
  <c r="R26" i="33"/>
  <c r="AL134" i="23" s="1"/>
  <c r="R24" i="33"/>
  <c r="AL132" i="23" s="1"/>
  <c r="R23" i="33"/>
  <c r="R22" i="33"/>
  <c r="R25" i="33"/>
  <c r="S25" i="33"/>
  <c r="AK133" i="23" s="1"/>
  <c r="S24" i="33"/>
  <c r="AK132" i="23" s="1"/>
  <c r="G72" i="22"/>
  <c r="G71" i="22" l="1"/>
  <c r="CL134" i="23" l="1"/>
  <c r="CK134" i="23"/>
  <c r="CL133" i="23"/>
  <c r="CK133" i="23"/>
  <c r="CL132" i="23"/>
  <c r="CK132" i="23"/>
  <c r="G70" i="22"/>
  <c r="F24" i="32" l="1"/>
  <c r="AQ134" i="23" s="1"/>
  <c r="F23" i="32"/>
  <c r="AN132" i="23"/>
  <c r="AR134" i="23"/>
  <c r="AR133" i="23"/>
  <c r="AQ133" i="23"/>
  <c r="AR132" i="23"/>
  <c r="AQ132" i="23"/>
  <c r="F22" i="32"/>
  <c r="T127" i="9"/>
  <c r="S127" i="9"/>
  <c r="AM132" i="23" s="1"/>
  <c r="R127" i="9"/>
  <c r="CJ134" i="23"/>
  <c r="CI134" i="23"/>
  <c r="CJ133" i="23"/>
  <c r="CI133" i="23"/>
  <c r="CJ132" i="23"/>
  <c r="CI132" i="23"/>
  <c r="BJ134" i="23"/>
  <c r="BI134" i="23"/>
  <c r="BJ133" i="23"/>
  <c r="BI133" i="23"/>
  <c r="BJ132" i="23"/>
  <c r="BI132" i="23"/>
  <c r="AP134" i="23"/>
  <c r="AP133" i="23"/>
  <c r="P133" i="2"/>
  <c r="AO133" i="23" s="1"/>
  <c r="P134" i="2" l="1"/>
  <c r="AO134" i="23" s="1"/>
  <c r="AP132" i="23" l="1"/>
  <c r="P132" i="2"/>
  <c r="AO132" i="23" s="1"/>
  <c r="CP134" i="23"/>
  <c r="CO134" i="23"/>
  <c r="CP133" i="23"/>
  <c r="CO133" i="23"/>
  <c r="CP132" i="23"/>
  <c r="CO132" i="23"/>
  <c r="B108" i="12"/>
  <c r="B107" i="12"/>
  <c r="B106" i="12"/>
  <c r="BH134" i="23"/>
  <c r="BG134" i="23"/>
  <c r="BH133" i="23"/>
  <c r="BG133" i="23"/>
  <c r="BH132" i="23"/>
  <c r="BG132" i="23"/>
  <c r="F92" i="15"/>
  <c r="F93" i="15"/>
  <c r="F94" i="15"/>
  <c r="F95" i="15"/>
  <c r="F96" i="15"/>
  <c r="F97" i="15"/>
  <c r="G97" i="15"/>
  <c r="G96" i="15"/>
  <c r="G95" i="15"/>
  <c r="Z134" i="23"/>
  <c r="Y134" i="23"/>
  <c r="Z133" i="23"/>
  <c r="Y133" i="23"/>
  <c r="Z132" i="23"/>
  <c r="Y132" i="23"/>
  <c r="D11" i="35"/>
  <c r="E11" i="35" s="1"/>
  <c r="F11" i="35" s="1"/>
  <c r="D10" i="35"/>
  <c r="E10" i="35" s="1"/>
  <c r="F10" i="35" s="1"/>
  <c r="D9" i="35"/>
  <c r="E9" i="35" s="1"/>
  <c r="F9" i="35" s="1"/>
  <c r="X134" i="23"/>
  <c r="X133" i="23"/>
  <c r="X132" i="23"/>
  <c r="J11" i="34"/>
  <c r="W134" i="23" s="1"/>
  <c r="J10" i="34"/>
  <c r="W133" i="23" s="1"/>
  <c r="J9" i="34"/>
  <c r="W132" i="23" s="1"/>
  <c r="D11" i="34"/>
  <c r="E11" i="34" s="1"/>
  <c r="F11" i="34" s="1"/>
  <c r="D10" i="34"/>
  <c r="E10" i="34" s="1"/>
  <c r="F10" i="34" s="1"/>
  <c r="D9" i="34"/>
  <c r="E9" i="34" s="1"/>
  <c r="F9" i="34" s="1"/>
  <c r="T134" i="23"/>
  <c r="M134" i="23" s="1"/>
  <c r="S134" i="23"/>
  <c r="T133" i="23"/>
  <c r="S133" i="23"/>
  <c r="T132" i="23"/>
  <c r="S132" i="23"/>
  <c r="D35" i="30"/>
  <c r="E35" i="30" s="1"/>
  <c r="F35" i="30" s="1"/>
  <c r="D34" i="30"/>
  <c r="E34" i="30" s="1"/>
  <c r="F34" i="30" s="1"/>
  <c r="D33" i="30"/>
  <c r="E33" i="30" s="1"/>
  <c r="F33" i="30" s="1"/>
  <c r="R134" i="23"/>
  <c r="I134" i="23" s="1"/>
  <c r="Q134" i="23"/>
  <c r="H134" i="23" s="1"/>
  <c r="R133" i="23"/>
  <c r="I133" i="23" s="1"/>
  <c r="Q133" i="23"/>
  <c r="H133" i="23" s="1"/>
  <c r="R132" i="23"/>
  <c r="I132" i="23" s="1"/>
  <c r="Q132" i="23"/>
  <c r="H132" i="23" s="1"/>
  <c r="D86" i="18"/>
  <c r="E86" i="18" s="1"/>
  <c r="F86" i="18" s="1"/>
  <c r="D85" i="18"/>
  <c r="E85" i="18" s="1"/>
  <c r="F85" i="18" s="1"/>
  <c r="D84" i="18"/>
  <c r="E84" i="18" s="1"/>
  <c r="F84" i="18" s="1"/>
  <c r="CN134" i="23"/>
  <c r="G134" i="23" s="1"/>
  <c r="CM134" i="23"/>
  <c r="F134" i="23" s="1"/>
  <c r="CN133" i="23"/>
  <c r="G133" i="23" s="1"/>
  <c r="CM133" i="23"/>
  <c r="F133" i="23" s="1"/>
  <c r="CN132" i="23"/>
  <c r="G132" i="23" s="1"/>
  <c r="CM132" i="23"/>
  <c r="F132" i="23" s="1"/>
  <c r="D95" i="17"/>
  <c r="D94" i="17"/>
  <c r="D93" i="17"/>
  <c r="P134" i="23"/>
  <c r="O134" i="23"/>
  <c r="P133" i="23"/>
  <c r="O133" i="23"/>
  <c r="P132" i="23"/>
  <c r="O132" i="23"/>
  <c r="D141" i="3"/>
  <c r="D140" i="3"/>
  <c r="D139" i="3"/>
  <c r="E139" i="3" s="1"/>
  <c r="F139" i="3" s="1"/>
  <c r="V134" i="23"/>
  <c r="V133" i="23"/>
  <c r="V132" i="23"/>
  <c r="AC44" i="28"/>
  <c r="AB44" i="28"/>
  <c r="AC43" i="28"/>
  <c r="AB43" i="28"/>
  <c r="AC42" i="28"/>
  <c r="AB42" i="28"/>
  <c r="J137" i="1"/>
  <c r="J138" i="1"/>
  <c r="J139" i="1"/>
  <c r="Z136" i="1"/>
  <c r="Y136" i="1"/>
  <c r="Z135" i="1"/>
  <c r="Y135" i="1"/>
  <c r="Z134" i="1"/>
  <c r="Y134" i="1"/>
  <c r="Z133" i="1"/>
  <c r="Y133" i="1"/>
  <c r="Z132" i="1"/>
  <c r="Y132" i="1"/>
  <c r="Z131" i="1"/>
  <c r="Y131" i="1"/>
  <c r="BC126" i="23"/>
  <c r="BC131" i="23"/>
  <c r="BC130" i="23"/>
  <c r="BC129" i="23"/>
  <c r="BC128" i="23"/>
  <c r="BC127" i="23"/>
  <c r="X136" i="1"/>
  <c r="X135" i="1"/>
  <c r="BD131" i="23"/>
  <c r="BD130" i="23"/>
  <c r="BD129" i="23"/>
  <c r="B136" i="1"/>
  <c r="E137" i="1" s="1"/>
  <c r="F137" i="1" s="1"/>
  <c r="G137" i="1" s="1"/>
  <c r="BB131" i="23"/>
  <c r="BB130" i="23"/>
  <c r="BB129" i="23"/>
  <c r="B135" i="1"/>
  <c r="W135" i="1" s="1"/>
  <c r="B134" i="1"/>
  <c r="H134" i="1" s="1"/>
  <c r="BA129" i="23" s="1"/>
  <c r="X134" i="1"/>
  <c r="BF131" i="23"/>
  <c r="BE131" i="23"/>
  <c r="BF130" i="23"/>
  <c r="BE130" i="23"/>
  <c r="BF129" i="23"/>
  <c r="BE129" i="23"/>
  <c r="D136" i="1"/>
  <c r="E136" i="1" s="1"/>
  <c r="D135" i="1"/>
  <c r="D134" i="1"/>
  <c r="E134" i="1" s="1"/>
  <c r="J134" i="1"/>
  <c r="J135" i="1"/>
  <c r="J136" i="1"/>
  <c r="S126" i="9"/>
  <c r="AD44" i="28" l="1"/>
  <c r="U134" i="23" s="1"/>
  <c r="H136" i="1"/>
  <c r="BA131" i="23" s="1"/>
  <c r="W136" i="1"/>
  <c r="M132" i="23"/>
  <c r="E132" i="23"/>
  <c r="C132" i="23"/>
  <c r="K133" i="23"/>
  <c r="K134" i="23"/>
  <c r="E134" i="23"/>
  <c r="C134" i="23"/>
  <c r="M133" i="23"/>
  <c r="K132" i="23"/>
  <c r="D132" i="23"/>
  <c r="D133" i="23"/>
  <c r="E133" i="23"/>
  <c r="C133" i="23"/>
  <c r="D134" i="23"/>
  <c r="AD42" i="28"/>
  <c r="U132" i="23" s="1"/>
  <c r="AD43" i="28"/>
  <c r="U133" i="23" s="1"/>
  <c r="J133" i="23" s="1"/>
  <c r="E94" i="17"/>
  <c r="F94" i="17" s="1"/>
  <c r="E93" i="17"/>
  <c r="F93" i="17" s="1"/>
  <c r="E95" i="17"/>
  <c r="F95" i="17" s="1"/>
  <c r="E140" i="3"/>
  <c r="F140" i="3" s="1"/>
  <c r="E141" i="3"/>
  <c r="F141" i="3" s="1"/>
  <c r="E135" i="1"/>
  <c r="F134" i="1"/>
  <c r="G134" i="1" s="1"/>
  <c r="H135" i="1"/>
  <c r="BA130" i="23" s="1"/>
  <c r="F136" i="1"/>
  <c r="G136" i="1" s="1"/>
  <c r="F135" i="1"/>
  <c r="G135" i="1" s="1"/>
  <c r="W134" i="1"/>
  <c r="J134" i="23" l="1"/>
  <c r="J132" i="23"/>
  <c r="AN131" i="23"/>
  <c r="R126" i="9"/>
  <c r="AM131" i="23" l="1"/>
  <c r="R125" i="9" l="1"/>
  <c r="AN130" i="23"/>
  <c r="T126" i="9"/>
  <c r="S125" i="9" l="1"/>
  <c r="AM130" i="23" s="1"/>
  <c r="CJ131" i="23"/>
  <c r="CI131" i="23"/>
  <c r="CJ130" i="23"/>
  <c r="CI130" i="23"/>
  <c r="BJ131" i="23"/>
  <c r="BI131" i="23"/>
  <c r="BJ130" i="23"/>
  <c r="BI130" i="23"/>
  <c r="CJ129" i="23" l="1"/>
  <c r="CI129" i="23"/>
  <c r="BJ129" i="23"/>
  <c r="BI129" i="23"/>
  <c r="R124" i="9"/>
  <c r="T125" i="9"/>
  <c r="AN129" i="23"/>
  <c r="B105" i="12"/>
  <c r="B104" i="12"/>
  <c r="CP131" i="23"/>
  <c r="CO131" i="23"/>
  <c r="CP130" i="23"/>
  <c r="CO130" i="23"/>
  <c r="CP129" i="23"/>
  <c r="CO129" i="23"/>
  <c r="B103" i="12"/>
  <c r="S21" i="33"/>
  <c r="AK129" i="23" s="1"/>
  <c r="R21" i="33"/>
  <c r="AL129" i="23" s="1"/>
  <c r="T124" i="9" l="1"/>
  <c r="S124" i="9"/>
  <c r="AM129" i="23" s="1"/>
  <c r="S22" i="33"/>
  <c r="AK130" i="23" s="1"/>
  <c r="AL130" i="23"/>
  <c r="AL131" i="23"/>
  <c r="S23" i="33"/>
  <c r="AK131" i="23" s="1"/>
  <c r="CL131" i="23" l="1"/>
  <c r="CK131" i="23"/>
  <c r="CL130" i="23"/>
  <c r="CK130" i="23"/>
  <c r="G69" i="22"/>
  <c r="G68" i="22"/>
  <c r="P131" i="2" l="1"/>
  <c r="P130" i="2"/>
  <c r="AQ131" i="23" l="1"/>
  <c r="AR131" i="23"/>
  <c r="D8" i="35"/>
  <c r="E8" i="35" s="1"/>
  <c r="F8" i="35" s="1"/>
  <c r="D7" i="35"/>
  <c r="E7" i="35" s="1"/>
  <c r="F7" i="35" s="1"/>
  <c r="D6" i="35"/>
  <c r="E6" i="35" s="1"/>
  <c r="F6" i="35" s="1"/>
  <c r="J8" i="34"/>
  <c r="J7" i="34"/>
  <c r="J6" i="34"/>
  <c r="D8" i="34" l="1"/>
  <c r="E8" i="34" s="1"/>
  <c r="F8" i="34" s="1"/>
  <c r="D7" i="34"/>
  <c r="E7" i="34" s="1"/>
  <c r="F7" i="34" s="1"/>
  <c r="D6" i="34"/>
  <c r="E6" i="34" s="1"/>
  <c r="F6" i="34" s="1"/>
  <c r="CL129" i="23"/>
  <c r="CK129" i="23"/>
  <c r="G67" i="22"/>
  <c r="AP131" i="23"/>
  <c r="AO131" i="23"/>
  <c r="AP130" i="23"/>
  <c r="AO130" i="23"/>
  <c r="AP129" i="23"/>
  <c r="P129" i="2"/>
  <c r="AO129" i="23" s="1"/>
  <c r="CR130" i="23"/>
  <c r="CQ130" i="23"/>
  <c r="CR129" i="23"/>
  <c r="CQ129" i="23"/>
  <c r="AR130" i="23"/>
  <c r="AQ130" i="23"/>
  <c r="AR129" i="23"/>
  <c r="AQ129" i="23"/>
  <c r="F21" i="32"/>
  <c r="F20" i="32"/>
  <c r="F19" i="32"/>
  <c r="O120" i="10"/>
  <c r="O119" i="10" l="1"/>
  <c r="D32" i="30"/>
  <c r="E32" i="30" s="1"/>
  <c r="F32" i="30" s="1"/>
  <c r="D31" i="30"/>
  <c r="E31" i="30" s="1"/>
  <c r="F31" i="30" s="1"/>
  <c r="E30" i="30"/>
  <c r="F30" i="30" s="1"/>
  <c r="D30" i="30"/>
  <c r="D83" i="18"/>
  <c r="E83" i="18" s="1"/>
  <c r="F83" i="18" s="1"/>
  <c r="D82" i="18"/>
  <c r="E82" i="18" s="1"/>
  <c r="F82" i="18" s="1"/>
  <c r="D81" i="18"/>
  <c r="E81" i="18" s="1"/>
  <c r="F81" i="18" s="1"/>
  <c r="D138" i="3"/>
  <c r="E137" i="3"/>
  <c r="D137" i="3"/>
  <c r="F137" i="3" s="1"/>
  <c r="E136" i="3"/>
  <c r="F136" i="3" s="1"/>
  <c r="D136" i="3"/>
  <c r="D90" i="17"/>
  <c r="E90" i="17" s="1"/>
  <c r="D91" i="17"/>
  <c r="E91" i="17" s="1"/>
  <c r="F91" i="17" s="1"/>
  <c r="D92" i="17"/>
  <c r="BG129" i="23"/>
  <c r="BH129" i="23"/>
  <c r="BG130" i="23"/>
  <c r="BH130" i="23"/>
  <c r="BG131" i="23"/>
  <c r="BH131" i="23"/>
  <c r="O129" i="23"/>
  <c r="P129" i="23"/>
  <c r="E129" i="23" s="1"/>
  <c r="CM129" i="23"/>
  <c r="CN129" i="23"/>
  <c r="G129" i="23" s="1"/>
  <c r="Q129" i="23"/>
  <c r="H129" i="23" s="1"/>
  <c r="R129" i="23"/>
  <c r="I129" i="23" s="1"/>
  <c r="S129" i="23"/>
  <c r="T129" i="23"/>
  <c r="V129" i="23"/>
  <c r="K129" i="23" s="1"/>
  <c r="W129" i="23"/>
  <c r="X129" i="23"/>
  <c r="Y129" i="23"/>
  <c r="Z129" i="23"/>
  <c r="AI129" i="23"/>
  <c r="AJ129" i="23"/>
  <c r="O130" i="23"/>
  <c r="P130" i="23"/>
  <c r="CM130" i="23"/>
  <c r="F130" i="23" s="1"/>
  <c r="CN130" i="23"/>
  <c r="G130" i="23" s="1"/>
  <c r="Q130" i="23"/>
  <c r="H130" i="23" s="1"/>
  <c r="R130" i="23"/>
  <c r="I130" i="23" s="1"/>
  <c r="S130" i="23"/>
  <c r="T130" i="23"/>
  <c r="V130" i="23"/>
  <c r="W130" i="23"/>
  <c r="X130" i="23"/>
  <c r="Y130" i="23"/>
  <c r="Z130" i="23"/>
  <c r="AI130" i="23"/>
  <c r="AJ130" i="23"/>
  <c r="O131" i="23"/>
  <c r="P131" i="23"/>
  <c r="CM131" i="23"/>
  <c r="F131" i="23" s="1"/>
  <c r="CN131" i="23"/>
  <c r="G131" i="23" s="1"/>
  <c r="Q131" i="23"/>
  <c r="H131" i="23" s="1"/>
  <c r="R131" i="23"/>
  <c r="I131" i="23" s="1"/>
  <c r="S131" i="23"/>
  <c r="T131" i="23"/>
  <c r="V131" i="23"/>
  <c r="W131" i="23"/>
  <c r="X131" i="23"/>
  <c r="Y131" i="23"/>
  <c r="Z131" i="23"/>
  <c r="AI131" i="23"/>
  <c r="AJ131" i="23"/>
  <c r="G91" i="15"/>
  <c r="G92" i="15"/>
  <c r="G93" i="15"/>
  <c r="G94" i="15"/>
  <c r="AC41" i="28"/>
  <c r="AB41" i="28"/>
  <c r="AC40" i="28"/>
  <c r="AB40" i="28"/>
  <c r="AC39" i="28"/>
  <c r="AB39" i="28"/>
  <c r="BE128" i="23"/>
  <c r="BE127" i="23"/>
  <c r="BE126" i="23"/>
  <c r="W131" i="1"/>
  <c r="W132" i="1"/>
  <c r="W133" i="1"/>
  <c r="Z128" i="23"/>
  <c r="BF128" i="23"/>
  <c r="BD128" i="23"/>
  <c r="BB128" i="23"/>
  <c r="BF127" i="23"/>
  <c r="BD127" i="23"/>
  <c r="BB127" i="23"/>
  <c r="BF126" i="23"/>
  <c r="BD126" i="23"/>
  <c r="BB126" i="23"/>
  <c r="X133" i="1"/>
  <c r="X132" i="1"/>
  <c r="H133" i="1"/>
  <c r="BA128" i="23" s="1"/>
  <c r="H132" i="1"/>
  <c r="BA127" i="23" s="1"/>
  <c r="X131" i="1"/>
  <c r="H131" i="1"/>
  <c r="BA126" i="23" s="1"/>
  <c r="D133" i="1"/>
  <c r="E133" i="1" s="1"/>
  <c r="D132" i="1"/>
  <c r="E132" i="1" s="1"/>
  <c r="D131" i="1"/>
  <c r="J131" i="1"/>
  <c r="J132" i="1"/>
  <c r="J133" i="1"/>
  <c r="X27" i="31"/>
  <c r="T27" i="31"/>
  <c r="P27" i="31"/>
  <c r="L27" i="31"/>
  <c r="H27" i="31"/>
  <c r="D27" i="31"/>
  <c r="M131" i="23" l="1"/>
  <c r="M129" i="23"/>
  <c r="M130" i="23"/>
  <c r="K130" i="23"/>
  <c r="K131" i="23"/>
  <c r="AD39" i="28"/>
  <c r="U129" i="23" s="1"/>
  <c r="J129" i="23" s="1"/>
  <c r="AD41" i="28"/>
  <c r="U131" i="23" s="1"/>
  <c r="J131" i="23" s="1"/>
  <c r="AD40" i="28"/>
  <c r="U130" i="23" s="1"/>
  <c r="J130" i="23" s="1"/>
  <c r="D129" i="23"/>
  <c r="D131" i="23"/>
  <c r="D130" i="23"/>
  <c r="E130" i="23"/>
  <c r="E131" i="23"/>
  <c r="F129" i="23"/>
  <c r="E138" i="3"/>
  <c r="F138" i="3" s="1"/>
  <c r="E92" i="17"/>
  <c r="F92" i="17" s="1"/>
  <c r="F90" i="17"/>
  <c r="C131" i="23"/>
  <c r="C130" i="23"/>
  <c r="C129" i="23"/>
  <c r="F133" i="1"/>
  <c r="G133" i="1" s="1"/>
  <c r="F132" i="1"/>
  <c r="G132" i="1" s="1"/>
  <c r="AJ128" i="23"/>
  <c r="AI128" i="23"/>
  <c r="S20" i="33"/>
  <c r="AK128" i="23" s="1"/>
  <c r="R20" i="33"/>
  <c r="AL128" i="23" s="1"/>
  <c r="BJ128" i="23" l="1"/>
  <c r="BI128" i="23"/>
  <c r="R123" i="9"/>
  <c r="AN128" i="23"/>
  <c r="CJ128" i="23" l="1"/>
  <c r="CI128" i="23"/>
  <c r="CR128" i="23" l="1"/>
  <c r="CQ128" i="23"/>
  <c r="O118" i="10"/>
  <c r="AR128" i="23"/>
  <c r="AQ128" i="23"/>
  <c r="F18" i="32"/>
  <c r="AP128" i="23"/>
  <c r="AO128" i="23"/>
  <c r="P128" i="2"/>
  <c r="CL128" i="23"/>
  <c r="CK128" i="23"/>
  <c r="G66" i="22"/>
  <c r="BH128" i="23"/>
  <c r="BG128" i="23"/>
  <c r="F91" i="15"/>
  <c r="B102" i="12"/>
  <c r="CP128" i="23"/>
  <c r="CO128" i="23"/>
  <c r="Y128" i="23"/>
  <c r="X128" i="23"/>
  <c r="V128" i="23"/>
  <c r="T128" i="23"/>
  <c r="S128" i="23"/>
  <c r="R128" i="23"/>
  <c r="I128" i="23" s="1"/>
  <c r="Q128" i="23"/>
  <c r="H128" i="23" s="1"/>
  <c r="CN128" i="23"/>
  <c r="G128" i="23" s="1"/>
  <c r="CM128" i="23"/>
  <c r="F128" i="23" s="1"/>
  <c r="P128" i="23"/>
  <c r="O128" i="23"/>
  <c r="D5" i="35"/>
  <c r="E5" i="35" s="1"/>
  <c r="F5" i="35" s="1"/>
  <c r="D4" i="35"/>
  <c r="E4" i="35" s="1"/>
  <c r="F4" i="35" s="1"/>
  <c r="D3" i="35"/>
  <c r="E3" i="35" s="1"/>
  <c r="F3" i="35" s="1"/>
  <c r="D5" i="34"/>
  <c r="E5" i="34" s="1"/>
  <c r="F5" i="34" s="1"/>
  <c r="D4" i="34"/>
  <c r="E4" i="34" s="1"/>
  <c r="F4" i="34" s="1"/>
  <c r="D3" i="34"/>
  <c r="E3" i="34" s="1"/>
  <c r="F3" i="34" s="1"/>
  <c r="F29" i="30"/>
  <c r="E29" i="30"/>
  <c r="D29" i="30"/>
  <c r="J5" i="34"/>
  <c r="W128" i="23" s="1"/>
  <c r="AC38" i="28"/>
  <c r="AB38" i="28"/>
  <c r="D80" i="18"/>
  <c r="E80" i="18" s="1"/>
  <c r="F80" i="18" s="1"/>
  <c r="D89" i="17"/>
  <c r="D135" i="3"/>
  <c r="E128" i="23" l="1"/>
  <c r="AD38" i="28"/>
  <c r="U128" i="23" s="1"/>
  <c r="M128" i="23"/>
  <c r="D128" i="23"/>
  <c r="K128" i="23"/>
  <c r="C128" i="23"/>
  <c r="E89" i="17"/>
  <c r="F89" i="17" s="1"/>
  <c r="E135" i="3"/>
  <c r="F135" i="3" s="1"/>
  <c r="J4" i="34" l="1"/>
  <c r="W127" i="23" s="1"/>
  <c r="J2" i="34"/>
  <c r="W125" i="23" s="1"/>
  <c r="J3" i="34"/>
  <c r="W126" i="23" s="1"/>
  <c r="AJ127" i="23" l="1"/>
  <c r="AI127" i="23"/>
  <c r="S19" i="33"/>
  <c r="AK127" i="23" s="1"/>
  <c r="R19" i="33"/>
  <c r="AL127" i="23" s="1"/>
  <c r="R122" i="9"/>
  <c r="AN127" i="23"/>
  <c r="BJ127" i="23"/>
  <c r="BI127" i="23"/>
  <c r="CJ127" i="23"/>
  <c r="CI127" i="23"/>
  <c r="CR127" i="23"/>
  <c r="CQ127" i="23"/>
  <c r="O117" i="10"/>
  <c r="AR127" i="23"/>
  <c r="AQ127" i="23"/>
  <c r="F17" i="32"/>
  <c r="CP127" i="23"/>
  <c r="CO127" i="23"/>
  <c r="B101" i="12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93" i="12"/>
  <c r="K94" i="12"/>
  <c r="K95" i="12"/>
  <c r="K96" i="12"/>
  <c r="K97" i="12"/>
  <c r="K98" i="12"/>
  <c r="K99" i="12"/>
  <c r="K100" i="12"/>
  <c r="K101" i="12"/>
  <c r="K2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2" i="12"/>
  <c r="CT127" i="23"/>
  <c r="CS127" i="23"/>
  <c r="BH127" i="23"/>
  <c r="BG127" i="23"/>
  <c r="F90" i="15"/>
  <c r="G90" i="15"/>
  <c r="CL127" i="23"/>
  <c r="CK127" i="23"/>
  <c r="G65" i="22"/>
  <c r="AP127" i="23"/>
  <c r="P127" i="2"/>
  <c r="AO127" i="23" s="1"/>
  <c r="Z127" i="23"/>
  <c r="Y127" i="23"/>
  <c r="X127" i="23"/>
  <c r="V127" i="23"/>
  <c r="T127" i="23"/>
  <c r="S127" i="23"/>
  <c r="R127" i="23"/>
  <c r="I127" i="23" s="1"/>
  <c r="Q127" i="23"/>
  <c r="CN127" i="23"/>
  <c r="CM127" i="23"/>
  <c r="P127" i="23"/>
  <c r="O127" i="23"/>
  <c r="AC37" i="28"/>
  <c r="AB37" i="28"/>
  <c r="D28" i="30"/>
  <c r="E28" i="30" s="1"/>
  <c r="F28" i="30" s="1"/>
  <c r="D79" i="18"/>
  <c r="E79" i="18" s="1"/>
  <c r="F79" i="18" s="1"/>
  <c r="D88" i="17"/>
  <c r="D134" i="3"/>
  <c r="S18" i="33"/>
  <c r="AK126" i="23" s="1"/>
  <c r="R18" i="33"/>
  <c r="AL126" i="23" s="1"/>
  <c r="AJ126" i="23"/>
  <c r="AI126" i="23"/>
  <c r="AD37" i="28" l="1"/>
  <c r="U127" i="23" s="1"/>
  <c r="S122" i="9"/>
  <c r="AM127" i="23" s="1"/>
  <c r="K127" i="23"/>
  <c r="D127" i="23"/>
  <c r="F127" i="23"/>
  <c r="E127" i="23"/>
  <c r="M127" i="23"/>
  <c r="G127" i="23"/>
  <c r="H127" i="23"/>
  <c r="C127" i="23"/>
  <c r="E88" i="17"/>
  <c r="F88" i="17" s="1"/>
  <c r="E134" i="3"/>
  <c r="F134" i="3" s="1"/>
  <c r="CR126" i="23"/>
  <c r="CQ126" i="23"/>
  <c r="O116" i="10"/>
  <c r="AR126" i="23"/>
  <c r="AQ126" i="23"/>
  <c r="F16" i="32"/>
  <c r="CL126" i="23"/>
  <c r="CK126" i="23"/>
  <c r="G64" i="22"/>
  <c r="J127" i="23" l="1"/>
  <c r="CJ126" i="23"/>
  <c r="CI126" i="23"/>
  <c r="BJ126" i="23"/>
  <c r="BI126" i="23"/>
  <c r="R121" i="9"/>
  <c r="AN126" i="23"/>
  <c r="AP126" i="23"/>
  <c r="P126" i="2"/>
  <c r="AO126" i="23" s="1"/>
  <c r="S121" i="9" l="1"/>
  <c r="AM126" i="23" s="1"/>
  <c r="T122" i="9"/>
  <c r="CT126" i="23"/>
  <c r="CS126" i="23"/>
  <c r="BH126" i="23"/>
  <c r="BG126" i="23"/>
  <c r="F89" i="15"/>
  <c r="G89" i="15"/>
  <c r="CP126" i="23"/>
  <c r="CO126" i="23"/>
  <c r="Z126" i="23"/>
  <c r="Y126" i="23"/>
  <c r="X126" i="23"/>
  <c r="V126" i="23"/>
  <c r="K126" i="23" s="1"/>
  <c r="AC36" i="28"/>
  <c r="AB36" i="28"/>
  <c r="T126" i="23"/>
  <c r="S126" i="23"/>
  <c r="R126" i="23"/>
  <c r="I126" i="23" s="1"/>
  <c r="Q126" i="23"/>
  <c r="H126" i="23" s="1"/>
  <c r="CN126" i="23"/>
  <c r="G126" i="23" s="1"/>
  <c r="CM126" i="23"/>
  <c r="P126" i="23"/>
  <c r="O126" i="23"/>
  <c r="D27" i="30"/>
  <c r="E27" i="30" s="1"/>
  <c r="F27" i="30" s="1"/>
  <c r="D78" i="18"/>
  <c r="E78" i="18" s="1"/>
  <c r="F78" i="18" s="1"/>
  <c r="D87" i="17"/>
  <c r="D133" i="3"/>
  <c r="S17" i="33"/>
  <c r="AK125" i="23" s="1"/>
  <c r="R17" i="33"/>
  <c r="AL125" i="23" s="1"/>
  <c r="AJ125" i="23"/>
  <c r="AI125" i="23"/>
  <c r="AD36" i="28" l="1"/>
  <c r="U126" i="23" s="1"/>
  <c r="J126" i="23" s="1"/>
  <c r="M126" i="23"/>
  <c r="D126" i="23"/>
  <c r="E126" i="23"/>
  <c r="F126" i="23"/>
  <c r="C126" i="23"/>
  <c r="E87" i="17"/>
  <c r="F87" i="17" s="1"/>
  <c r="E133" i="3"/>
  <c r="F133" i="3" s="1"/>
  <c r="P125" i="2"/>
  <c r="Z125" i="23"/>
  <c r="Y125" i="23"/>
  <c r="X125" i="23"/>
  <c r="R120" i="9" l="1"/>
  <c r="CM124" i="23"/>
  <c r="T121" i="9" l="1"/>
  <c r="S120" i="9"/>
  <c r="BJ125" i="23"/>
  <c r="BI125" i="23"/>
  <c r="CJ125" i="23"/>
  <c r="CI125" i="23"/>
  <c r="O115" i="10"/>
  <c r="CL125" i="23"/>
  <c r="G63" i="22"/>
  <c r="CK125" i="23" s="1"/>
  <c r="AR125" i="23" l="1"/>
  <c r="F15" i="32"/>
  <c r="AQ125" i="23" s="1"/>
  <c r="CR125" i="23"/>
  <c r="CQ125" i="23"/>
  <c r="AN125" i="23"/>
  <c r="AM125" i="23"/>
  <c r="AP125" i="23"/>
  <c r="AO125" i="23"/>
  <c r="X130" i="1"/>
  <c r="X128" i="1"/>
  <c r="W128" i="1"/>
  <c r="D129" i="1"/>
  <c r="D130" i="1"/>
  <c r="B130" i="1"/>
  <c r="E131" i="1" s="1"/>
  <c r="F131" i="1" s="1"/>
  <c r="H128" i="1"/>
  <c r="D128" i="1"/>
  <c r="E128" i="1" s="1"/>
  <c r="BF125" i="23"/>
  <c r="BE125" i="23"/>
  <c r="BD125" i="23"/>
  <c r="BC125" i="23"/>
  <c r="BB125" i="23"/>
  <c r="X24" i="31"/>
  <c r="G131" i="1" l="1"/>
  <c r="W130" i="1"/>
  <c r="H130" i="1"/>
  <c r="BA125" i="23" s="1"/>
  <c r="F128" i="1"/>
  <c r="G128" i="1" s="1"/>
  <c r="T24" i="31"/>
  <c r="P24" i="31" l="1"/>
  <c r="L24" i="31" l="1"/>
  <c r="H24" i="31" l="1"/>
  <c r="D24" i="31" l="1"/>
  <c r="CP125" i="23" l="1"/>
  <c r="CO125" i="23"/>
  <c r="CT125" i="23"/>
  <c r="CS125" i="23"/>
  <c r="BH125" i="23"/>
  <c r="BG125" i="23"/>
  <c r="F88" i="15"/>
  <c r="G88" i="15"/>
  <c r="T125" i="23"/>
  <c r="M125" i="23" s="1"/>
  <c r="S125" i="23"/>
  <c r="R125" i="23"/>
  <c r="I125" i="23" s="1"/>
  <c r="Q125" i="23"/>
  <c r="H125" i="23" s="1"/>
  <c r="CN125" i="23"/>
  <c r="G125" i="23" s="1"/>
  <c r="CM125" i="23"/>
  <c r="F125" i="23" s="1"/>
  <c r="P125" i="23"/>
  <c r="O125" i="23"/>
  <c r="D77" i="18"/>
  <c r="E77" i="18" s="1"/>
  <c r="F77" i="18" s="1"/>
  <c r="D132" i="3"/>
  <c r="D86" i="17"/>
  <c r="E86" i="17" s="1"/>
  <c r="F86" i="17" s="1"/>
  <c r="D26" i="30"/>
  <c r="E26" i="30" s="1"/>
  <c r="F26" i="30" s="1"/>
  <c r="V125" i="23"/>
  <c r="K125" i="23" s="1"/>
  <c r="AC35" i="28"/>
  <c r="AB35" i="28"/>
  <c r="CP123" i="23"/>
  <c r="CP124" i="23"/>
  <c r="X129" i="1"/>
  <c r="E129" i="1"/>
  <c r="B129" i="1"/>
  <c r="E130" i="1" s="1"/>
  <c r="F130" i="1" s="1"/>
  <c r="J128" i="1"/>
  <c r="J129" i="1"/>
  <c r="J130" i="1"/>
  <c r="O114" i="10"/>
  <c r="O113" i="10"/>
  <c r="S16" i="33"/>
  <c r="R16" i="33"/>
  <c r="S15" i="33"/>
  <c r="R15" i="33"/>
  <c r="R119" i="9"/>
  <c r="T120" i="9"/>
  <c r="R118" i="9"/>
  <c r="BC122" i="23"/>
  <c r="BE122" i="23"/>
  <c r="W129" i="1" l="1"/>
  <c r="D125" i="23"/>
  <c r="C125" i="23"/>
  <c r="E125" i="23"/>
  <c r="S119" i="9"/>
  <c r="F129" i="1"/>
  <c r="G129" i="1" s="1"/>
  <c r="AD35" i="28"/>
  <c r="U125" i="23" s="1"/>
  <c r="J125" i="23" s="1"/>
  <c r="S118" i="9"/>
  <c r="T119" i="9"/>
  <c r="H129" i="1"/>
  <c r="G130" i="1"/>
  <c r="E132" i="3"/>
  <c r="F132" i="3" s="1"/>
  <c r="BE110" i="23"/>
  <c r="BC110" i="23"/>
  <c r="F14" i="32" l="1"/>
  <c r="F13" i="32"/>
  <c r="AQ123" i="23" s="1"/>
  <c r="F87" i="15"/>
  <c r="G87" i="15"/>
  <c r="F86" i="15"/>
  <c r="G86" i="15"/>
  <c r="G62" i="22"/>
  <c r="P124" i="2"/>
  <c r="CO124" i="23"/>
  <c r="AO124" i="23"/>
  <c r="AP124" i="23"/>
  <c r="CI123" i="23"/>
  <c r="CJ123" i="23"/>
  <c r="CI124" i="23"/>
  <c r="CJ124" i="23"/>
  <c r="CK124" i="23"/>
  <c r="CL124" i="23"/>
  <c r="BG123" i="23"/>
  <c r="BH123" i="23"/>
  <c r="CS123" i="23"/>
  <c r="CT123" i="23"/>
  <c r="BI123" i="23"/>
  <c r="BJ123" i="23"/>
  <c r="BG124" i="23"/>
  <c r="BH124" i="23"/>
  <c r="CS124" i="23"/>
  <c r="F124" i="23" s="1"/>
  <c r="CT124" i="23"/>
  <c r="BI124" i="23"/>
  <c r="BJ124" i="23"/>
  <c r="AR123" i="23"/>
  <c r="BA123" i="23"/>
  <c r="BB123" i="23"/>
  <c r="BC123" i="23"/>
  <c r="BD123" i="23"/>
  <c r="BE123" i="23"/>
  <c r="BF123" i="23"/>
  <c r="AQ124" i="23"/>
  <c r="AR124" i="23"/>
  <c r="BA124" i="23"/>
  <c r="BB124" i="23"/>
  <c r="BC124" i="23"/>
  <c r="BD124" i="23"/>
  <c r="BE124" i="23"/>
  <c r="BF124" i="23"/>
  <c r="AI124" i="23"/>
  <c r="AJ124" i="23"/>
  <c r="AK124" i="23"/>
  <c r="AL124" i="23"/>
  <c r="AM124" i="23"/>
  <c r="AN124" i="23"/>
  <c r="CQ124" i="23"/>
  <c r="CR124" i="23"/>
  <c r="CO123" i="23"/>
  <c r="D76" i="18"/>
  <c r="E76" i="18" s="1"/>
  <c r="F76" i="18" s="1"/>
  <c r="D131" i="3"/>
  <c r="D85" i="17"/>
  <c r="D25" i="30"/>
  <c r="E25" i="30" s="1"/>
  <c r="F25" i="30" s="1"/>
  <c r="AC34" i="28"/>
  <c r="AB34" i="28"/>
  <c r="O124" i="23"/>
  <c r="P124" i="23"/>
  <c r="CN124" i="23"/>
  <c r="Q124" i="23"/>
  <c r="R124" i="23"/>
  <c r="S124" i="23"/>
  <c r="T124" i="23"/>
  <c r="V124" i="23"/>
  <c r="AC33" i="28"/>
  <c r="AB33" i="28"/>
  <c r="V123" i="23"/>
  <c r="AI123" i="23"/>
  <c r="AJ123" i="23"/>
  <c r="AK123" i="23"/>
  <c r="AL123" i="23"/>
  <c r="AM123" i="23"/>
  <c r="AN123" i="23"/>
  <c r="CQ123" i="23"/>
  <c r="CR123" i="23"/>
  <c r="T123" i="23"/>
  <c r="S123" i="23"/>
  <c r="R123" i="23"/>
  <c r="Q123" i="23"/>
  <c r="CN123" i="23"/>
  <c r="CM123" i="23"/>
  <c r="F123" i="23" s="1"/>
  <c r="P123" i="23"/>
  <c r="O123" i="23"/>
  <c r="D24" i="30"/>
  <c r="E24" i="30" s="1"/>
  <c r="F24" i="30" s="1"/>
  <c r="D75" i="18"/>
  <c r="E75" i="18" s="1"/>
  <c r="F75" i="18" s="1"/>
  <c r="D130" i="3"/>
  <c r="D84" i="17"/>
  <c r="CL123" i="23"/>
  <c r="CK123" i="23"/>
  <c r="AP123" i="23"/>
  <c r="G61" i="22"/>
  <c r="P123" i="2"/>
  <c r="AO123" i="23" s="1"/>
  <c r="BF122" i="23"/>
  <c r="BD122" i="23"/>
  <c r="BB122" i="23"/>
  <c r="BF121" i="23"/>
  <c r="BE121" i="23"/>
  <c r="BD121" i="23"/>
  <c r="BC121" i="23"/>
  <c r="BB121" i="23"/>
  <c r="X127" i="1"/>
  <c r="W127" i="1"/>
  <c r="J127" i="1"/>
  <c r="H127" i="1"/>
  <c r="BA122" i="23" s="1"/>
  <c r="D127" i="1"/>
  <c r="E127" i="1" s="1"/>
  <c r="X126" i="1"/>
  <c r="W126" i="1"/>
  <c r="J126" i="1"/>
  <c r="H126" i="1"/>
  <c r="BA121" i="23" s="1"/>
  <c r="D126" i="1"/>
  <c r="K124" i="23" l="1"/>
  <c r="K123" i="23"/>
  <c r="M124" i="23"/>
  <c r="M123" i="23"/>
  <c r="H123" i="23"/>
  <c r="AD34" i="28"/>
  <c r="U124" i="23" s="1"/>
  <c r="AD33" i="28"/>
  <c r="U123" i="23" s="1"/>
  <c r="G123" i="23"/>
  <c r="I124" i="23"/>
  <c r="G124" i="23"/>
  <c r="H124" i="23"/>
  <c r="E124" i="23"/>
  <c r="D124" i="23"/>
  <c r="I123" i="23"/>
  <c r="C124" i="23"/>
  <c r="D123" i="23"/>
  <c r="E131" i="3"/>
  <c r="F131" i="3" s="1"/>
  <c r="E85" i="17"/>
  <c r="F85" i="17" s="1"/>
  <c r="C123" i="23"/>
  <c r="E123" i="23"/>
  <c r="E130" i="3"/>
  <c r="F130" i="3" s="1"/>
  <c r="E84" i="17"/>
  <c r="F84" i="17" s="1"/>
  <c r="F127" i="1"/>
  <c r="G127" i="1" s="1"/>
  <c r="E126" i="1"/>
  <c r="J124" i="23" l="1"/>
  <c r="J123" i="23"/>
  <c r="F126" i="1"/>
  <c r="X21" i="31"/>
  <c r="T21" i="31"/>
  <c r="P21" i="31"/>
  <c r="L21" i="31"/>
  <c r="H21" i="31"/>
  <c r="D21" i="31"/>
  <c r="G126" i="1" l="1"/>
  <c r="AP122" i="23"/>
  <c r="P122" i="2"/>
  <c r="AO122" i="23" s="1"/>
  <c r="CL122" i="23"/>
  <c r="G60" i="22"/>
  <c r="CK122" i="23" s="1"/>
  <c r="AL120" i="23"/>
  <c r="AL121" i="23"/>
  <c r="R3" i="33"/>
  <c r="R4" i="33"/>
  <c r="R5" i="33"/>
  <c r="R6" i="33"/>
  <c r="R7" i="33"/>
  <c r="R8" i="33"/>
  <c r="R9" i="33"/>
  <c r="R10" i="33"/>
  <c r="R11" i="33"/>
  <c r="R12" i="33"/>
  <c r="R13" i="33"/>
  <c r="R14" i="33"/>
  <c r="AL122" i="23" s="1"/>
  <c r="R2" i="33"/>
  <c r="S3" i="33"/>
  <c r="S4" i="33"/>
  <c r="S5" i="33"/>
  <c r="S6" i="33"/>
  <c r="S7" i="33"/>
  <c r="S8" i="33"/>
  <c r="S9" i="33"/>
  <c r="S10" i="33"/>
  <c r="S11" i="33"/>
  <c r="S12" i="33"/>
  <c r="AK120" i="23" s="1"/>
  <c r="S13" i="33"/>
  <c r="AK121" i="23" s="1"/>
  <c r="S14" i="33"/>
  <c r="AK122" i="23" s="1"/>
  <c r="S2" i="33"/>
  <c r="BF120" i="23" l="1"/>
  <c r="BE120" i="23"/>
  <c r="BD120" i="23"/>
  <c r="BC120" i="23"/>
  <c r="BB120" i="23"/>
  <c r="W125" i="1"/>
  <c r="X125" i="1" l="1"/>
  <c r="J125" i="1"/>
  <c r="H125" i="1"/>
  <c r="BA120" i="23" s="1"/>
  <c r="D125" i="1"/>
  <c r="E125" i="1" s="1"/>
  <c r="AR122" i="23"/>
  <c r="F12" i="32"/>
  <c r="AQ122" i="23" s="1"/>
  <c r="CP122" i="23"/>
  <c r="CO122" i="23"/>
  <c r="F125" i="1" l="1"/>
  <c r="G125" i="1" s="1"/>
  <c r="CJ122" i="23"/>
  <c r="CI122" i="23"/>
  <c r="BJ122" i="23"/>
  <c r="BI122" i="23"/>
  <c r="R117" i="9"/>
  <c r="T118" i="9"/>
  <c r="AN122" i="23"/>
  <c r="S117" i="9" l="1"/>
  <c r="AM122" i="23" s="1"/>
  <c r="CJ121" i="23"/>
  <c r="CI121" i="23"/>
  <c r="BJ121" i="23"/>
  <c r="AN121" i="23"/>
  <c r="BI121" i="23"/>
  <c r="R116" i="9"/>
  <c r="T117" i="9"/>
  <c r="CR122" i="23"/>
  <c r="O112" i="10"/>
  <c r="CQ122" i="23" s="1"/>
  <c r="AJ122" i="23"/>
  <c r="AI122" i="23"/>
  <c r="AJ121" i="23"/>
  <c r="AI121" i="23"/>
  <c r="AJ120" i="23"/>
  <c r="AI120" i="23"/>
  <c r="CT122" i="23"/>
  <c r="CS122" i="23"/>
  <c r="BH122" i="23"/>
  <c r="BG122" i="23"/>
  <c r="F85" i="15"/>
  <c r="G85" i="15"/>
  <c r="V122" i="23"/>
  <c r="T122" i="23"/>
  <c r="S122" i="23"/>
  <c r="R122" i="23"/>
  <c r="I122" i="23" s="1"/>
  <c r="Q122" i="23"/>
  <c r="H122" i="23" s="1"/>
  <c r="CN122" i="23"/>
  <c r="CM122" i="23"/>
  <c r="P122" i="23"/>
  <c r="O122" i="23"/>
  <c r="D122" i="23" s="1"/>
  <c r="AC32" i="28"/>
  <c r="AB32" i="28"/>
  <c r="D129" i="3"/>
  <c r="D83" i="17"/>
  <c r="D74" i="18"/>
  <c r="E74" i="18" s="1"/>
  <c r="F74" i="18" s="1"/>
  <c r="D23" i="30"/>
  <c r="E23" i="30" s="1"/>
  <c r="F23" i="30" s="1"/>
  <c r="M122" i="23" l="1"/>
  <c r="K122" i="23"/>
  <c r="F122" i="23"/>
  <c r="G122" i="23"/>
  <c r="AD32" i="28"/>
  <c r="U122" i="23" s="1"/>
  <c r="E122" i="23"/>
  <c r="C122" i="23"/>
  <c r="S116" i="9"/>
  <c r="AM121" i="23" s="1"/>
  <c r="E129" i="3"/>
  <c r="F129" i="3" s="1"/>
  <c r="E83" i="17"/>
  <c r="F83" i="17" s="1"/>
  <c r="J122" i="23" l="1"/>
  <c r="CR121" i="23"/>
  <c r="O111" i="10"/>
  <c r="CQ121" i="23" s="1"/>
  <c r="AR121" i="23"/>
  <c r="AR120" i="23"/>
  <c r="AQ120" i="23"/>
  <c r="F11" i="32"/>
  <c r="AQ121" i="23" s="1"/>
  <c r="F10" i="32"/>
  <c r="CP121" i="23"/>
  <c r="CO121" i="23"/>
  <c r="CL121" i="23"/>
  <c r="G59" i="22"/>
  <c r="CK121" i="23" s="1"/>
  <c r="AP121" i="23"/>
  <c r="P121" i="2"/>
  <c r="AO121" i="23" s="1"/>
  <c r="CT121" i="23" l="1"/>
  <c r="CS121" i="23"/>
  <c r="BH121" i="23"/>
  <c r="BG121" i="23"/>
  <c r="F84" i="15"/>
  <c r="G84" i="15"/>
  <c r="V121" i="23"/>
  <c r="K121" i="23" s="1"/>
  <c r="T121" i="23"/>
  <c r="M121" i="23" s="1"/>
  <c r="S121" i="23"/>
  <c r="R121" i="23"/>
  <c r="I121" i="23" s="1"/>
  <c r="Q121" i="23"/>
  <c r="H121" i="23" s="1"/>
  <c r="CN121" i="23"/>
  <c r="G121" i="23" s="1"/>
  <c r="CM121" i="23"/>
  <c r="P121" i="23"/>
  <c r="O121" i="23"/>
  <c r="D73" i="18"/>
  <c r="E73" i="18" s="1"/>
  <c r="F73" i="18" s="1"/>
  <c r="D128" i="3"/>
  <c r="D82" i="17"/>
  <c r="D22" i="30"/>
  <c r="E22" i="30" s="1"/>
  <c r="F22" i="30" s="1"/>
  <c r="AC31" i="28"/>
  <c r="AB31" i="28"/>
  <c r="CR120" i="23"/>
  <c r="O110" i="10"/>
  <c r="CQ120" i="23" s="1"/>
  <c r="CL120" i="23"/>
  <c r="G58" i="22"/>
  <c r="CK120" i="23" s="1"/>
  <c r="E121" i="23" l="1"/>
  <c r="F121" i="23"/>
  <c r="AD31" i="28"/>
  <c r="U121" i="23" s="1"/>
  <c r="J121" i="23" s="1"/>
  <c r="D121" i="23"/>
  <c r="C121" i="23"/>
  <c r="E128" i="3"/>
  <c r="F128" i="3" s="1"/>
  <c r="E82" i="17"/>
  <c r="F82" i="17" s="1"/>
  <c r="CJ120" i="23"/>
  <c r="CI120" i="23"/>
  <c r="BJ120" i="23"/>
  <c r="BI120" i="23"/>
  <c r="R115" i="9"/>
  <c r="T116" i="9"/>
  <c r="AN120" i="23"/>
  <c r="AP120" i="23"/>
  <c r="P120" i="2"/>
  <c r="AO120" i="23" s="1"/>
  <c r="CP120" i="23"/>
  <c r="CO120" i="23"/>
  <c r="CT120" i="23"/>
  <c r="CS120" i="23"/>
  <c r="BH120" i="23"/>
  <c r="BG120" i="23"/>
  <c r="F83" i="15"/>
  <c r="G83" i="15"/>
  <c r="V120" i="23"/>
  <c r="T120" i="23"/>
  <c r="M120" i="23" s="1"/>
  <c r="S120" i="23"/>
  <c r="R120" i="23"/>
  <c r="Q120" i="23"/>
  <c r="CN120" i="23"/>
  <c r="CM120" i="23"/>
  <c r="P120" i="23"/>
  <c r="O120" i="23"/>
  <c r="AC30" i="28"/>
  <c r="AB30" i="28"/>
  <c r="AD30" i="28" s="1"/>
  <c r="U120" i="23" s="1"/>
  <c r="D21" i="30"/>
  <c r="E21" i="30" s="1"/>
  <c r="F21" i="30" s="1"/>
  <c r="D72" i="18"/>
  <c r="E72" i="18" s="1"/>
  <c r="F72" i="18" s="1"/>
  <c r="E81" i="17"/>
  <c r="F81" i="17" s="1"/>
  <c r="D81" i="17"/>
  <c r="D127" i="3"/>
  <c r="W124" i="1"/>
  <c r="X124" i="1"/>
  <c r="X123" i="1"/>
  <c r="W123" i="1"/>
  <c r="H124" i="1"/>
  <c r="BA119" i="23" s="1"/>
  <c r="B121" i="23" l="1"/>
  <c r="H120" i="23"/>
  <c r="I120" i="23"/>
  <c r="G120" i="23"/>
  <c r="K120" i="23"/>
  <c r="F120" i="23"/>
  <c r="E120" i="23"/>
  <c r="D120" i="23"/>
  <c r="S115" i="9"/>
  <c r="AM120" i="23" s="1"/>
  <c r="J120" i="23" s="1"/>
  <c r="C120" i="23"/>
  <c r="E127" i="3"/>
  <c r="F127" i="3" s="1"/>
  <c r="BF119" i="23"/>
  <c r="BE119" i="23"/>
  <c r="BD119" i="23"/>
  <c r="BC119" i="23"/>
  <c r="BB119" i="23"/>
  <c r="BF118" i="23"/>
  <c r="BE118" i="23"/>
  <c r="BD118" i="23"/>
  <c r="BC118" i="23"/>
  <c r="BB118" i="23"/>
  <c r="B120" i="23" l="1"/>
  <c r="H123" i="1"/>
  <c r="BA118" i="23" s="1"/>
  <c r="X18" i="31" l="1"/>
  <c r="T18" i="31"/>
  <c r="P18" i="31"/>
  <c r="L18" i="31"/>
  <c r="H18" i="31"/>
  <c r="D18" i="31"/>
  <c r="BF117" i="23" l="1"/>
  <c r="BE117" i="23"/>
  <c r="BD117" i="23"/>
  <c r="BC117" i="23"/>
  <c r="BB117" i="23"/>
  <c r="W122" i="1"/>
  <c r="X122" i="1"/>
  <c r="J124" i="1"/>
  <c r="J123" i="1"/>
  <c r="J122" i="1"/>
  <c r="H122" i="1"/>
  <c r="BA117" i="23" s="1"/>
  <c r="D124" i="1"/>
  <c r="D123" i="1"/>
  <c r="D122" i="1"/>
  <c r="E122" i="1" s="1"/>
  <c r="E123" i="1" l="1"/>
  <c r="F123" i="1" s="1"/>
  <c r="G123" i="1" s="1"/>
  <c r="E124" i="1"/>
  <c r="F124" i="1" s="1"/>
  <c r="G124" i="1" s="1"/>
  <c r="F122" i="1"/>
  <c r="G122" i="1" s="1"/>
  <c r="AJ119" i="23"/>
  <c r="AI119" i="23"/>
  <c r="AJ118" i="23"/>
  <c r="AI118" i="23"/>
  <c r="AP119" i="23"/>
  <c r="P119" i="2"/>
  <c r="AO119" i="23" s="1"/>
  <c r="AK118" i="23"/>
  <c r="AK119" i="23"/>
  <c r="AL118" i="23"/>
  <c r="AL119" i="23"/>
  <c r="CL119" i="23"/>
  <c r="G57" i="22"/>
  <c r="CK119" i="23" s="1"/>
  <c r="BJ119" i="23" l="1"/>
  <c r="BI119" i="23"/>
  <c r="BJ118" i="23"/>
  <c r="CJ119" i="23"/>
  <c r="CI119" i="23"/>
  <c r="R114" i="9"/>
  <c r="AN119" i="23"/>
  <c r="T115" i="9"/>
  <c r="AR119" i="23"/>
  <c r="AQ119" i="23"/>
  <c r="AR118" i="23"/>
  <c r="AQ118" i="23"/>
  <c r="F9" i="32"/>
  <c r="F8" i="32"/>
  <c r="CR119" i="23"/>
  <c r="CR118" i="23"/>
  <c r="O109" i="10"/>
  <c r="CQ119" i="23" s="1"/>
  <c r="O108" i="10"/>
  <c r="CQ118" i="23" s="1"/>
  <c r="CP119" i="23"/>
  <c r="CO119" i="23"/>
  <c r="CV119" i="23"/>
  <c r="CU119" i="23"/>
  <c r="S114" i="9" l="1"/>
  <c r="AM119" i="23" s="1"/>
  <c r="CT119" i="23"/>
  <c r="CS119" i="23"/>
  <c r="BH119" i="23"/>
  <c r="BG119" i="23"/>
  <c r="F82" i="15"/>
  <c r="G82" i="15"/>
  <c r="V119" i="23"/>
  <c r="K119" i="23" s="1"/>
  <c r="T119" i="23"/>
  <c r="M119" i="23" s="1"/>
  <c r="S119" i="23"/>
  <c r="R119" i="23"/>
  <c r="I119" i="23" s="1"/>
  <c r="Q119" i="23"/>
  <c r="H119" i="23" s="1"/>
  <c r="CN119" i="23"/>
  <c r="CM119" i="23"/>
  <c r="P119" i="23"/>
  <c r="E119" i="23" s="1"/>
  <c r="O119" i="23"/>
  <c r="AC29" i="28"/>
  <c r="AB29" i="28"/>
  <c r="D20" i="30"/>
  <c r="E20" i="30" s="1"/>
  <c r="F20" i="30" s="1"/>
  <c r="D71" i="18"/>
  <c r="E71" i="18" s="1"/>
  <c r="F71" i="18" s="1"/>
  <c r="D80" i="17"/>
  <c r="D126" i="3"/>
  <c r="AD29" i="28" l="1"/>
  <c r="U119" i="23" s="1"/>
  <c r="B119" i="23" s="1"/>
  <c r="J119" i="23"/>
  <c r="D119" i="23"/>
  <c r="C119" i="23"/>
  <c r="F119" i="23"/>
  <c r="G119" i="23"/>
  <c r="E80" i="17"/>
  <c r="F80" i="17" s="1"/>
  <c r="E126" i="3"/>
  <c r="F126" i="3" s="1"/>
  <c r="V118" i="23" l="1"/>
  <c r="AB28" i="28"/>
  <c r="AC28" i="28"/>
  <c r="AD28" i="28" s="1"/>
  <c r="U118" i="23" s="1"/>
  <c r="CL118" i="23"/>
  <c r="G56" i="22"/>
  <c r="CK118" i="23" s="1"/>
  <c r="AP118" i="23"/>
  <c r="P118" i="2"/>
  <c r="AO118" i="23" s="1"/>
  <c r="CV118" i="23"/>
  <c r="CU118" i="23"/>
  <c r="CJ118" i="23"/>
  <c r="CI118" i="23"/>
  <c r="CP118" i="23"/>
  <c r="CO118" i="23"/>
  <c r="CT118" i="23"/>
  <c r="CS118" i="23"/>
  <c r="BH118" i="23"/>
  <c r="BG118" i="23"/>
  <c r="F81" i="15"/>
  <c r="G81" i="15"/>
  <c r="BI118" i="23"/>
  <c r="R113" i="9"/>
  <c r="AN118" i="23"/>
  <c r="T118" i="23"/>
  <c r="S118" i="23"/>
  <c r="R118" i="23"/>
  <c r="Q118" i="23"/>
  <c r="CN118" i="23"/>
  <c r="CM118" i="23"/>
  <c r="P118" i="23"/>
  <c r="O118" i="23"/>
  <c r="D19" i="30"/>
  <c r="E19" i="30" s="1"/>
  <c r="F19" i="30" s="1"/>
  <c r="D70" i="18"/>
  <c r="E70" i="18" s="1"/>
  <c r="F70" i="18" s="1"/>
  <c r="D79" i="17"/>
  <c r="D125" i="3"/>
  <c r="AR117" i="23"/>
  <c r="F7" i="32"/>
  <c r="AQ117" i="23" s="1"/>
  <c r="G118" i="23" l="1"/>
  <c r="F118" i="23"/>
  <c r="M118" i="23"/>
  <c r="H118" i="23"/>
  <c r="I118" i="23"/>
  <c r="K118" i="23"/>
  <c r="D118" i="23"/>
  <c r="S113" i="9"/>
  <c r="AM118" i="23" s="1"/>
  <c r="J118" i="23" s="1"/>
  <c r="T114" i="9"/>
  <c r="E118" i="23"/>
  <c r="C118" i="23"/>
  <c r="E79" i="17"/>
  <c r="F79" i="17" s="1"/>
  <c r="E125" i="3"/>
  <c r="F125" i="3" s="1"/>
  <c r="CR117" i="23"/>
  <c r="O107" i="10"/>
  <c r="CQ117" i="23" s="1"/>
  <c r="CJ117" i="23"/>
  <c r="CI117" i="23"/>
  <c r="BJ117" i="23"/>
  <c r="BI117" i="23"/>
  <c r="R112" i="9"/>
  <c r="AN117" i="23"/>
  <c r="AP117" i="23"/>
  <c r="P117" i="2"/>
  <c r="AO117" i="23" s="1"/>
  <c r="CL117" i="23"/>
  <c r="G55" i="22"/>
  <c r="CK117" i="23" s="1"/>
  <c r="AL117" i="23"/>
  <c r="AK117" i="23"/>
  <c r="AJ117" i="23"/>
  <c r="AI117" i="23"/>
  <c r="CV117" i="23"/>
  <c r="CU117" i="23"/>
  <c r="CT117" i="23"/>
  <c r="CS117" i="23"/>
  <c r="BH117" i="23"/>
  <c r="BG117" i="23"/>
  <c r="F80" i="15"/>
  <c r="G80" i="15"/>
  <c r="CP117" i="23"/>
  <c r="CO117" i="23"/>
  <c r="V117" i="23"/>
  <c r="T117" i="23"/>
  <c r="S117" i="23"/>
  <c r="R117" i="23"/>
  <c r="Q117" i="23"/>
  <c r="CN117" i="23"/>
  <c r="CM117" i="23"/>
  <c r="P117" i="23"/>
  <c r="O117" i="23"/>
  <c r="AC27" i="28"/>
  <c r="AB27" i="28"/>
  <c r="D18" i="30"/>
  <c r="D69" i="18"/>
  <c r="E69" i="18" s="1"/>
  <c r="F69" i="18" s="1"/>
  <c r="D78" i="17"/>
  <c r="D124" i="3"/>
  <c r="B118" i="23" l="1"/>
  <c r="I117" i="23"/>
  <c r="M117" i="23"/>
  <c r="K117" i="23"/>
  <c r="AD27" i="28"/>
  <c r="U117" i="23" s="1"/>
  <c r="E117" i="23"/>
  <c r="G117" i="23"/>
  <c r="H117" i="23"/>
  <c r="F117" i="23"/>
  <c r="D117" i="23"/>
  <c r="S112" i="9"/>
  <c r="AM117" i="23" s="1"/>
  <c r="T113" i="9"/>
  <c r="C117" i="23"/>
  <c r="E18" i="30"/>
  <c r="F18" i="30" s="1"/>
  <c r="E78" i="17"/>
  <c r="F78" i="17" s="1"/>
  <c r="E124" i="3"/>
  <c r="F124" i="3" s="1"/>
  <c r="X15" i="31"/>
  <c r="T15" i="31"/>
  <c r="P15" i="31"/>
  <c r="L15" i="31"/>
  <c r="H15" i="31"/>
  <c r="D15" i="31"/>
  <c r="B117" i="23" l="1"/>
  <c r="J117" i="23"/>
  <c r="CR116" i="23"/>
  <c r="O106" i="10"/>
  <c r="CQ116" i="23" s="1"/>
  <c r="CL116" i="23"/>
  <c r="AP116" i="23"/>
  <c r="P116" i="2"/>
  <c r="AO116" i="23" s="1"/>
  <c r="G54" i="22"/>
  <c r="CK116" i="23" s="1"/>
  <c r="R111" i="9"/>
  <c r="AN116" i="23"/>
  <c r="BF116" i="23"/>
  <c r="BE116" i="23"/>
  <c r="BD116" i="23"/>
  <c r="BC116" i="23"/>
  <c r="BB116" i="23"/>
  <c r="BF115" i="23"/>
  <c r="BE115" i="23"/>
  <c r="BD115" i="23"/>
  <c r="BC115" i="23"/>
  <c r="BB115" i="23"/>
  <c r="BF114" i="23"/>
  <c r="BE114" i="23"/>
  <c r="BD114" i="23"/>
  <c r="BC114" i="23"/>
  <c r="BB114" i="23"/>
  <c r="X121" i="1"/>
  <c r="W121" i="1"/>
  <c r="H121" i="1"/>
  <c r="BA116" i="23" s="1"/>
  <c r="D121" i="1"/>
  <c r="E121" i="1" s="1"/>
  <c r="X120" i="1"/>
  <c r="W120" i="1"/>
  <c r="H120" i="1"/>
  <c r="BA115" i="23" s="1"/>
  <c r="D120" i="1"/>
  <c r="E120" i="1" s="1"/>
  <c r="W119" i="1"/>
  <c r="X119" i="1"/>
  <c r="H119" i="1"/>
  <c r="BA114" i="23" s="1"/>
  <c r="D119" i="1"/>
  <c r="J119" i="1"/>
  <c r="J120" i="1"/>
  <c r="J121" i="1"/>
  <c r="BJ116" i="23"/>
  <c r="BI116" i="23"/>
  <c r="CJ116" i="23"/>
  <c r="CI116" i="23"/>
  <c r="AR116" i="23"/>
  <c r="AQ116" i="23"/>
  <c r="F6" i="32"/>
  <c r="AL116" i="23"/>
  <c r="AK116" i="23"/>
  <c r="S111" i="9" l="1"/>
  <c r="AM116" i="23" s="1"/>
  <c r="T112" i="9"/>
  <c r="E119" i="1"/>
  <c r="F119" i="1" s="1"/>
  <c r="G119" i="1" s="1"/>
  <c r="F121" i="1"/>
  <c r="G121" i="1" s="1"/>
  <c r="F120" i="1"/>
  <c r="G120" i="1" s="1"/>
  <c r="AJ116" i="23"/>
  <c r="AI116" i="23"/>
  <c r="CP116" i="23"/>
  <c r="CO116" i="23"/>
  <c r="CV116" i="23"/>
  <c r="CU116" i="23"/>
  <c r="CT116" i="23"/>
  <c r="CS116" i="23"/>
  <c r="BH116" i="23"/>
  <c r="BG116" i="23"/>
  <c r="F79" i="15"/>
  <c r="G79" i="15"/>
  <c r="V116" i="23"/>
  <c r="K116" i="23" s="1"/>
  <c r="T116" i="23"/>
  <c r="S116" i="23"/>
  <c r="R116" i="23"/>
  <c r="I116" i="23" s="1"/>
  <c r="Q116" i="23"/>
  <c r="H116" i="23" s="1"/>
  <c r="CN116" i="23"/>
  <c r="CM116" i="23"/>
  <c r="P116" i="23"/>
  <c r="O116" i="23"/>
  <c r="AC26" i="28"/>
  <c r="AB26" i="28"/>
  <c r="D17" i="30"/>
  <c r="E17" i="30" s="1"/>
  <c r="F17" i="30" s="1"/>
  <c r="D68" i="18"/>
  <c r="E68" i="18" s="1"/>
  <c r="F68" i="18" s="1"/>
  <c r="D77" i="17"/>
  <c r="E77" i="17" s="1"/>
  <c r="F77" i="17" s="1"/>
  <c r="D123" i="3"/>
  <c r="M116" i="23" l="1"/>
  <c r="AD26" i="28"/>
  <c r="U116" i="23" s="1"/>
  <c r="J116" i="23" s="1"/>
  <c r="F116" i="23"/>
  <c r="G116" i="23"/>
  <c r="D116" i="23"/>
  <c r="C116" i="23"/>
  <c r="C116" i="4" s="1"/>
  <c r="E116" i="23"/>
  <c r="E123" i="3"/>
  <c r="F123" i="3" s="1"/>
  <c r="B116" i="23" l="1"/>
  <c r="B116" i="4" s="1"/>
  <c r="CJ115" i="23"/>
  <c r="CI115" i="23"/>
  <c r="BJ115" i="23"/>
  <c r="BI115" i="23"/>
  <c r="R110" i="9"/>
  <c r="AN115" i="23"/>
  <c r="S110" i="9" l="1"/>
  <c r="AM115" i="23" s="1"/>
  <c r="T111" i="9"/>
  <c r="CV115" i="23"/>
  <c r="CU115" i="23"/>
  <c r="CL115" i="23"/>
  <c r="CK115" i="23"/>
  <c r="CT115" i="23"/>
  <c r="CS115" i="23"/>
  <c r="BH115" i="23"/>
  <c r="BG115" i="23"/>
  <c r="CP115" i="23"/>
  <c r="F78" i="15"/>
  <c r="G78" i="15"/>
  <c r="O105" i="10"/>
  <c r="CQ115" i="23" s="1"/>
  <c r="CO115" i="23"/>
  <c r="AR115" i="23"/>
  <c r="AP115" i="23"/>
  <c r="CR115" i="23"/>
  <c r="AL115" i="23"/>
  <c r="AJ115" i="23"/>
  <c r="AI115" i="23"/>
  <c r="V115" i="23"/>
  <c r="T115" i="23"/>
  <c r="S115" i="23"/>
  <c r="R115" i="23"/>
  <c r="I115" i="23" s="1"/>
  <c r="Q115" i="23"/>
  <c r="H115" i="23" s="1"/>
  <c r="CN115" i="23"/>
  <c r="CM115" i="23"/>
  <c r="P115" i="23"/>
  <c r="O115" i="23"/>
  <c r="D16" i="30"/>
  <c r="E16" i="30" s="1"/>
  <c r="F16" i="30" s="1"/>
  <c r="D67" i="18"/>
  <c r="E67" i="18" s="1"/>
  <c r="F67" i="18" s="1"/>
  <c r="D122" i="3"/>
  <c r="D76" i="17"/>
  <c r="AC25" i="28"/>
  <c r="AB25" i="28"/>
  <c r="AD25" i="28" s="1"/>
  <c r="U115" i="23" s="1"/>
  <c r="AK115" i="23"/>
  <c r="P115" i="2"/>
  <c r="AO115" i="23" s="1"/>
  <c r="G53" i="22"/>
  <c r="D115" i="23" l="1"/>
  <c r="K115" i="23"/>
  <c r="M115" i="23"/>
  <c r="F115" i="23"/>
  <c r="G115" i="23"/>
  <c r="E115" i="23"/>
  <c r="C115" i="23"/>
  <c r="C115" i="4" s="1"/>
  <c r="E122" i="3"/>
  <c r="F122" i="3" s="1"/>
  <c r="E76" i="17"/>
  <c r="F76" i="17" s="1"/>
  <c r="F5" i="32"/>
  <c r="AQ115" i="23" s="1"/>
  <c r="J115" i="23" s="1"/>
  <c r="AR114" i="23"/>
  <c r="F4" i="32"/>
  <c r="AQ114" i="23" s="1"/>
  <c r="O104" i="10"/>
  <c r="B115" i="23" l="1"/>
  <c r="B115" i="4" s="1"/>
  <c r="D116" i="4" s="1"/>
  <c r="CL114" i="23"/>
  <c r="R109" i="9"/>
  <c r="CR114" i="23"/>
  <c r="CQ114" i="23"/>
  <c r="AP114" i="23"/>
  <c r="G52" i="22"/>
  <c r="CK114" i="23" s="1"/>
  <c r="P114" i="2"/>
  <c r="AO114" i="23" s="1"/>
  <c r="T110" i="9" l="1"/>
  <c r="AN114" i="23"/>
  <c r="CJ114" i="23"/>
  <c r="CI114" i="23"/>
  <c r="BJ114" i="23"/>
  <c r="BI114" i="23"/>
  <c r="CV114" i="23"/>
  <c r="CU114" i="23"/>
  <c r="CT114" i="23"/>
  <c r="CS114" i="23"/>
  <c r="BH114" i="23"/>
  <c r="BG114" i="23"/>
  <c r="CP114" i="23"/>
  <c r="CO114" i="23"/>
  <c r="F77" i="15"/>
  <c r="G77" i="15"/>
  <c r="AL114" i="23"/>
  <c r="AK114" i="23"/>
  <c r="AJ114" i="23"/>
  <c r="AI114" i="23"/>
  <c r="V114" i="23"/>
  <c r="T114" i="23"/>
  <c r="S114" i="23"/>
  <c r="R114" i="23"/>
  <c r="Q114" i="23"/>
  <c r="CN114" i="23"/>
  <c r="CM114" i="23"/>
  <c r="P114" i="23"/>
  <c r="O114" i="23"/>
  <c r="AC24" i="28"/>
  <c r="AB24" i="28"/>
  <c r="D15" i="30"/>
  <c r="E15" i="30" s="1"/>
  <c r="F15" i="30" s="1"/>
  <c r="D66" i="18"/>
  <c r="E66" i="18" s="1"/>
  <c r="F66" i="18" s="1"/>
  <c r="G114" i="23" l="1"/>
  <c r="F114" i="23"/>
  <c r="M114" i="23"/>
  <c r="K114" i="23"/>
  <c r="H114" i="23"/>
  <c r="I114" i="23"/>
  <c r="AD24" i="28"/>
  <c r="U114" i="23" s="1"/>
  <c r="D114" i="23"/>
  <c r="E114" i="23"/>
  <c r="S109" i="9"/>
  <c r="AM114" i="23" s="1"/>
  <c r="C114" i="23"/>
  <c r="C114" i="4" s="1"/>
  <c r="D75" i="17"/>
  <c r="D121" i="3"/>
  <c r="X12" i="31"/>
  <c r="T12" i="31"/>
  <c r="P12" i="31"/>
  <c r="L12" i="31"/>
  <c r="H12" i="31"/>
  <c r="D12" i="31"/>
  <c r="B114" i="23" l="1"/>
  <c r="B114" i="4" s="1"/>
  <c r="D115" i="4" s="1"/>
  <c r="J114" i="23"/>
  <c r="E75" i="17"/>
  <c r="F75" i="17" s="1"/>
  <c r="E121" i="3"/>
  <c r="F121" i="3" s="1"/>
  <c r="AK112" i="23"/>
  <c r="AL112" i="23"/>
  <c r="AK113" i="23"/>
  <c r="AL113" i="23"/>
  <c r="AK111" i="23"/>
  <c r="AL111" i="23"/>
  <c r="AK110" i="23"/>
  <c r="AL110" i="23"/>
  <c r="CJ113" i="23"/>
  <c r="CI113" i="23"/>
  <c r="BJ113" i="23"/>
  <c r="BI113" i="23"/>
  <c r="R108" i="9"/>
  <c r="T109" i="9"/>
  <c r="AN113" i="23"/>
  <c r="CL113" i="23"/>
  <c r="CK113" i="23"/>
  <c r="G51" i="22"/>
  <c r="AP113" i="23"/>
  <c r="P113" i="2"/>
  <c r="AO113" i="23" s="1"/>
  <c r="AJ113" i="23"/>
  <c r="AI113" i="23"/>
  <c r="CR113" i="23"/>
  <c r="O103" i="10"/>
  <c r="CQ113" i="23" s="1"/>
  <c r="BB113" i="23"/>
  <c r="BB112" i="23"/>
  <c r="BB111" i="23"/>
  <c r="CT113" i="23"/>
  <c r="CS113" i="23"/>
  <c r="BH113" i="23"/>
  <c r="BG113" i="23"/>
  <c r="F76" i="15"/>
  <c r="G76" i="15"/>
  <c r="CP113" i="23"/>
  <c r="CO113" i="23"/>
  <c r="CV113" i="23"/>
  <c r="CU113" i="23"/>
  <c r="CX111" i="23"/>
  <c r="BF113" i="23"/>
  <c r="BF112" i="23"/>
  <c r="BF111" i="23"/>
  <c r="BD113" i="23"/>
  <c r="BD112" i="23"/>
  <c r="BD111" i="23"/>
  <c r="BE111" i="23"/>
  <c r="BE113" i="23"/>
  <c r="BE112" i="23"/>
  <c r="BC112" i="23"/>
  <c r="BC113" i="23"/>
  <c r="BC111" i="23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8" i="1"/>
  <c r="X118" i="1"/>
  <c r="X117" i="1"/>
  <c r="H118" i="1"/>
  <c r="BA113" i="23" s="1"/>
  <c r="H117" i="1"/>
  <c r="BA112" i="23" s="1"/>
  <c r="H30" i="27"/>
  <c r="CW111" i="23" s="1"/>
  <c r="I30" i="27"/>
  <c r="D117" i="1"/>
  <c r="E117" i="1" s="1"/>
  <c r="D118" i="1"/>
  <c r="X116" i="1"/>
  <c r="H116" i="1"/>
  <c r="BA111" i="23" s="1"/>
  <c r="D116" i="1"/>
  <c r="E116" i="1" s="1"/>
  <c r="J116" i="1"/>
  <c r="J117" i="1"/>
  <c r="J118" i="1"/>
  <c r="V113" i="23"/>
  <c r="T113" i="23"/>
  <c r="S113" i="23"/>
  <c r="R113" i="23"/>
  <c r="Q113" i="23"/>
  <c r="CN113" i="23"/>
  <c r="G113" i="23" s="1"/>
  <c r="CM113" i="23"/>
  <c r="F113" i="23" s="1"/>
  <c r="P113" i="23"/>
  <c r="O113" i="23"/>
  <c r="AC23" i="28"/>
  <c r="AB23" i="28"/>
  <c r="AD23" i="28" s="1"/>
  <c r="U113" i="23" s="1"/>
  <c r="D14" i="30"/>
  <c r="E14" i="30" s="1"/>
  <c r="F14" i="30" s="1"/>
  <c r="D65" i="18"/>
  <c r="E65" i="18" s="1"/>
  <c r="F65" i="18" s="1"/>
  <c r="D74" i="17"/>
  <c r="D120" i="3"/>
  <c r="AR112" i="23"/>
  <c r="F2" i="32"/>
  <c r="AQ112" i="23" s="1"/>
  <c r="AR113" i="23"/>
  <c r="F3" i="32"/>
  <c r="AQ113" i="23" s="1"/>
  <c r="CR112" i="23"/>
  <c r="O102" i="10"/>
  <c r="CQ112" i="23" s="1"/>
  <c r="O101" i="10"/>
  <c r="M113" i="23" l="1"/>
  <c r="K113" i="23"/>
  <c r="H113" i="23"/>
  <c r="E118" i="1"/>
  <c r="F118" i="1" s="1"/>
  <c r="G118" i="1" s="1"/>
  <c r="D113" i="23"/>
  <c r="C113" i="23"/>
  <c r="C113" i="4" s="1"/>
  <c r="S108" i="9"/>
  <c r="AM113" i="23" s="1"/>
  <c r="J113" i="23" s="1"/>
  <c r="E113" i="23"/>
  <c r="I113" i="23"/>
  <c r="F117" i="1"/>
  <c r="G117" i="1" s="1"/>
  <c r="F116" i="1"/>
  <c r="G116" i="1" s="1"/>
  <c r="E74" i="17"/>
  <c r="F74" i="17" s="1"/>
  <c r="E120" i="3"/>
  <c r="F120" i="3" s="1"/>
  <c r="F75" i="15"/>
  <c r="G75" i="15"/>
  <c r="BG112" i="23"/>
  <c r="CS112" i="23"/>
  <c r="CT112" i="23"/>
  <c r="BH112" i="23"/>
  <c r="CV112" i="23"/>
  <c r="CU112" i="23"/>
  <c r="CO112" i="23"/>
  <c r="CL112" i="23"/>
  <c r="CP112" i="23"/>
  <c r="G50" i="22"/>
  <c r="CK112" i="23" s="1"/>
  <c r="AP112" i="23"/>
  <c r="P112" i="2"/>
  <c r="AO112" i="23" s="1"/>
  <c r="B113" i="23" l="1"/>
  <c r="B113" i="4" s="1"/>
  <c r="D114" i="4" s="1"/>
  <c r="AJ112" i="23"/>
  <c r="AI112" i="23"/>
  <c r="V112" i="23"/>
  <c r="T112" i="23"/>
  <c r="S112" i="23"/>
  <c r="R112" i="23"/>
  <c r="Q112" i="23"/>
  <c r="CN112" i="23"/>
  <c r="G112" i="23" s="1"/>
  <c r="CM112" i="23"/>
  <c r="F112" i="23" s="1"/>
  <c r="P112" i="23"/>
  <c r="O112" i="23"/>
  <c r="D13" i="30"/>
  <c r="E13" i="30" s="1"/>
  <c r="F13" i="30" s="1"/>
  <c r="D64" i="18"/>
  <c r="E64" i="18" s="1"/>
  <c r="F64" i="18" s="1"/>
  <c r="D119" i="3"/>
  <c r="E73" i="17"/>
  <c r="F73" i="17" s="1"/>
  <c r="D73" i="17"/>
  <c r="AC22" i="28"/>
  <c r="AB22" i="28"/>
  <c r="CJ112" i="23"/>
  <c r="CI112" i="23"/>
  <c r="BJ112" i="23"/>
  <c r="BI112" i="23"/>
  <c r="R107" i="9"/>
  <c r="T108" i="9"/>
  <c r="AN112" i="23"/>
  <c r="CI111" i="23"/>
  <c r="CJ111" i="23"/>
  <c r="BI111" i="23"/>
  <c r="BJ111" i="23"/>
  <c r="R106" i="9"/>
  <c r="AN111" i="23"/>
  <c r="CR111" i="23"/>
  <c r="CQ111" i="23"/>
  <c r="I112" i="23" l="1"/>
  <c r="K112" i="23"/>
  <c r="M112" i="23"/>
  <c r="AD22" i="28"/>
  <c r="U112" i="23" s="1"/>
  <c r="H112" i="23"/>
  <c r="S106" i="9"/>
  <c r="AM111" i="23" s="1"/>
  <c r="C112" i="23"/>
  <c r="C112" i="4" s="1"/>
  <c r="S107" i="9"/>
  <c r="AM112" i="23" s="1"/>
  <c r="T107" i="9"/>
  <c r="D112" i="23"/>
  <c r="E112" i="23"/>
  <c r="E119" i="3"/>
  <c r="F119" i="3" s="1"/>
  <c r="CL111" i="23"/>
  <c r="G49" i="22"/>
  <c r="CK111" i="23" s="1"/>
  <c r="AP111" i="23"/>
  <c r="P111" i="2"/>
  <c r="AO111" i="23" s="1"/>
  <c r="CV111" i="23"/>
  <c r="CU111" i="23"/>
  <c r="B112" i="23" l="1"/>
  <c r="B112" i="4" s="1"/>
  <c r="J112" i="23"/>
  <c r="CP111" i="23"/>
  <c r="CO111" i="23"/>
  <c r="CT111" i="23"/>
  <c r="CS111" i="23"/>
  <c r="BH111" i="23"/>
  <c r="BG111" i="23"/>
  <c r="F74" i="15"/>
  <c r="G74" i="15"/>
  <c r="AJ111" i="23"/>
  <c r="AI111" i="23"/>
  <c r="V111" i="23"/>
  <c r="K111" i="23" s="1"/>
  <c r="T111" i="23"/>
  <c r="S111" i="23"/>
  <c r="R111" i="23"/>
  <c r="Q111" i="23"/>
  <c r="CN111" i="23"/>
  <c r="CM111" i="23"/>
  <c r="P111" i="23"/>
  <c r="O111" i="23"/>
  <c r="AC21" i="28"/>
  <c r="AB21" i="28"/>
  <c r="D12" i="30"/>
  <c r="E12" i="30" s="1"/>
  <c r="F12" i="30" s="1"/>
  <c r="D63" i="18"/>
  <c r="E63" i="18" s="1"/>
  <c r="F63" i="18" s="1"/>
  <c r="D72" i="17"/>
  <c r="D118" i="3"/>
  <c r="X9" i="31"/>
  <c r="T9" i="31"/>
  <c r="P9" i="31"/>
  <c r="L9" i="31"/>
  <c r="H9" i="31"/>
  <c r="D9" i="31"/>
  <c r="AD21" i="28" l="1"/>
  <c r="U111" i="23" s="1"/>
  <c r="J111" i="23" s="1"/>
  <c r="M111" i="23"/>
  <c r="C111" i="23"/>
  <c r="C111" i="4" s="1"/>
  <c r="D113" i="4"/>
  <c r="D111" i="23"/>
  <c r="E111" i="23"/>
  <c r="F111" i="23"/>
  <c r="G111" i="23"/>
  <c r="H111" i="23"/>
  <c r="I111" i="23"/>
  <c r="E72" i="17"/>
  <c r="F72" i="17" s="1"/>
  <c r="E118" i="3"/>
  <c r="F118" i="3" s="1"/>
  <c r="W64" i="1"/>
  <c r="W87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CW108" i="23"/>
  <c r="CX108" i="23"/>
  <c r="CW109" i="23"/>
  <c r="CX109" i="23"/>
  <c r="CW110" i="23"/>
  <c r="BB108" i="23"/>
  <c r="BC108" i="23"/>
  <c r="BD108" i="23"/>
  <c r="BE108" i="23"/>
  <c r="BF108" i="23"/>
  <c r="BB109" i="23"/>
  <c r="BC109" i="23"/>
  <c r="BD109" i="23"/>
  <c r="BE109" i="23"/>
  <c r="BF109" i="23"/>
  <c r="BB110" i="23"/>
  <c r="BD110" i="23"/>
  <c r="BF110" i="23"/>
  <c r="H115" i="1"/>
  <c r="BA110" i="23" s="1"/>
  <c r="I29" i="27"/>
  <c r="CX110" i="23" s="1"/>
  <c r="H29" i="27"/>
  <c r="H114" i="1"/>
  <c r="BA109" i="23" s="1"/>
  <c r="I28" i="27"/>
  <c r="H28" i="27"/>
  <c r="D115" i="1"/>
  <c r="E115" i="1" s="1"/>
  <c r="D114" i="1"/>
  <c r="E114" i="1" s="1"/>
  <c r="D113" i="1"/>
  <c r="H113" i="1"/>
  <c r="BA108" i="23" s="1"/>
  <c r="I27" i="27"/>
  <c r="H27" i="27"/>
  <c r="X115" i="1"/>
  <c r="X114" i="1"/>
  <c r="X113" i="1"/>
  <c r="J115" i="1"/>
  <c r="J114" i="1"/>
  <c r="J113" i="1"/>
  <c r="AJ110" i="23"/>
  <c r="AI110" i="23"/>
  <c r="CR110" i="23"/>
  <c r="O100" i="10"/>
  <c r="CQ110" i="23" s="1"/>
  <c r="AE20" i="28"/>
  <c r="V110" i="23" s="1"/>
  <c r="AB20" i="28"/>
  <c r="AC20" i="28"/>
  <c r="AD20" i="28" s="1"/>
  <c r="U110" i="23" s="1"/>
  <c r="R105" i="9"/>
  <c r="AN110" i="23"/>
  <c r="E70" i="24"/>
  <c r="BJ110" i="23" s="1"/>
  <c r="BI110" i="23"/>
  <c r="CJ110" i="23"/>
  <c r="CI110" i="23"/>
  <c r="AP110" i="23"/>
  <c r="B111" i="23" l="1"/>
  <c r="B111" i="4" s="1"/>
  <c r="D112" i="4" s="1"/>
  <c r="K110" i="23"/>
  <c r="T106" i="9"/>
  <c r="E113" i="1"/>
  <c r="F113" i="1" s="1"/>
  <c r="G113" i="1" s="1"/>
  <c r="F115" i="1"/>
  <c r="G115" i="1" s="1"/>
  <c r="F114" i="1"/>
  <c r="G114" i="1" s="1"/>
  <c r="S105" i="9"/>
  <c r="AM110" i="23" s="1"/>
  <c r="P110" i="2" l="1"/>
  <c r="AO110" i="23" s="1"/>
  <c r="J110" i="23" s="1"/>
  <c r="CL110" i="23"/>
  <c r="CK110" i="23"/>
  <c r="G48" i="22"/>
  <c r="CP110" i="23"/>
  <c r="CO110" i="23"/>
  <c r="CV110" i="23"/>
  <c r="CU110" i="23"/>
  <c r="CT110" i="23"/>
  <c r="CS110" i="23"/>
  <c r="BH110" i="23"/>
  <c r="BG110" i="23"/>
  <c r="F73" i="15"/>
  <c r="G73" i="15"/>
  <c r="T110" i="23"/>
  <c r="S110" i="23"/>
  <c r="R110" i="23"/>
  <c r="I110" i="23" s="1"/>
  <c r="Q110" i="23"/>
  <c r="H110" i="23" s="1"/>
  <c r="CN110" i="23"/>
  <c r="CM110" i="23"/>
  <c r="P110" i="23"/>
  <c r="O110" i="23"/>
  <c r="D11" i="30"/>
  <c r="E11" i="30" s="1"/>
  <c r="F11" i="30" s="1"/>
  <c r="D62" i="18"/>
  <c r="E62" i="18" s="1"/>
  <c r="F62" i="18" s="1"/>
  <c r="D71" i="17"/>
  <c r="E71" i="17" s="1"/>
  <c r="F71" i="17" s="1"/>
  <c r="D117" i="3"/>
  <c r="D110" i="23" l="1"/>
  <c r="B110" i="23"/>
  <c r="B110" i="4" s="1"/>
  <c r="D111" i="4" s="1"/>
  <c r="C110" i="23"/>
  <c r="C110" i="4" s="1"/>
  <c r="M110" i="23"/>
  <c r="L110" i="23"/>
  <c r="F110" i="23"/>
  <c r="G110" i="23"/>
  <c r="E110" i="23"/>
  <c r="E117" i="3"/>
  <c r="F117" i="3" s="1"/>
  <c r="AJ109" i="23"/>
  <c r="AI109" i="23"/>
  <c r="CR109" i="23"/>
  <c r="O99" i="10"/>
  <c r="CQ109" i="23" s="1"/>
  <c r="CV109" i="23"/>
  <c r="CU109" i="23"/>
  <c r="CP109" i="23"/>
  <c r="CO109" i="23"/>
  <c r="CT109" i="23"/>
  <c r="CS109" i="23"/>
  <c r="BH109" i="23"/>
  <c r="BG109" i="23"/>
  <c r="F72" i="15"/>
  <c r="G72" i="15"/>
  <c r="R104" i="9"/>
  <c r="T105" i="9"/>
  <c r="AN109" i="23"/>
  <c r="CJ109" i="23"/>
  <c r="CI109" i="23"/>
  <c r="CL109" i="23"/>
  <c r="BJ109" i="23"/>
  <c r="BI109" i="23"/>
  <c r="AP109" i="23"/>
  <c r="E69" i="24"/>
  <c r="S104" i="9" l="1"/>
  <c r="AM109" i="23" s="1"/>
  <c r="P109" i="2"/>
  <c r="AO109" i="23" s="1"/>
  <c r="G47" i="22"/>
  <c r="CK109" i="23" s="1"/>
  <c r="T109" i="23" l="1"/>
  <c r="M109" i="23" s="1"/>
  <c r="S109" i="23"/>
  <c r="L109" i="23" s="1"/>
  <c r="R109" i="23"/>
  <c r="I109" i="23" s="1"/>
  <c r="Q109" i="23"/>
  <c r="H109" i="23" s="1"/>
  <c r="CN109" i="23"/>
  <c r="G109" i="23" s="1"/>
  <c r="CM109" i="23"/>
  <c r="F109" i="23" s="1"/>
  <c r="P109" i="23"/>
  <c r="O109" i="23"/>
  <c r="D10" i="30"/>
  <c r="E10" i="30" s="1"/>
  <c r="F10" i="30" s="1"/>
  <c r="D61" i="18"/>
  <c r="E61" i="18" s="1"/>
  <c r="F61" i="18" s="1"/>
  <c r="D116" i="3"/>
  <c r="D70" i="17"/>
  <c r="E70" i="17" s="1"/>
  <c r="F70" i="17" s="1"/>
  <c r="D109" i="23" l="1"/>
  <c r="E109" i="23"/>
  <c r="E116" i="3"/>
  <c r="F116" i="3" s="1"/>
  <c r="AE19" i="28"/>
  <c r="V109" i="23" s="1"/>
  <c r="K109" i="23" s="1"/>
  <c r="AB19" i="28"/>
  <c r="AC19" i="28"/>
  <c r="AJ108" i="23"/>
  <c r="AI108" i="23"/>
  <c r="AD19" i="28" l="1"/>
  <c r="U109" i="23" s="1"/>
  <c r="C109" i="23"/>
  <c r="C109" i="4" s="1"/>
  <c r="AP108" i="23"/>
  <c r="P108" i="2"/>
  <c r="AO108" i="23" s="1"/>
  <c r="CL108" i="23"/>
  <c r="CK108" i="23"/>
  <c r="G46" i="22"/>
  <c r="J109" i="23" l="1"/>
  <c r="B109" i="23"/>
  <c r="B109" i="4" s="1"/>
  <c r="D110" i="4" s="1"/>
  <c r="CR108" i="23"/>
  <c r="O98" i="10"/>
  <c r="CQ108" i="23" s="1"/>
  <c r="AN108" i="23"/>
  <c r="R103" i="9"/>
  <c r="T104" i="9"/>
  <c r="CJ108" i="23"/>
  <c r="CI108" i="23"/>
  <c r="E68" i="24"/>
  <c r="BJ108" i="23" s="1"/>
  <c r="BI108" i="23"/>
  <c r="CP108" i="23"/>
  <c r="CO108" i="23"/>
  <c r="CV108" i="23"/>
  <c r="CU108" i="23"/>
  <c r="CT108" i="23"/>
  <c r="CS108" i="23"/>
  <c r="BH108" i="23"/>
  <c r="BG108" i="23"/>
  <c r="G71" i="15"/>
  <c r="F71" i="15"/>
  <c r="T108" i="23"/>
  <c r="M108" i="23" s="1"/>
  <c r="S108" i="23"/>
  <c r="L108" i="23" s="1"/>
  <c r="R108" i="23"/>
  <c r="Q108" i="23"/>
  <c r="CN108" i="23"/>
  <c r="CM108" i="23"/>
  <c r="P108" i="23"/>
  <c r="O108" i="23"/>
  <c r="AC18" i="28"/>
  <c r="AE18" i="28"/>
  <c r="V108" i="23" s="1"/>
  <c r="AB18" i="28"/>
  <c r="D9" i="30"/>
  <c r="E9" i="30" s="1"/>
  <c r="F9" i="30" s="1"/>
  <c r="D60" i="18"/>
  <c r="E60" i="18" s="1"/>
  <c r="F60" i="18" s="1"/>
  <c r="E69" i="17"/>
  <c r="F69" i="17" s="1"/>
  <c r="D69" i="17"/>
  <c r="D115" i="3"/>
  <c r="X6" i="31"/>
  <c r="X4" i="31"/>
  <c r="T6" i="31"/>
  <c r="T4" i="31"/>
  <c r="P6" i="31"/>
  <c r="P4" i="31"/>
  <c r="L6" i="31"/>
  <c r="L4" i="31"/>
  <c r="H6" i="31"/>
  <c r="H4" i="31"/>
  <c r="D6" i="31"/>
  <c r="D4" i="31"/>
  <c r="D3" i="31"/>
  <c r="X112" i="1"/>
  <c r="H112" i="1"/>
  <c r="BA107" i="23" s="1"/>
  <c r="D112" i="1"/>
  <c r="I26" i="27"/>
  <c r="CX107" i="23" s="1"/>
  <c r="I25" i="27"/>
  <c r="CX106" i="23" s="1"/>
  <c r="I24" i="27"/>
  <c r="H26" i="27"/>
  <c r="CW107" i="23" s="1"/>
  <c r="X111" i="1"/>
  <c r="H111" i="1"/>
  <c r="BA106" i="23" s="1"/>
  <c r="D111" i="1"/>
  <c r="E111" i="1" s="1"/>
  <c r="H25" i="27"/>
  <c r="CW106" i="23" s="1"/>
  <c r="J112" i="1"/>
  <c r="J111" i="1"/>
  <c r="BF107" i="23"/>
  <c r="BE107" i="23"/>
  <c r="BD107" i="23"/>
  <c r="BC107" i="23"/>
  <c r="BB107" i="23"/>
  <c r="BF106" i="23"/>
  <c r="BE106" i="23"/>
  <c r="BD106" i="23"/>
  <c r="BC106" i="23"/>
  <c r="BB106" i="23"/>
  <c r="CJ107" i="23"/>
  <c r="CI107" i="23"/>
  <c r="BJ107" i="23"/>
  <c r="BI107" i="23"/>
  <c r="E67" i="24"/>
  <c r="R102" i="9"/>
  <c r="AN107" i="23"/>
  <c r="CV107" i="23"/>
  <c r="CU107" i="23"/>
  <c r="CR107" i="23"/>
  <c r="O97" i="10"/>
  <c r="CQ107" i="23" s="1"/>
  <c r="AP107" i="23"/>
  <c r="P107" i="2"/>
  <c r="AO107" i="23" s="1"/>
  <c r="CL107" i="23"/>
  <c r="G45" i="22"/>
  <c r="CK107" i="23" s="1"/>
  <c r="K108" i="23" l="1"/>
  <c r="AD18" i="28"/>
  <c r="U108" i="23" s="1"/>
  <c r="S103" i="9"/>
  <c r="AM108" i="23" s="1"/>
  <c r="T103" i="9"/>
  <c r="S102" i="9"/>
  <c r="AM107" i="23" s="1"/>
  <c r="G108" i="23"/>
  <c r="H108" i="23"/>
  <c r="I108" i="23"/>
  <c r="F108" i="23"/>
  <c r="C108" i="23"/>
  <c r="C108" i="4" s="1"/>
  <c r="E108" i="23"/>
  <c r="D108" i="23"/>
  <c r="E112" i="1"/>
  <c r="F112" i="1" s="1"/>
  <c r="G112" i="1" s="1"/>
  <c r="E115" i="3"/>
  <c r="F115" i="3" s="1"/>
  <c r="F111" i="1"/>
  <c r="G111" i="1" s="1"/>
  <c r="CP107" i="23"/>
  <c r="CO107" i="23"/>
  <c r="AJ107" i="23"/>
  <c r="AI107" i="23"/>
  <c r="T107" i="23"/>
  <c r="S107" i="23"/>
  <c r="R107" i="23"/>
  <c r="I107" i="23" s="1"/>
  <c r="Q107" i="23"/>
  <c r="H107" i="23" s="1"/>
  <c r="CN107" i="23"/>
  <c r="CM107" i="23"/>
  <c r="P107" i="23"/>
  <c r="O107" i="23"/>
  <c r="D8" i="30"/>
  <c r="E8" i="30" s="1"/>
  <c r="F8" i="30" s="1"/>
  <c r="D59" i="18"/>
  <c r="E59" i="18" s="1"/>
  <c r="F59" i="18" s="1"/>
  <c r="D114" i="3"/>
  <c r="D68" i="17"/>
  <c r="E68" i="17" s="1"/>
  <c r="F68" i="17" s="1"/>
  <c r="B108" i="23" l="1"/>
  <c r="B108" i="4" s="1"/>
  <c r="D109" i="4" s="1"/>
  <c r="L107" i="23"/>
  <c r="M107" i="23"/>
  <c r="J108" i="23"/>
  <c r="E114" i="3"/>
  <c r="F114" i="3" s="1"/>
  <c r="AE17" i="28" l="1"/>
  <c r="V107" i="23" s="1"/>
  <c r="K107" i="23" s="1"/>
  <c r="AC17" i="28"/>
  <c r="AB17" i="28"/>
  <c r="CT107" i="23"/>
  <c r="G107" i="23" s="1"/>
  <c r="CS107" i="23"/>
  <c r="F107" i="23" s="1"/>
  <c r="BH107" i="23"/>
  <c r="E107" i="23" s="1"/>
  <c r="BG107" i="23"/>
  <c r="F70" i="15"/>
  <c r="G70" i="15"/>
  <c r="CL106" i="23"/>
  <c r="AP106" i="23"/>
  <c r="G44" i="22"/>
  <c r="CK106" i="23" s="1"/>
  <c r="P106" i="2"/>
  <c r="AO106" i="23" s="1"/>
  <c r="E66" i="24"/>
  <c r="BJ106" i="23" s="1"/>
  <c r="BI106" i="23"/>
  <c r="CJ106" i="23"/>
  <c r="CI106" i="23"/>
  <c r="R101" i="9"/>
  <c r="AN106" i="23"/>
  <c r="CR106" i="23"/>
  <c r="O96" i="10"/>
  <c r="CQ106" i="23" s="1"/>
  <c r="CP106" i="23"/>
  <c r="CO106" i="23"/>
  <c r="CT106" i="23"/>
  <c r="CS106" i="23"/>
  <c r="BH106" i="23"/>
  <c r="BG106" i="23"/>
  <c r="F69" i="15"/>
  <c r="G69" i="15"/>
  <c r="CV106" i="23"/>
  <c r="CU106" i="23"/>
  <c r="AD17" i="28" l="1"/>
  <c r="U107" i="23" s="1"/>
  <c r="J107" i="23" s="1"/>
  <c r="T102" i="9"/>
  <c r="D107" i="23"/>
  <c r="C107" i="23"/>
  <c r="C107" i="4" s="1"/>
  <c r="S101" i="9"/>
  <c r="AM106" i="23" s="1"/>
  <c r="AJ106" i="23"/>
  <c r="AI106" i="23"/>
  <c r="T106" i="23"/>
  <c r="S106" i="23"/>
  <c r="R106" i="23"/>
  <c r="I106" i="23" s="1"/>
  <c r="Q106" i="23"/>
  <c r="H106" i="23" s="1"/>
  <c r="CN106" i="23"/>
  <c r="G106" i="23" s="1"/>
  <c r="CM106" i="23"/>
  <c r="F106" i="23" s="1"/>
  <c r="P106" i="23"/>
  <c r="E106" i="23" s="1"/>
  <c r="O106" i="23"/>
  <c r="D58" i="18"/>
  <c r="E58" i="18" s="1"/>
  <c r="F58" i="18" s="1"/>
  <c r="D113" i="3"/>
  <c r="D67" i="17"/>
  <c r="D7" i="30"/>
  <c r="E7" i="30" s="1"/>
  <c r="F7" i="30" s="1"/>
  <c r="D106" i="23" l="1"/>
  <c r="L106" i="23"/>
  <c r="B107" i="23"/>
  <c r="B107" i="4" s="1"/>
  <c r="D108" i="4" s="1"/>
  <c r="M106" i="23"/>
  <c r="E113" i="3"/>
  <c r="F113" i="3" s="1"/>
  <c r="E67" i="17"/>
  <c r="F67" i="17" s="1"/>
  <c r="AE16" i="28"/>
  <c r="V106" i="23" s="1"/>
  <c r="K106" i="23" s="1"/>
  <c r="AB16" i="28"/>
  <c r="AC16" i="28"/>
  <c r="AD16" i="28" l="1"/>
  <c r="U106" i="23" s="1"/>
  <c r="B106" i="23" s="1"/>
  <c r="C106" i="23"/>
  <c r="C106" i="4" s="1"/>
  <c r="BC93" i="23"/>
  <c r="BF105" i="23"/>
  <c r="BE105" i="23"/>
  <c r="BD105" i="23"/>
  <c r="BC105" i="23"/>
  <c r="BB105" i="23"/>
  <c r="X110" i="1"/>
  <c r="H110" i="1"/>
  <c r="BA105" i="23" s="1"/>
  <c r="D110" i="1"/>
  <c r="E110" i="1" s="1"/>
  <c r="CX105" i="23"/>
  <c r="CW105" i="23"/>
  <c r="H24" i="27"/>
  <c r="J110" i="1"/>
  <c r="B106" i="4" l="1"/>
  <c r="D107" i="4" s="1"/>
  <c r="J106" i="23"/>
  <c r="F110" i="1"/>
  <c r="G110" i="1" s="1"/>
  <c r="BC98" i="23" l="1"/>
  <c r="G39" i="22" l="1"/>
  <c r="G40" i="22"/>
  <c r="G41" i="22"/>
  <c r="G42" i="22"/>
  <c r="G43" i="22"/>
  <c r="CR105" i="23" l="1"/>
  <c r="O95" i="10"/>
  <c r="CQ105" i="23" s="1"/>
  <c r="AP105" i="23"/>
  <c r="P105" i="2"/>
  <c r="AO105" i="23" s="1"/>
  <c r="CL105" i="23"/>
  <c r="CK105" i="23"/>
  <c r="BJ105" i="23"/>
  <c r="BI105" i="23"/>
  <c r="E65" i="24"/>
  <c r="R100" i="9"/>
  <c r="AN105" i="23"/>
  <c r="CJ105" i="23"/>
  <c r="CI105" i="23"/>
  <c r="CV105" i="23"/>
  <c r="CU105" i="23"/>
  <c r="CT105" i="23"/>
  <c r="CS105" i="23"/>
  <c r="BH105" i="23"/>
  <c r="BG105" i="23"/>
  <c r="AJ105" i="23"/>
  <c r="AI105" i="23"/>
  <c r="O105" i="23"/>
  <c r="P105" i="23"/>
  <c r="CM105" i="23"/>
  <c r="CN105" i="23"/>
  <c r="Q105" i="23"/>
  <c r="R105" i="23"/>
  <c r="S105" i="23"/>
  <c r="T105" i="23"/>
  <c r="AE15" i="28"/>
  <c r="V105" i="23" s="1"/>
  <c r="AB15" i="28"/>
  <c r="AC15" i="28"/>
  <c r="K105" i="23" l="1"/>
  <c r="M105" i="23"/>
  <c r="L105" i="23"/>
  <c r="AD15" i="28"/>
  <c r="U105" i="23" s="1"/>
  <c r="F105" i="23"/>
  <c r="H105" i="23"/>
  <c r="T101" i="9"/>
  <c r="G105" i="23"/>
  <c r="I105" i="23"/>
  <c r="S100" i="9"/>
  <c r="AM105" i="23" s="1"/>
  <c r="D6" i="30"/>
  <c r="E6" i="30" s="1"/>
  <c r="F6" i="30" s="1"/>
  <c r="D57" i="18"/>
  <c r="D66" i="17"/>
  <c r="E66" i="17" s="1"/>
  <c r="F66" i="17" s="1"/>
  <c r="CP105" i="23"/>
  <c r="C105" i="23" s="1"/>
  <c r="C105" i="4" s="1"/>
  <c r="CO105" i="23"/>
  <c r="D105" i="23" s="1"/>
  <c r="F68" i="15"/>
  <c r="G68" i="15"/>
  <c r="D112" i="3"/>
  <c r="X3" i="31"/>
  <c r="T3" i="31"/>
  <c r="P3" i="31"/>
  <c r="L3" i="31"/>
  <c r="H3" i="31"/>
  <c r="B105" i="23" l="1"/>
  <c r="B105" i="4" s="1"/>
  <c r="D106" i="4" s="1"/>
  <c r="J105" i="23"/>
  <c r="E105" i="23"/>
  <c r="E57" i="18"/>
  <c r="F57" i="18" s="1"/>
  <c r="E112" i="3"/>
  <c r="F112" i="3" s="1"/>
  <c r="BF104" i="23"/>
  <c r="BE104" i="23"/>
  <c r="AI104" i="23"/>
  <c r="AJ104" i="23"/>
  <c r="CX103" i="23" l="1"/>
  <c r="CW104" i="23"/>
  <c r="CX104" i="23"/>
  <c r="BB102" i="23"/>
  <c r="BC102" i="23"/>
  <c r="BD102" i="23"/>
  <c r="BB103" i="23"/>
  <c r="BC103" i="23"/>
  <c r="BD103" i="23"/>
  <c r="BB104" i="23"/>
  <c r="BC104" i="23"/>
  <c r="BD104" i="23"/>
  <c r="H109" i="1"/>
  <c r="BA104" i="23" s="1"/>
  <c r="I23" i="27"/>
  <c r="H23" i="27"/>
  <c r="X109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H108" i="1"/>
  <c r="BA103" i="23" s="1"/>
  <c r="I22" i="27"/>
  <c r="H22" i="27"/>
  <c r="CW103" i="23" s="1"/>
  <c r="D109" i="1"/>
  <c r="D108" i="1"/>
  <c r="D107" i="1"/>
  <c r="E107" i="1" s="1"/>
  <c r="H107" i="1"/>
  <c r="BA102" i="23" s="1"/>
  <c r="I21" i="27"/>
  <c r="CX102" i="23" s="1"/>
  <c r="H21" i="27"/>
  <c r="CW102" i="23" s="1"/>
  <c r="J109" i="1"/>
  <c r="J108" i="1"/>
  <c r="J107" i="1"/>
  <c r="CR104" i="23"/>
  <c r="O94" i="10"/>
  <c r="CQ104" i="23" s="1"/>
  <c r="CL104" i="23"/>
  <c r="CK104" i="23"/>
  <c r="AP104" i="23"/>
  <c r="P104" i="2"/>
  <c r="AO104" i="23" s="1"/>
  <c r="AE13" i="28"/>
  <c r="AC13" i="28"/>
  <c r="AB13" i="28"/>
  <c r="AD13" i="28" s="1"/>
  <c r="E109" i="1" l="1"/>
  <c r="F109" i="1" s="1"/>
  <c r="G109" i="1" s="1"/>
  <c r="E108" i="1"/>
  <c r="F108" i="1" s="1"/>
  <c r="G108" i="1" s="1"/>
  <c r="F107" i="1"/>
  <c r="G107" i="1" s="1"/>
  <c r="T104" i="23"/>
  <c r="M104" i="23" s="1"/>
  <c r="S104" i="23"/>
  <c r="L104" i="23" s="1"/>
  <c r="R104" i="23"/>
  <c r="Q104" i="23"/>
  <c r="CN104" i="23"/>
  <c r="CM104" i="23"/>
  <c r="P104" i="23"/>
  <c r="O104" i="23"/>
  <c r="D5" i="30"/>
  <c r="E5" i="30" s="1"/>
  <c r="F5" i="30" s="1"/>
  <c r="D56" i="18"/>
  <c r="E56" i="18" s="1"/>
  <c r="F56" i="18" s="1"/>
  <c r="D111" i="3"/>
  <c r="D65" i="17"/>
  <c r="E65" i="17" s="1"/>
  <c r="F65" i="17" s="1"/>
  <c r="V103" i="23"/>
  <c r="U103" i="23"/>
  <c r="AE14" i="28"/>
  <c r="V104" i="23" s="1"/>
  <c r="AC14" i="28"/>
  <c r="AB14" i="28"/>
  <c r="AD14" i="28" l="1"/>
  <c r="U104" i="23" s="1"/>
  <c r="E111" i="3"/>
  <c r="F111" i="3" s="1"/>
  <c r="CT104" i="23"/>
  <c r="G104" i="23" s="1"/>
  <c r="CS104" i="23"/>
  <c r="F104" i="23" s="1"/>
  <c r="BH104" i="23"/>
  <c r="BG104" i="23"/>
  <c r="F67" i="15"/>
  <c r="G67" i="15"/>
  <c r="CP104" i="23"/>
  <c r="CP103" i="23"/>
  <c r="CO104" i="23"/>
  <c r="CU104" i="23"/>
  <c r="CV104" i="23"/>
  <c r="CJ104" i="23"/>
  <c r="I104" i="23" s="1"/>
  <c r="CI104" i="23"/>
  <c r="H104" i="23" s="1"/>
  <c r="E64" i="24"/>
  <c r="BJ104" i="23" s="1"/>
  <c r="BI104" i="23"/>
  <c r="R99" i="9"/>
  <c r="T100" i="9"/>
  <c r="AN104" i="23"/>
  <c r="K104" i="23" s="1"/>
  <c r="AJ103" i="23"/>
  <c r="AI103" i="23"/>
  <c r="CO103" i="23"/>
  <c r="T103" i="23"/>
  <c r="S103" i="23"/>
  <c r="D4" i="30"/>
  <c r="E4" i="30" s="1"/>
  <c r="F4" i="30" s="1"/>
  <c r="R103" i="23"/>
  <c r="Q103" i="23"/>
  <c r="CN103" i="23"/>
  <c r="CM103" i="23"/>
  <c r="P103" i="23"/>
  <c r="O103" i="23"/>
  <c r="D55" i="18"/>
  <c r="D64" i="17"/>
  <c r="E64" i="17" s="1"/>
  <c r="F64" i="17" s="1"/>
  <c r="C104" i="23" l="1"/>
  <c r="S99" i="9"/>
  <c r="AM104" i="23" s="1"/>
  <c r="E104" i="23"/>
  <c r="C104" i="4"/>
  <c r="D104" i="23"/>
  <c r="E55" i="18"/>
  <c r="F55" i="18" s="1"/>
  <c r="J104" i="23" l="1"/>
  <c r="B104" i="23"/>
  <c r="B104" i="4" s="1"/>
  <c r="D105" i="4" s="1"/>
  <c r="D110" i="3"/>
  <c r="CT103" i="23"/>
  <c r="G103" i="23" s="1"/>
  <c r="CS103" i="23"/>
  <c r="F103" i="23" s="1"/>
  <c r="BH103" i="23"/>
  <c r="BG103" i="23"/>
  <c r="G66" i="15"/>
  <c r="F66" i="15"/>
  <c r="CV103" i="23"/>
  <c r="CU103" i="23"/>
  <c r="BI103" i="23"/>
  <c r="E63" i="24"/>
  <c r="BJ103" i="23" s="1"/>
  <c r="CL103" i="23"/>
  <c r="M103" i="23" s="1"/>
  <c r="CK103" i="23"/>
  <c r="L103" i="23" s="1"/>
  <c r="CJ103" i="23"/>
  <c r="I103" i="23" s="1"/>
  <c r="CI103" i="23"/>
  <c r="H103" i="23" s="1"/>
  <c r="AP103" i="23"/>
  <c r="P103" i="2"/>
  <c r="AO103" i="23" s="1"/>
  <c r="CR103" i="23"/>
  <c r="O93" i="10"/>
  <c r="CQ103" i="23" s="1"/>
  <c r="R98" i="9"/>
  <c r="AN103" i="23"/>
  <c r="T99" i="9"/>
  <c r="AI102" i="23"/>
  <c r="AJ102" i="23"/>
  <c r="S98" i="9" l="1"/>
  <c r="AM103" i="23" s="1"/>
  <c r="D103" i="23"/>
  <c r="C103" i="23"/>
  <c r="C103" i="4" s="1"/>
  <c r="K103" i="23"/>
  <c r="E103" i="23"/>
  <c r="E110" i="3"/>
  <c r="F110" i="3" s="1"/>
  <c r="AE12" i="28"/>
  <c r="V102" i="23" s="1"/>
  <c r="AC12" i="28"/>
  <c r="AB12" i="28"/>
  <c r="AD12" i="28" l="1"/>
  <c r="U102" i="23" s="1"/>
  <c r="J103" i="23"/>
  <c r="B103" i="23"/>
  <c r="B103" i="4" s="1"/>
  <c r="D104" i="4" s="1"/>
  <c r="CU102" i="23"/>
  <c r="CV102" i="23"/>
  <c r="BG102" i="23"/>
  <c r="BH102" i="23"/>
  <c r="CS102" i="23"/>
  <c r="CT102" i="23"/>
  <c r="F65" i="15"/>
  <c r="G65" i="15"/>
  <c r="CP102" i="23"/>
  <c r="CO102" i="23"/>
  <c r="CR102" i="23" l="1"/>
  <c r="O92" i="10"/>
  <c r="CQ102" i="23" s="1"/>
  <c r="T102" i="23" l="1"/>
  <c r="T101" i="23"/>
  <c r="S102" i="23"/>
  <c r="D3" i="30"/>
  <c r="E3" i="30" s="1"/>
  <c r="F3" i="30" s="1"/>
  <c r="O102" i="23"/>
  <c r="P102" i="23"/>
  <c r="CM102" i="23"/>
  <c r="F102" i="23" s="1"/>
  <c r="CN102" i="23"/>
  <c r="G102" i="23" s="1"/>
  <c r="Q102" i="23"/>
  <c r="R102" i="23"/>
  <c r="D54" i="18"/>
  <c r="E54" i="18" s="1"/>
  <c r="F54" i="18" s="1"/>
  <c r="D63" i="17"/>
  <c r="E63" i="17" s="1"/>
  <c r="F63" i="17" s="1"/>
  <c r="D109" i="3" l="1"/>
  <c r="CJ102" i="23"/>
  <c r="I102" i="23" s="1"/>
  <c r="CI102" i="23"/>
  <c r="H102" i="23" s="1"/>
  <c r="CL102" i="23"/>
  <c r="M102" i="23" s="1"/>
  <c r="CK102" i="23"/>
  <c r="BJ102" i="23"/>
  <c r="E102" i="23" s="1"/>
  <c r="BI102" i="23"/>
  <c r="D102" i="23" s="1"/>
  <c r="AP102" i="23"/>
  <c r="P102" i="2"/>
  <c r="AO102" i="23" s="1"/>
  <c r="E62" i="24"/>
  <c r="R97" i="9"/>
  <c r="AN102" i="23"/>
  <c r="K102" i="23" l="1"/>
  <c r="L102" i="23"/>
  <c r="C102" i="23"/>
  <c r="C102" i="4" s="1"/>
  <c r="E109" i="3"/>
  <c r="F109" i="3" s="1"/>
  <c r="T98" i="9" l="1"/>
  <c r="S97" i="9"/>
  <c r="AM102" i="23" s="1"/>
  <c r="B102" i="23" s="1"/>
  <c r="CX101" i="23"/>
  <c r="BD101" i="23"/>
  <c r="BC101" i="23"/>
  <c r="BB101" i="23"/>
  <c r="H20" i="27"/>
  <c r="CW101" i="23" s="1"/>
  <c r="I20" i="27"/>
  <c r="H106" i="1"/>
  <c r="BA101" i="23" s="1"/>
  <c r="D106" i="1"/>
  <c r="I19" i="27"/>
  <c r="CX100" i="23" s="1"/>
  <c r="H105" i="1"/>
  <c r="BA100" i="23" s="1"/>
  <c r="BB100" i="23"/>
  <c r="H19" i="27"/>
  <c r="CW100" i="23" s="1"/>
  <c r="D105" i="1"/>
  <c r="BD100" i="23"/>
  <c r="BC100" i="23"/>
  <c r="J105" i="1"/>
  <c r="J106" i="1"/>
  <c r="CR101" i="23"/>
  <c r="O91" i="10"/>
  <c r="CQ101" i="23" s="1"/>
  <c r="J102" i="23" l="1"/>
  <c r="B102" i="4"/>
  <c r="D103" i="4" s="1"/>
  <c r="E105" i="1"/>
  <c r="F105" i="1" s="1"/>
  <c r="G105" i="1" s="1"/>
  <c r="E106" i="1"/>
  <c r="F106" i="1" s="1"/>
  <c r="G106" i="1" s="1"/>
  <c r="CL101" i="23" l="1"/>
  <c r="CK101" i="23"/>
  <c r="CZ101" i="23"/>
  <c r="CY101" i="23"/>
  <c r="AP101" i="23"/>
  <c r="P101" i="2"/>
  <c r="AO101" i="23" s="1"/>
  <c r="AJ101" i="23"/>
  <c r="AI101" i="23"/>
  <c r="CU101" i="23"/>
  <c r="CV101" i="23"/>
  <c r="AC10" i="28"/>
  <c r="AC11" i="28"/>
  <c r="AB11" i="28"/>
  <c r="AE11" i="28"/>
  <c r="V101" i="23" s="1"/>
  <c r="CP101" i="23"/>
  <c r="CO101" i="23"/>
  <c r="R101" i="23"/>
  <c r="Q101" i="23"/>
  <c r="D53" i="18"/>
  <c r="E53" i="18" s="1"/>
  <c r="F53" i="18" s="1"/>
  <c r="CN101" i="23"/>
  <c r="CM101" i="23"/>
  <c r="P101" i="23"/>
  <c r="O101" i="23"/>
  <c r="D108" i="3"/>
  <c r="E108" i="3" s="1"/>
  <c r="F108" i="3" s="1"/>
  <c r="D62" i="17"/>
  <c r="E62" i="17" s="1"/>
  <c r="S101" i="23"/>
  <c r="AD11" i="28" l="1"/>
  <c r="U101" i="23" s="1"/>
  <c r="L101" i="23"/>
  <c r="M101" i="23"/>
  <c r="F62" i="17"/>
  <c r="CT101" i="23" l="1"/>
  <c r="G101" i="23" s="1"/>
  <c r="CS101" i="23"/>
  <c r="F101" i="23" s="1"/>
  <c r="BH101" i="23"/>
  <c r="BG101" i="23"/>
  <c r="F64" i="15"/>
  <c r="G64" i="15"/>
  <c r="CJ101" i="23"/>
  <c r="I101" i="23" s="1"/>
  <c r="CI101" i="23"/>
  <c r="H101" i="23" s="1"/>
  <c r="BI101" i="23"/>
  <c r="E61" i="24"/>
  <c r="BJ101" i="23" s="1"/>
  <c r="R96" i="9"/>
  <c r="AN101" i="23"/>
  <c r="T97" i="9"/>
  <c r="AI100" i="23"/>
  <c r="AJ100" i="23"/>
  <c r="CR100" i="23"/>
  <c r="O90" i="10"/>
  <c r="CQ100" i="23" s="1"/>
  <c r="AP100" i="23"/>
  <c r="P100" i="2"/>
  <c r="AO100" i="23" s="1"/>
  <c r="CL100" i="23"/>
  <c r="G38" i="22"/>
  <c r="CK100" i="23" s="1"/>
  <c r="CZ100" i="23"/>
  <c r="CY100" i="23"/>
  <c r="CJ100" i="23"/>
  <c r="CI100" i="23"/>
  <c r="BJ100" i="23"/>
  <c r="BI100" i="23"/>
  <c r="R95" i="9"/>
  <c r="AN100" i="23"/>
  <c r="E60" i="24"/>
  <c r="AB10" i="28"/>
  <c r="R100" i="23"/>
  <c r="Q100" i="23"/>
  <c r="CN100" i="23"/>
  <c r="CM100" i="23"/>
  <c r="P100" i="23"/>
  <c r="O100" i="23"/>
  <c r="D52" i="18"/>
  <c r="E52" i="18" s="1"/>
  <c r="F52" i="18" s="1"/>
  <c r="D107" i="3"/>
  <c r="D61" i="17"/>
  <c r="E61" i="17" s="1"/>
  <c r="F61" i="17" s="1"/>
  <c r="CV100" i="23"/>
  <c r="CU100" i="23"/>
  <c r="CT100" i="23"/>
  <c r="CS100" i="23"/>
  <c r="BH100" i="23"/>
  <c r="BG100" i="23"/>
  <c r="CP100" i="23"/>
  <c r="F63" i="15"/>
  <c r="G63" i="15"/>
  <c r="CO100" i="23"/>
  <c r="BB99" i="23"/>
  <c r="BC99" i="23"/>
  <c r="BD99" i="23"/>
  <c r="J104" i="1"/>
  <c r="H104" i="1"/>
  <c r="BA99" i="23" s="1"/>
  <c r="D104" i="1"/>
  <c r="E104" i="1" s="1"/>
  <c r="CX99" i="23"/>
  <c r="CW99" i="23"/>
  <c r="H18" i="27"/>
  <c r="I18" i="27"/>
  <c r="H16" i="27"/>
  <c r="CW97" i="23" s="1"/>
  <c r="I16" i="27"/>
  <c r="CX97" i="23" s="1"/>
  <c r="BB97" i="23"/>
  <c r="BC97" i="23"/>
  <c r="BD97" i="23"/>
  <c r="H102" i="1"/>
  <c r="BA97" i="23" s="1"/>
  <c r="AI99" i="23"/>
  <c r="AJ99" i="23"/>
  <c r="CP99" i="23"/>
  <c r="CO99" i="23"/>
  <c r="CU99" i="23"/>
  <c r="CV99" i="23"/>
  <c r="BG99" i="23"/>
  <c r="BH99" i="23"/>
  <c r="CS99" i="23"/>
  <c r="CT99" i="23"/>
  <c r="F62" i="15"/>
  <c r="G62" i="15"/>
  <c r="AP99" i="23"/>
  <c r="P99" i="2"/>
  <c r="AO99" i="23" s="1"/>
  <c r="P98" i="2"/>
  <c r="M100" i="23" l="1"/>
  <c r="H100" i="23"/>
  <c r="C101" i="23"/>
  <c r="C101" i="4" s="1"/>
  <c r="D101" i="23"/>
  <c r="F100" i="23"/>
  <c r="F104" i="1"/>
  <c r="L100" i="23"/>
  <c r="G100" i="23"/>
  <c r="I100" i="23"/>
  <c r="K101" i="23"/>
  <c r="T96" i="9"/>
  <c r="E101" i="23"/>
  <c r="D100" i="23"/>
  <c r="E100" i="23"/>
  <c r="S96" i="9"/>
  <c r="AM101" i="23" s="1"/>
  <c r="S95" i="9"/>
  <c r="AM100" i="23" s="1"/>
  <c r="AE10" i="28"/>
  <c r="V100" i="23" s="1"/>
  <c r="C100" i="23" s="1"/>
  <c r="AD10" i="28"/>
  <c r="U100" i="23" s="1"/>
  <c r="E107" i="3"/>
  <c r="F107" i="3" s="1"/>
  <c r="CL99" i="23"/>
  <c r="M99" i="23" s="1"/>
  <c r="G37" i="22"/>
  <c r="CK99" i="23" s="1"/>
  <c r="L99" i="23" s="1"/>
  <c r="CY99" i="23"/>
  <c r="CZ99" i="23"/>
  <c r="AN99" i="23"/>
  <c r="R94" i="9"/>
  <c r="CI99" i="23"/>
  <c r="CJ99" i="23"/>
  <c r="BI99" i="23"/>
  <c r="BJ99" i="23"/>
  <c r="E59" i="24"/>
  <c r="B101" i="23" l="1"/>
  <c r="B101" i="4" s="1"/>
  <c r="D102" i="4" s="1"/>
  <c r="C100" i="4"/>
  <c r="J101" i="23"/>
  <c r="G104" i="1"/>
  <c r="J100" i="23"/>
  <c r="S94" i="9"/>
  <c r="AM99" i="23" s="1"/>
  <c r="B100" i="23"/>
  <c r="B100" i="4" s="1"/>
  <c r="K100" i="23"/>
  <c r="T95" i="9"/>
  <c r="R99" i="23"/>
  <c r="I99" i="23" s="1"/>
  <c r="Q99" i="23"/>
  <c r="H99" i="23" s="1"/>
  <c r="CN99" i="23"/>
  <c r="G99" i="23" s="1"/>
  <c r="CM99" i="23"/>
  <c r="F99" i="23" s="1"/>
  <c r="P99" i="23"/>
  <c r="E99" i="23" s="1"/>
  <c r="O99" i="23"/>
  <c r="D99" i="23" s="1"/>
  <c r="D51" i="18"/>
  <c r="E51" i="18" s="1"/>
  <c r="F51" i="18" s="1"/>
  <c r="D106" i="3"/>
  <c r="D60" i="17"/>
  <c r="E60" i="17" s="1"/>
  <c r="F60" i="17" s="1"/>
  <c r="AE9" i="28"/>
  <c r="V99" i="23" s="1"/>
  <c r="AE8" i="28"/>
  <c r="AC9" i="28"/>
  <c r="AB9" i="28"/>
  <c r="AD9" i="28" l="1"/>
  <c r="U99" i="23" s="1"/>
  <c r="D101" i="4"/>
  <c r="E106" i="3"/>
  <c r="F106" i="3" s="1"/>
  <c r="CR99" i="23"/>
  <c r="K99" i="23" s="1"/>
  <c r="O89" i="10"/>
  <c r="CQ99" i="23" s="1"/>
  <c r="O88" i="10"/>
  <c r="C99" i="23" l="1"/>
  <c r="C99" i="4" s="1"/>
  <c r="J99" i="23"/>
  <c r="B99" i="23"/>
  <c r="B99" i="4" s="1"/>
  <c r="AJ98" i="23"/>
  <c r="AI98" i="23"/>
  <c r="BD98" i="23"/>
  <c r="BB98" i="23"/>
  <c r="I17" i="27"/>
  <c r="CX98" i="23" s="1"/>
  <c r="H17" i="27"/>
  <c r="CW98" i="23" s="1"/>
  <c r="H103" i="1"/>
  <c r="BA98" i="23" s="1"/>
  <c r="D103" i="1"/>
  <c r="E103" i="1" s="1"/>
  <c r="D102" i="1"/>
  <c r="BC96" i="23"/>
  <c r="CR98" i="23"/>
  <c r="D100" i="4" l="1"/>
  <c r="E102" i="1"/>
  <c r="F103" i="1"/>
  <c r="G103" i="1" s="1"/>
  <c r="CQ98" i="23"/>
  <c r="AP98" i="23"/>
  <c r="AO98" i="23"/>
  <c r="G36" i="22"/>
  <c r="CK98" i="23" s="1"/>
  <c r="L98" i="23" s="1"/>
  <c r="CL98" i="23"/>
  <c r="M98" i="23" s="1"/>
  <c r="CZ98" i="23"/>
  <c r="CY98" i="23"/>
  <c r="BI98" i="23"/>
  <c r="E58" i="24"/>
  <c r="BJ98" i="23" s="1"/>
  <c r="CJ98" i="23"/>
  <c r="CI98" i="23"/>
  <c r="R93" i="9"/>
  <c r="T94" i="9"/>
  <c r="AN98" i="23"/>
  <c r="F102" i="1" l="1"/>
  <c r="S93" i="9"/>
  <c r="AM98" i="23" s="1"/>
  <c r="CL97" i="23"/>
  <c r="M97" i="23" s="1"/>
  <c r="CZ97" i="23"/>
  <c r="CY97" i="23"/>
  <c r="G35" i="22"/>
  <c r="CK97" i="23" s="1"/>
  <c r="L97" i="23" s="1"/>
  <c r="AP97" i="23"/>
  <c r="P97" i="2"/>
  <c r="AO97" i="23" s="1"/>
  <c r="G102" i="1" l="1"/>
  <c r="CR97" i="23"/>
  <c r="O87" i="10"/>
  <c r="CQ97" i="23" s="1"/>
  <c r="CJ97" i="23"/>
  <c r="CI97" i="23"/>
  <c r="BI97" i="23"/>
  <c r="E57" i="24"/>
  <c r="BJ97" i="23" s="1"/>
  <c r="R92" i="9"/>
  <c r="T93" i="9"/>
  <c r="AN97" i="23"/>
  <c r="S92" i="9" l="1"/>
  <c r="AM97" i="23" s="1"/>
  <c r="CV98" i="23"/>
  <c r="CU98" i="23"/>
  <c r="CV97" i="23"/>
  <c r="CU97" i="23"/>
  <c r="CT98" i="23"/>
  <c r="CS98" i="23"/>
  <c r="BH98" i="23"/>
  <c r="BG98" i="23"/>
  <c r="CT97" i="23"/>
  <c r="CS97" i="23"/>
  <c r="BH97" i="23"/>
  <c r="BG97" i="23"/>
  <c r="CP98" i="23"/>
  <c r="CP97" i="23"/>
  <c r="CO98" i="23"/>
  <c r="F61" i="15"/>
  <c r="G61" i="15"/>
  <c r="F60" i="15" l="1"/>
  <c r="G60" i="15"/>
  <c r="CO97" i="23" l="1"/>
  <c r="V98" i="23"/>
  <c r="CM97" i="23"/>
  <c r="F97" i="23" s="1"/>
  <c r="CN97" i="23"/>
  <c r="G97" i="23" s="1"/>
  <c r="Q97" i="23"/>
  <c r="H97" i="23" s="1"/>
  <c r="R97" i="23"/>
  <c r="CM98" i="23"/>
  <c r="F98" i="23" s="1"/>
  <c r="CN98" i="23"/>
  <c r="G98" i="23" s="1"/>
  <c r="Q98" i="23"/>
  <c r="H98" i="23" s="1"/>
  <c r="R98" i="23"/>
  <c r="D50" i="18"/>
  <c r="E50" i="18" s="1"/>
  <c r="F50" i="18" s="1"/>
  <c r="D49" i="18"/>
  <c r="E49" i="18" s="1"/>
  <c r="F49" i="18" s="1"/>
  <c r="D59" i="17"/>
  <c r="E59" i="17" s="1"/>
  <c r="F59" i="17" s="1"/>
  <c r="D58" i="17"/>
  <c r="E58" i="17" s="1"/>
  <c r="F58" i="17" s="1"/>
  <c r="O97" i="23"/>
  <c r="P97" i="23"/>
  <c r="E97" i="23" s="1"/>
  <c r="O98" i="23"/>
  <c r="D98" i="23" s="1"/>
  <c r="P98" i="23"/>
  <c r="E98" i="23" s="1"/>
  <c r="D105" i="3"/>
  <c r="D104" i="3"/>
  <c r="E104" i="3" s="1"/>
  <c r="D97" i="23" l="1"/>
  <c r="K98" i="23"/>
  <c r="C98" i="23"/>
  <c r="C98" i="4" s="1"/>
  <c r="I98" i="23"/>
  <c r="I97" i="23"/>
  <c r="E105" i="3"/>
  <c r="F105" i="3" s="1"/>
  <c r="F104" i="3"/>
  <c r="AE7" i="28" l="1"/>
  <c r="V97" i="23" s="1"/>
  <c r="AC8" i="28"/>
  <c r="AB8" i="28"/>
  <c r="AC7" i="28"/>
  <c r="AB7" i="28"/>
  <c r="AD8" i="28" l="1"/>
  <c r="U98" i="23" s="1"/>
  <c r="K97" i="23"/>
  <c r="C97" i="23"/>
  <c r="C97" i="4" s="1"/>
  <c r="AD7" i="28"/>
  <c r="U97" i="23" s="1"/>
  <c r="BD96" i="23"/>
  <c r="BB96" i="23"/>
  <c r="I15" i="27"/>
  <c r="CX96" i="23" s="1"/>
  <c r="H15" i="27"/>
  <c r="CW96" i="23" s="1"/>
  <c r="J103" i="1"/>
  <c r="J102" i="1"/>
  <c r="J101" i="1"/>
  <c r="H101" i="1"/>
  <c r="BA96" i="23" s="1"/>
  <c r="D101" i="1"/>
  <c r="E101" i="1" l="1"/>
  <c r="F101" i="1" s="1"/>
  <c r="G101" i="1" s="1"/>
  <c r="J97" i="23"/>
  <c r="B97" i="23"/>
  <c r="B97" i="4" s="1"/>
  <c r="B98" i="23"/>
  <c r="B98" i="4" s="1"/>
  <c r="J98" i="23"/>
  <c r="CR96" i="23"/>
  <c r="O86" i="10"/>
  <c r="CQ96" i="23" s="1"/>
  <c r="CL96" i="23"/>
  <c r="M96" i="23" s="1"/>
  <c r="CZ96" i="23"/>
  <c r="CY96" i="23"/>
  <c r="G34" i="22"/>
  <c r="CK96" i="23" s="1"/>
  <c r="L96" i="23" s="1"/>
  <c r="AP96" i="23"/>
  <c r="P96" i="2"/>
  <c r="AO96" i="23" s="1"/>
  <c r="D98" i="4" l="1"/>
  <c r="D99" i="4"/>
  <c r="CV96" i="23"/>
  <c r="CU96" i="23"/>
  <c r="CP96" i="23" l="1"/>
  <c r="CO96" i="23"/>
  <c r="CT96" i="23"/>
  <c r="CS96" i="23"/>
  <c r="BH96" i="23"/>
  <c r="BG96" i="23"/>
  <c r="G59" i="15"/>
  <c r="F59" i="15"/>
  <c r="R96" i="23" l="1"/>
  <c r="Q96" i="23"/>
  <c r="CN96" i="23"/>
  <c r="G96" i="23" s="1"/>
  <c r="CM96" i="23"/>
  <c r="F96" i="23" s="1"/>
  <c r="P96" i="23"/>
  <c r="O96" i="23"/>
  <c r="D48" i="18"/>
  <c r="E48" i="18" s="1"/>
  <c r="F48" i="18" s="1"/>
  <c r="D103" i="3"/>
  <c r="E103" i="3" l="1"/>
  <c r="F103" i="3" s="1"/>
  <c r="D57" i="17" l="1"/>
  <c r="E57" i="17" s="1"/>
  <c r="F57" i="17" s="1"/>
  <c r="AC6" i="28"/>
  <c r="AE6" i="28"/>
  <c r="V96" i="23" s="1"/>
  <c r="AB6" i="28"/>
  <c r="AD6" i="28" s="1"/>
  <c r="U96" i="23" s="1"/>
  <c r="CJ96" i="23" l="1"/>
  <c r="I96" i="23" s="1"/>
  <c r="CI96" i="23"/>
  <c r="H96" i="23" s="1"/>
  <c r="E56" i="24"/>
  <c r="BJ96" i="23" s="1"/>
  <c r="E96" i="23" s="1"/>
  <c r="BI96" i="23"/>
  <c r="D96" i="23" s="1"/>
  <c r="R91" i="9"/>
  <c r="AN96" i="23"/>
  <c r="T92" i="9"/>
  <c r="C96" i="23" l="1"/>
  <c r="C96" i="4" s="1"/>
  <c r="S91" i="9"/>
  <c r="AM96" i="23" s="1"/>
  <c r="J96" i="23" s="1"/>
  <c r="K96" i="23"/>
  <c r="CX95" i="23"/>
  <c r="CW95" i="23"/>
  <c r="BD95" i="23"/>
  <c r="BC95" i="23"/>
  <c r="BB95" i="23"/>
  <c r="H14" i="27"/>
  <c r="I14" i="27"/>
  <c r="H100" i="1"/>
  <c r="BA95" i="23" s="1"/>
  <c r="D100" i="1"/>
  <c r="BD94" i="23"/>
  <c r="BC94" i="23"/>
  <c r="BB94" i="23"/>
  <c r="H13" i="27"/>
  <c r="CW94" i="23" s="1"/>
  <c r="I13" i="27"/>
  <c r="CX94" i="23"/>
  <c r="H99" i="1"/>
  <c r="BA94" i="23" s="1"/>
  <c r="D99" i="1"/>
  <c r="CX93" i="23"/>
  <c r="BB93" i="23"/>
  <c r="BD93" i="23"/>
  <c r="H12" i="27"/>
  <c r="CW93" i="23" s="1"/>
  <c r="I12" i="27"/>
  <c r="J100" i="1"/>
  <c r="J99" i="1"/>
  <c r="J98" i="1"/>
  <c r="H98" i="1"/>
  <c r="BA93" i="23" s="1"/>
  <c r="D98" i="1"/>
  <c r="E98" i="1" s="1"/>
  <c r="F98" i="1" s="1"/>
  <c r="E100" i="1" l="1"/>
  <c r="F100" i="1" s="1"/>
  <c r="E99" i="1"/>
  <c r="F99" i="1" s="1"/>
  <c r="B96" i="23"/>
  <c r="B96" i="4" s="1"/>
  <c r="G98" i="1"/>
  <c r="G100" i="1" l="1"/>
  <c r="D97" i="4"/>
  <c r="G99" i="1"/>
  <c r="CR95" i="23"/>
  <c r="O85" i="10"/>
  <c r="CQ95" i="23" s="1"/>
  <c r="AP95" i="23"/>
  <c r="P95" i="2"/>
  <c r="AO95" i="23" s="1"/>
  <c r="CT95" i="23"/>
  <c r="CS95" i="23"/>
  <c r="CL95" i="23"/>
  <c r="M95" i="23" s="1"/>
  <c r="G33" i="22"/>
  <c r="CK95" i="23" s="1"/>
  <c r="L95" i="23" s="1"/>
  <c r="CZ95" i="23"/>
  <c r="CY95" i="23"/>
  <c r="BJ95" i="23"/>
  <c r="E55" i="24"/>
  <c r="BI95" i="23"/>
  <c r="CJ95" i="23"/>
  <c r="CI95" i="23"/>
  <c r="R90" i="9"/>
  <c r="AN95" i="23"/>
  <c r="BH95" i="23"/>
  <c r="BG95" i="23"/>
  <c r="F58" i="15"/>
  <c r="G58" i="15"/>
  <c r="T91" i="9" l="1"/>
  <c r="S90" i="9"/>
  <c r="AM95" i="23" s="1"/>
  <c r="CV95" i="23"/>
  <c r="CU95" i="23"/>
  <c r="CP95" i="23" l="1"/>
  <c r="CO95" i="23"/>
  <c r="AE5" i="28"/>
  <c r="V95" i="23" s="1"/>
  <c r="K95" i="23" s="1"/>
  <c r="AC5" i="28"/>
  <c r="AB5" i="28"/>
  <c r="AD5" i="28" l="1"/>
  <c r="U95" i="23" s="1"/>
  <c r="J95" i="23" s="1"/>
  <c r="R95" i="23"/>
  <c r="I95" i="23" s="1"/>
  <c r="Q95" i="23"/>
  <c r="H95" i="23" s="1"/>
  <c r="CN95" i="23"/>
  <c r="G95" i="23" s="1"/>
  <c r="CM95" i="23"/>
  <c r="F95" i="23" s="1"/>
  <c r="P95" i="23"/>
  <c r="E95" i="23" s="1"/>
  <c r="O95" i="23"/>
  <c r="D95" i="23" s="1"/>
  <c r="D47" i="18"/>
  <c r="E47" i="18" s="1"/>
  <c r="F47" i="18" s="1"/>
  <c r="E56" i="17"/>
  <c r="F56" i="17" s="1"/>
  <c r="D56" i="17"/>
  <c r="D102" i="3"/>
  <c r="E102" i="3" s="1"/>
  <c r="F102" i="3" s="1"/>
  <c r="B95" i="23" l="1"/>
  <c r="B95" i="4" s="1"/>
  <c r="D96" i="4" s="1"/>
  <c r="C95" i="23"/>
  <c r="C95" i="4" s="1"/>
  <c r="CL94" i="23"/>
  <c r="M94" i="23" s="1"/>
  <c r="CZ94" i="23"/>
  <c r="CY94" i="23"/>
  <c r="G32" i="22"/>
  <c r="CK94" i="23" s="1"/>
  <c r="L94" i="23" s="1"/>
  <c r="G31" i="22"/>
  <c r="CR94" i="23" l="1"/>
  <c r="O84" i="10"/>
  <c r="CQ94" i="23" s="1"/>
  <c r="AP94" i="23"/>
  <c r="P94" i="2"/>
  <c r="AO94" i="23" s="1"/>
  <c r="E54" i="24" l="1"/>
  <c r="BJ94" i="23" s="1"/>
  <c r="BI94" i="23"/>
  <c r="CI94" i="23"/>
  <c r="CJ94" i="23"/>
  <c r="R89" i="9"/>
  <c r="AN94" i="23"/>
  <c r="T90" i="9" l="1"/>
  <c r="S89" i="9"/>
  <c r="AM94" i="23" s="1"/>
  <c r="CP94" i="23"/>
  <c r="CO94" i="23"/>
  <c r="CV94" i="23"/>
  <c r="CU94" i="23"/>
  <c r="CT94" i="23"/>
  <c r="CS94" i="23"/>
  <c r="BH94" i="23"/>
  <c r="BG94" i="23"/>
  <c r="F57" i="15"/>
  <c r="G57" i="15"/>
  <c r="AE4" i="28"/>
  <c r="V94" i="23" s="1"/>
  <c r="K94" i="23" s="1"/>
  <c r="AC4" i="28"/>
  <c r="AB4" i="28"/>
  <c r="R94" i="23"/>
  <c r="I94" i="23" s="1"/>
  <c r="Q94" i="23"/>
  <c r="H94" i="23" s="1"/>
  <c r="CN94" i="23"/>
  <c r="CM94" i="23"/>
  <c r="P94" i="23"/>
  <c r="O94" i="23"/>
  <c r="D46" i="18"/>
  <c r="E46" i="18" s="1"/>
  <c r="F46" i="18" s="1"/>
  <c r="D55" i="17"/>
  <c r="E55" i="17" s="1"/>
  <c r="F55" i="17" s="1"/>
  <c r="D101" i="3"/>
  <c r="AD4" i="28" l="1"/>
  <c r="U94" i="23" s="1"/>
  <c r="B94" i="23" s="1"/>
  <c r="B94" i="4" s="1"/>
  <c r="C94" i="23"/>
  <c r="C94" i="4" s="1"/>
  <c r="E94" i="23"/>
  <c r="F94" i="23"/>
  <c r="G94" i="23"/>
  <c r="D94" i="23"/>
  <c r="F101" i="3"/>
  <c r="E101" i="3"/>
  <c r="CR93" i="23"/>
  <c r="O83" i="10"/>
  <c r="CQ93" i="23" s="1"/>
  <c r="J94" i="23" l="1"/>
  <c r="D95" i="4"/>
  <c r="AP93" i="23"/>
  <c r="P93" i="2"/>
  <c r="AO93" i="23" s="1"/>
  <c r="CL93" i="23"/>
  <c r="M93" i="23" s="1"/>
  <c r="CK93" i="23"/>
  <c r="L93" i="23" s="1"/>
  <c r="CZ93" i="23"/>
  <c r="CY93" i="23"/>
  <c r="R88" i="9" l="1"/>
  <c r="AN93" i="23"/>
  <c r="T89" i="9"/>
  <c r="E53" i="24"/>
  <c r="BJ93" i="23" s="1"/>
  <c r="BI93" i="23"/>
  <c r="CJ93" i="23"/>
  <c r="CI93" i="23"/>
  <c r="AE3" i="28"/>
  <c r="V93" i="23" s="1"/>
  <c r="AC3" i="28"/>
  <c r="AB3" i="28"/>
  <c r="AD3" i="28" l="1"/>
  <c r="U93" i="23" s="1"/>
  <c r="S88" i="9"/>
  <c r="AM93" i="23" s="1"/>
  <c r="K93" i="23"/>
  <c r="CP93" i="23"/>
  <c r="CO93" i="23"/>
  <c r="CV93" i="23"/>
  <c r="CU93" i="23"/>
  <c r="R93" i="23"/>
  <c r="I93" i="23" s="1"/>
  <c r="Q93" i="23"/>
  <c r="H93" i="23" s="1"/>
  <c r="CN93" i="23"/>
  <c r="CM93" i="23"/>
  <c r="P93" i="23"/>
  <c r="O93" i="23"/>
  <c r="D45" i="18"/>
  <c r="E45" i="18" s="1"/>
  <c r="F45" i="18" s="1"/>
  <c r="D54" i="17"/>
  <c r="D100" i="3"/>
  <c r="CT93" i="23"/>
  <c r="CS93" i="23"/>
  <c r="BH93" i="23"/>
  <c r="BG93" i="23"/>
  <c r="F56" i="15"/>
  <c r="G56" i="15"/>
  <c r="J93" i="23" l="1"/>
  <c r="C93" i="23"/>
  <c r="C93" i="4" s="1"/>
  <c r="D93" i="23"/>
  <c r="F93" i="23"/>
  <c r="G93" i="23"/>
  <c r="E93" i="23"/>
  <c r="B93" i="23"/>
  <c r="B93" i="4" s="1"/>
  <c r="E54" i="17"/>
  <c r="F54" i="17" s="1"/>
  <c r="E100" i="3"/>
  <c r="F100" i="3" s="1"/>
  <c r="D94" i="4" l="1"/>
  <c r="H97" i="1"/>
  <c r="D97" i="1"/>
  <c r="E97" i="1" s="1"/>
  <c r="H11" i="27"/>
  <c r="I11" i="27"/>
  <c r="H96" i="1"/>
  <c r="BA91" i="23" s="1"/>
  <c r="D96" i="1"/>
  <c r="E96" i="1" s="1"/>
  <c r="H10" i="27"/>
  <c r="I10" i="27"/>
  <c r="CW91" i="23"/>
  <c r="CX91" i="23"/>
  <c r="CW92" i="23"/>
  <c r="CX92" i="23"/>
  <c r="BB90" i="23"/>
  <c r="BC90" i="23"/>
  <c r="BD90" i="23"/>
  <c r="BB91" i="23"/>
  <c r="BC91" i="23"/>
  <c r="BD91" i="23"/>
  <c r="BA92" i="23"/>
  <c r="BB92" i="23"/>
  <c r="BC92" i="23"/>
  <c r="BD92" i="23"/>
  <c r="H95" i="1"/>
  <c r="BA90" i="23" s="1"/>
  <c r="D95" i="1"/>
  <c r="E95" i="1" s="1"/>
  <c r="H9" i="27"/>
  <c r="CW90" i="23" s="1"/>
  <c r="I9" i="27"/>
  <c r="CX90" i="23" s="1"/>
  <c r="J97" i="1"/>
  <c r="J96" i="1"/>
  <c r="J95" i="1"/>
  <c r="F97" i="1" l="1"/>
  <c r="G97" i="1" s="1"/>
  <c r="F96" i="1"/>
  <c r="G96" i="1" s="1"/>
  <c r="F95" i="1"/>
  <c r="G95" i="1" s="1"/>
  <c r="CR92" i="23"/>
  <c r="CQ92" i="23"/>
  <c r="O82" i="10"/>
  <c r="AP92" i="23"/>
  <c r="P92" i="2"/>
  <c r="AO92" i="23" s="1"/>
  <c r="CR91" i="23" l="1"/>
  <c r="O81" i="10"/>
  <c r="CQ91" i="23" s="1"/>
  <c r="AP91" i="23"/>
  <c r="P91" i="2"/>
  <c r="AO91" i="23" s="1"/>
  <c r="AE2" i="28" l="1"/>
  <c r="V92" i="23" s="1"/>
  <c r="AC2" i="28"/>
  <c r="AB2" i="28"/>
  <c r="AD2" i="28" l="1"/>
  <c r="U92" i="23" s="1"/>
  <c r="R87" i="9"/>
  <c r="T88" i="9"/>
  <c r="AN92" i="23"/>
  <c r="S87" i="9" l="1"/>
  <c r="AM92" i="23" s="1"/>
  <c r="J92" i="23" s="1"/>
  <c r="K92" i="23"/>
  <c r="R92" i="23"/>
  <c r="Q92" i="23"/>
  <c r="CN92" i="23"/>
  <c r="CM92" i="23"/>
  <c r="P92" i="23"/>
  <c r="O92" i="23"/>
  <c r="D44" i="18"/>
  <c r="E44" i="18" s="1"/>
  <c r="F44" i="18" s="1"/>
  <c r="D53" i="17"/>
  <c r="E53" i="17" s="1"/>
  <c r="F53" i="17" s="1"/>
  <c r="D99" i="3"/>
  <c r="E99" i="3" l="1"/>
  <c r="F99" i="3" s="1"/>
  <c r="CJ92" i="23" l="1"/>
  <c r="CI92" i="23"/>
  <c r="E52" i="24"/>
  <c r="BJ92" i="23" s="1"/>
  <c r="BI92" i="23"/>
  <c r="CO92" i="23"/>
  <c r="CP92" i="23"/>
  <c r="CU92" i="23"/>
  <c r="CV92" i="23"/>
  <c r="CL91" i="23"/>
  <c r="M91" i="23" s="1"/>
  <c r="CL92" i="23"/>
  <c r="M92" i="23" s="1"/>
  <c r="CY91" i="23"/>
  <c r="CZ91" i="23"/>
  <c r="CY92" i="23"/>
  <c r="CZ92" i="23"/>
  <c r="BG92" i="23"/>
  <c r="BH92" i="23"/>
  <c r="CS92" i="23"/>
  <c r="F92" i="23" s="1"/>
  <c r="CT92" i="23"/>
  <c r="G92" i="23" s="1"/>
  <c r="G30" i="22"/>
  <c r="CK92" i="23" s="1"/>
  <c r="L92" i="23" s="1"/>
  <c r="G29" i="22"/>
  <c r="CK91" i="23" s="1"/>
  <c r="L91" i="23" s="1"/>
  <c r="E92" i="23" l="1"/>
  <c r="C92" i="23"/>
  <c r="C92" i="4" s="1"/>
  <c r="H92" i="23"/>
  <c r="I92" i="23"/>
  <c r="B92" i="23"/>
  <c r="B92" i="4" s="1"/>
  <c r="D93" i="4" s="1"/>
  <c r="D92" i="23"/>
  <c r="F55" i="15"/>
  <c r="G55" i="15"/>
  <c r="CV91" i="23" l="1"/>
  <c r="CU91" i="23"/>
  <c r="CJ91" i="23"/>
  <c r="CI91" i="23"/>
  <c r="CP91" i="23"/>
  <c r="CO91" i="23"/>
  <c r="BJ91" i="23"/>
  <c r="BI91" i="23"/>
  <c r="E51" i="24"/>
  <c r="CP90" i="23" l="1"/>
  <c r="CO90" i="23"/>
  <c r="R91" i="23" l="1"/>
  <c r="I91" i="23" s="1"/>
  <c r="Q91" i="23"/>
  <c r="H91" i="23" s="1"/>
  <c r="CN91" i="23"/>
  <c r="CM91" i="23"/>
  <c r="P91" i="23"/>
  <c r="O91" i="23"/>
  <c r="D43" i="18"/>
  <c r="E43" i="18" s="1"/>
  <c r="F43" i="18" s="1"/>
  <c r="D98" i="3"/>
  <c r="D52" i="17"/>
  <c r="E98" i="3" l="1"/>
  <c r="F98" i="3" s="1"/>
  <c r="E52" i="17"/>
  <c r="F52" i="17" s="1"/>
  <c r="BG90" i="23" l="1"/>
  <c r="BH90" i="23"/>
  <c r="CS90" i="23"/>
  <c r="CT90" i="23"/>
  <c r="BG91" i="23"/>
  <c r="D91" i="23" s="1"/>
  <c r="BH91" i="23"/>
  <c r="E91" i="23" s="1"/>
  <c r="CS91" i="23"/>
  <c r="F91" i="23" s="1"/>
  <c r="CT91" i="23"/>
  <c r="G91" i="23" s="1"/>
  <c r="G54" i="15" l="1"/>
  <c r="F54" i="15"/>
  <c r="G53" i="15"/>
  <c r="F53" i="15"/>
  <c r="R86" i="9"/>
  <c r="T87" i="9"/>
  <c r="AN91" i="23"/>
  <c r="S86" i="9" l="1"/>
  <c r="AM91" i="23" s="1"/>
  <c r="B91" i="23" s="1"/>
  <c r="B91" i="4" s="1"/>
  <c r="C91" i="23"/>
  <c r="C91" i="4" s="1"/>
  <c r="K91" i="23"/>
  <c r="R90" i="23"/>
  <c r="Q90" i="23"/>
  <c r="D42" i="18"/>
  <c r="E42" i="18" s="1"/>
  <c r="J91" i="23" l="1"/>
  <c r="D92" i="4"/>
  <c r="F42" i="18"/>
  <c r="CM90" i="23"/>
  <c r="F90" i="23" s="1"/>
  <c r="CN90" i="23"/>
  <c r="G90" i="23" s="1"/>
  <c r="D51" i="17"/>
  <c r="E51" i="17" s="1"/>
  <c r="F51" i="17" s="1"/>
  <c r="O90" i="23" l="1"/>
  <c r="P90" i="23"/>
  <c r="D97" i="3"/>
  <c r="E97" i="3" l="1"/>
  <c r="F97" i="3" s="1"/>
  <c r="CU90" i="23" l="1"/>
  <c r="CV90" i="23"/>
  <c r="CR90" i="23" l="1"/>
  <c r="O80" i="10"/>
  <c r="CQ90" i="23" s="1"/>
  <c r="BI90" i="23"/>
  <c r="D90" i="23" s="1"/>
  <c r="E50" i="24"/>
  <c r="BJ90" i="23" s="1"/>
  <c r="E90" i="23" s="1"/>
  <c r="CI90" i="23"/>
  <c r="CJ90" i="23"/>
  <c r="CZ90" i="23" l="1"/>
  <c r="I90" i="23" s="1"/>
  <c r="CY90" i="23"/>
  <c r="H90" i="23" s="1"/>
  <c r="CL90" i="23"/>
  <c r="M90" i="23" s="1"/>
  <c r="G28" i="22"/>
  <c r="CK90" i="23" s="1"/>
  <c r="L90" i="23" s="1"/>
  <c r="AP90" i="23"/>
  <c r="P90" i="2"/>
  <c r="AO90" i="23" s="1"/>
  <c r="R85" i="9" l="1"/>
  <c r="AN90" i="23"/>
  <c r="T86" i="9" l="1"/>
  <c r="S85" i="9"/>
  <c r="AM90" i="23" s="1"/>
  <c r="B90" i="23" s="1"/>
  <c r="B90" i="4" s="1"/>
  <c r="C90" i="23"/>
  <c r="C90" i="4" s="1"/>
  <c r="K90" i="23"/>
  <c r="H8" i="27"/>
  <c r="CW89" i="23" s="1"/>
  <c r="I8" i="27"/>
  <c r="CX89" i="23" s="1"/>
  <c r="BD89" i="23"/>
  <c r="BC89" i="23"/>
  <c r="BB89" i="23"/>
  <c r="H94" i="1"/>
  <c r="BA89" i="23" s="1"/>
  <c r="D94" i="1"/>
  <c r="E94" i="1" s="1"/>
  <c r="F94" i="1" s="1"/>
  <c r="G94" i="1" s="1"/>
  <c r="J94" i="1"/>
  <c r="J90" i="23" l="1"/>
  <c r="D91" i="4"/>
  <c r="CP89" i="23"/>
  <c r="CO89" i="23"/>
  <c r="CT89" i="23"/>
  <c r="CS89" i="23"/>
  <c r="BH89" i="23"/>
  <c r="BG89" i="23"/>
  <c r="F52" i="15"/>
  <c r="G52" i="15"/>
  <c r="CV89" i="23"/>
  <c r="CU89" i="23"/>
  <c r="R89" i="23"/>
  <c r="Q89" i="23"/>
  <c r="CN89" i="23"/>
  <c r="CM89" i="23"/>
  <c r="P89" i="23"/>
  <c r="O89" i="23"/>
  <c r="D41" i="18"/>
  <c r="E41" i="18" s="1"/>
  <c r="F41" i="18" s="1"/>
  <c r="D50" i="17"/>
  <c r="D96" i="3"/>
  <c r="F89" i="23" l="1"/>
  <c r="G89" i="23"/>
  <c r="E50" i="17"/>
  <c r="F50" i="17" s="1"/>
  <c r="E96" i="3"/>
  <c r="F96" i="3" s="1"/>
  <c r="CR89" i="23"/>
  <c r="O79" i="10"/>
  <c r="CQ89" i="23" s="1"/>
  <c r="AP89" i="23"/>
  <c r="P89" i="2"/>
  <c r="AO89" i="23" s="1"/>
  <c r="CL89" i="23" l="1"/>
  <c r="M89" i="23" s="1"/>
  <c r="G27" i="22"/>
  <c r="CK89" i="23" s="1"/>
  <c r="L89" i="23" s="1"/>
  <c r="CZ89" i="23"/>
  <c r="CY89" i="23"/>
  <c r="CJ89" i="23"/>
  <c r="CI89" i="23"/>
  <c r="BJ89" i="23"/>
  <c r="E89" i="23" s="1"/>
  <c r="BI89" i="23"/>
  <c r="D89" i="23" s="1"/>
  <c r="E49" i="24"/>
  <c r="R84" i="9"/>
  <c r="T85" i="9"/>
  <c r="AN89" i="23"/>
  <c r="K89" i="23" s="1"/>
  <c r="S84" i="9" l="1"/>
  <c r="AM89" i="23" s="1"/>
  <c r="J89" i="23" s="1"/>
  <c r="T84" i="9"/>
  <c r="I89" i="23"/>
  <c r="C89" i="23"/>
  <c r="C89" i="4" s="1"/>
  <c r="H89" i="23"/>
  <c r="CX88" i="23"/>
  <c r="BA88" i="23"/>
  <c r="BB88" i="23"/>
  <c r="BC88" i="23"/>
  <c r="BD88" i="23"/>
  <c r="H93" i="1"/>
  <c r="D93" i="1"/>
  <c r="I7" i="27"/>
  <c r="H7" i="27"/>
  <c r="CW88" i="23" s="1"/>
  <c r="CW87" i="23"/>
  <c r="BB87" i="23"/>
  <c r="BC87" i="23"/>
  <c r="BD87" i="23"/>
  <c r="I6" i="27"/>
  <c r="CX87" i="23" s="1"/>
  <c r="H6" i="27"/>
  <c r="J93" i="1"/>
  <c r="J92" i="1"/>
  <c r="H92" i="1"/>
  <c r="BA87" i="23" s="1"/>
  <c r="D92" i="1"/>
  <c r="E92" i="1" l="1"/>
  <c r="F92" i="1" s="1"/>
  <c r="G92" i="1" s="1"/>
  <c r="E93" i="1"/>
  <c r="F93" i="1" s="1"/>
  <c r="G93" i="1" s="1"/>
  <c r="B89" i="23"/>
  <c r="B89" i="4" s="1"/>
  <c r="E95" i="4" s="1"/>
  <c r="D90" i="4" l="1"/>
  <c r="CT88" i="23" l="1"/>
  <c r="CS88" i="23"/>
  <c r="BH88" i="23"/>
  <c r="BG88" i="23"/>
  <c r="F51" i="15"/>
  <c r="G51" i="15"/>
  <c r="CV88" i="23" l="1"/>
  <c r="CU88" i="23"/>
  <c r="CP88" i="23" l="1"/>
  <c r="CO88" i="23"/>
  <c r="CZ88" i="23" l="1"/>
  <c r="CY88" i="23"/>
  <c r="R88" i="23" l="1"/>
  <c r="Q88" i="23"/>
  <c r="CN88" i="23"/>
  <c r="G88" i="23" s="1"/>
  <c r="CM88" i="23"/>
  <c r="F88" i="23" s="1"/>
  <c r="P88" i="23"/>
  <c r="O88" i="23"/>
  <c r="D40" i="18"/>
  <c r="E40" i="18" s="1"/>
  <c r="F40" i="18" s="1"/>
  <c r="E49" i="17"/>
  <c r="F49" i="17" s="1"/>
  <c r="D49" i="17"/>
  <c r="D95" i="3"/>
  <c r="E95" i="3" l="1"/>
  <c r="F95" i="3" s="1"/>
  <c r="CR88" i="23" l="1"/>
  <c r="O78" i="10"/>
  <c r="CQ88" i="23" s="1"/>
  <c r="AP88" i="23" l="1"/>
  <c r="P88" i="2"/>
  <c r="AO88" i="23" s="1"/>
  <c r="CL88" i="23"/>
  <c r="M88" i="23" s="1"/>
  <c r="G26" i="22"/>
  <c r="CK88" i="23" s="1"/>
  <c r="L88" i="23" s="1"/>
  <c r="CJ88" i="23"/>
  <c r="I88" i="23" s="1"/>
  <c r="CI88" i="23"/>
  <c r="H88" i="23" s="1"/>
  <c r="BJ88" i="23"/>
  <c r="E88" i="23" s="1"/>
  <c r="BI88" i="23"/>
  <c r="D88" i="23" s="1"/>
  <c r="E48" i="24"/>
  <c r="R83" i="9"/>
  <c r="AN88" i="23"/>
  <c r="K88" i="23" s="1"/>
  <c r="S83" i="9" l="1"/>
  <c r="AM88" i="23" s="1"/>
  <c r="C88" i="23"/>
  <c r="C88" i="4" s="1"/>
  <c r="R82" i="9"/>
  <c r="T83" i="9"/>
  <c r="S82" i="9" l="1"/>
  <c r="AM87" i="23" s="1"/>
  <c r="B88" i="23"/>
  <c r="B88" i="4" s="1"/>
  <c r="J88" i="23"/>
  <c r="AN87" i="23"/>
  <c r="D89" i="4" l="1"/>
  <c r="AP87" i="23"/>
  <c r="P87" i="2"/>
  <c r="AO87" i="23" s="1"/>
  <c r="CR87" i="23" l="1"/>
  <c r="K87" i="23" s="1"/>
  <c r="O77" i="10"/>
  <c r="CQ87" i="23" s="1"/>
  <c r="J87" i="23" s="1"/>
  <c r="CY87" i="23"/>
  <c r="CZ87" i="23"/>
  <c r="CL87" i="23"/>
  <c r="M87" i="23" s="1"/>
  <c r="G25" i="22"/>
  <c r="CK87" i="23" s="1"/>
  <c r="L87" i="23" s="1"/>
  <c r="CJ87" i="23" l="1"/>
  <c r="CI87" i="23"/>
  <c r="E47" i="24"/>
  <c r="BJ87" i="23" s="1"/>
  <c r="BI87" i="23"/>
  <c r="CP87" i="23" l="1"/>
  <c r="CO87" i="23"/>
  <c r="CV87" i="23"/>
  <c r="CU87" i="23"/>
  <c r="CT87" i="23"/>
  <c r="CS87" i="23"/>
  <c r="BH87" i="23"/>
  <c r="BG87" i="23"/>
  <c r="F50" i="15"/>
  <c r="G50" i="15"/>
  <c r="O87" i="23" l="1"/>
  <c r="D87" i="23" s="1"/>
  <c r="P87" i="23"/>
  <c r="E87" i="23" s="1"/>
  <c r="CM87" i="23"/>
  <c r="F87" i="23" s="1"/>
  <c r="CN87" i="23"/>
  <c r="G87" i="23" s="1"/>
  <c r="Q87" i="23"/>
  <c r="H87" i="23" s="1"/>
  <c r="R87" i="23"/>
  <c r="I87" i="23" s="1"/>
  <c r="D39" i="18"/>
  <c r="E39" i="18" s="1"/>
  <c r="F39" i="18" s="1"/>
  <c r="E48" i="17"/>
  <c r="F48" i="17" s="1"/>
  <c r="D48" i="17"/>
  <c r="D94" i="3"/>
  <c r="C87" i="23" l="1"/>
  <c r="C87" i="4" s="1"/>
  <c r="B87" i="23"/>
  <c r="B87" i="4" s="1"/>
  <c r="E94" i="3"/>
  <c r="F94" i="3" s="1"/>
  <c r="I5" i="27"/>
  <c r="CX86" i="23" s="1"/>
  <c r="H5" i="27"/>
  <c r="CW86" i="23" s="1"/>
  <c r="BD86" i="23"/>
  <c r="BC86" i="23"/>
  <c r="BB86" i="23"/>
  <c r="H91" i="1"/>
  <c r="BA86" i="23" s="1"/>
  <c r="AY98" i="23" s="1"/>
  <c r="D91" i="1"/>
  <c r="E91" i="1" s="1"/>
  <c r="J91" i="1"/>
  <c r="D88" i="4" l="1"/>
  <c r="F91" i="1"/>
  <c r="G91" i="1" s="1"/>
  <c r="D38" i="18"/>
  <c r="E38" i="18" s="1"/>
  <c r="F38" i="18" s="1"/>
  <c r="D47" i="17"/>
  <c r="E47" i="17" s="1"/>
  <c r="F47" i="17" s="1"/>
  <c r="D93" i="3"/>
  <c r="E93" i="3" l="1"/>
  <c r="F93" i="3" s="1"/>
  <c r="CR86" i="23"/>
  <c r="O76" i="10"/>
  <c r="CQ86" i="23" s="1"/>
  <c r="CT86" i="23"/>
  <c r="CS86" i="23"/>
  <c r="BH86" i="23"/>
  <c r="BG86" i="23"/>
  <c r="F49" i="15"/>
  <c r="G49" i="15"/>
  <c r="P3" i="23"/>
  <c r="P4" i="23"/>
  <c r="P5" i="23"/>
  <c r="P6" i="23"/>
  <c r="P7" i="23"/>
  <c r="P8" i="23"/>
  <c r="P9" i="23"/>
  <c r="P10" i="23"/>
  <c r="P11" i="23"/>
  <c r="P12" i="23"/>
  <c r="P13" i="23"/>
  <c r="P14" i="23"/>
  <c r="P15" i="23"/>
  <c r="P16" i="23"/>
  <c r="P17" i="23"/>
  <c r="P18" i="23"/>
  <c r="P19" i="23"/>
  <c r="P20" i="23"/>
  <c r="P21" i="23"/>
  <c r="P22" i="23"/>
  <c r="P23" i="23"/>
  <c r="P24" i="23"/>
  <c r="P25" i="23"/>
  <c r="P26" i="23"/>
  <c r="P27" i="23"/>
  <c r="P28" i="23"/>
  <c r="P29" i="23"/>
  <c r="P30" i="23"/>
  <c r="P31" i="23"/>
  <c r="P32" i="23"/>
  <c r="P33" i="23"/>
  <c r="P34" i="23"/>
  <c r="P35" i="23"/>
  <c r="P36" i="23"/>
  <c r="P37" i="23"/>
  <c r="P38" i="23"/>
  <c r="P39" i="23"/>
  <c r="P40" i="23"/>
  <c r="P41" i="23"/>
  <c r="P42" i="23"/>
  <c r="P43" i="23"/>
  <c r="P44" i="23"/>
  <c r="P45" i="23"/>
  <c r="P46" i="23"/>
  <c r="P47" i="23"/>
  <c r="P48" i="23"/>
  <c r="P49" i="23"/>
  <c r="P50" i="23"/>
  <c r="P51" i="23"/>
  <c r="P52" i="23"/>
  <c r="P53" i="23"/>
  <c r="P54" i="23"/>
  <c r="P55" i="23"/>
  <c r="P56" i="23"/>
  <c r="P57" i="23"/>
  <c r="P58" i="23"/>
  <c r="P59" i="23"/>
  <c r="P60" i="23"/>
  <c r="P61" i="23"/>
  <c r="P62" i="23"/>
  <c r="P63" i="23"/>
  <c r="P64" i="23"/>
  <c r="P65" i="23"/>
  <c r="P66" i="23"/>
  <c r="P67" i="23"/>
  <c r="P68" i="23"/>
  <c r="P69" i="23"/>
  <c r="P70" i="23"/>
  <c r="P71" i="23"/>
  <c r="P72" i="23"/>
  <c r="P73" i="23"/>
  <c r="P74" i="23"/>
  <c r="P75" i="23"/>
  <c r="P76" i="23"/>
  <c r="P77" i="23"/>
  <c r="P78" i="23"/>
  <c r="P79" i="23"/>
  <c r="P80" i="23"/>
  <c r="P81" i="23"/>
  <c r="P82" i="23"/>
  <c r="P83" i="23"/>
  <c r="P84" i="23"/>
  <c r="P85" i="23"/>
  <c r="P86" i="23"/>
  <c r="P2" i="23"/>
  <c r="R86" i="23"/>
  <c r="Q86" i="23"/>
  <c r="CN86" i="23"/>
  <c r="CM86" i="23"/>
  <c r="O86" i="23"/>
  <c r="CV86" i="23"/>
  <c r="CU86" i="23"/>
  <c r="CP86" i="23"/>
  <c r="CO86" i="23"/>
  <c r="CL86" i="23"/>
  <c r="M86" i="23" s="1"/>
  <c r="CZ86" i="23"/>
  <c r="CY86" i="23"/>
  <c r="AP86" i="23"/>
  <c r="G24" i="22"/>
  <c r="CK86" i="23" s="1"/>
  <c r="L86" i="23" s="1"/>
  <c r="P86" i="2"/>
  <c r="AO86" i="23" s="1"/>
  <c r="CJ86" i="23"/>
  <c r="CI86" i="23"/>
  <c r="E46" i="24"/>
  <c r="BJ86" i="23" s="1"/>
  <c r="BI86" i="23"/>
  <c r="G86" i="23" l="1"/>
  <c r="F86" i="23"/>
  <c r="D86" i="23"/>
  <c r="I86" i="23"/>
  <c r="E86" i="23"/>
  <c r="H86" i="23"/>
  <c r="R81" i="9"/>
  <c r="T82" i="9"/>
  <c r="AN86" i="23"/>
  <c r="K86" i="23" s="1"/>
  <c r="S81" i="9" l="1"/>
  <c r="AM86" i="23" s="1"/>
  <c r="J86" i="23" s="1"/>
  <c r="C86" i="23"/>
  <c r="C86" i="4" s="1"/>
  <c r="I4" i="27"/>
  <c r="CX85" i="23" s="1"/>
  <c r="H4" i="27"/>
  <c r="CW85" i="23" s="1"/>
  <c r="BD85" i="23"/>
  <c r="BC85" i="23"/>
  <c r="BB85" i="23"/>
  <c r="H90" i="1"/>
  <c r="BA85" i="23" s="1"/>
  <c r="D90" i="1"/>
  <c r="J90" i="1"/>
  <c r="B86" i="23" l="1"/>
  <c r="B86" i="4" s="1"/>
  <c r="D87" i="4" s="1"/>
  <c r="E90" i="1"/>
  <c r="F90" i="1" s="1"/>
  <c r="G90" i="1" s="1"/>
  <c r="CT85" i="23"/>
  <c r="CS85" i="23"/>
  <c r="BH85" i="23"/>
  <c r="BG85" i="23"/>
  <c r="F48" i="15"/>
  <c r="G48" i="15"/>
  <c r="CP85" i="23"/>
  <c r="CO85" i="23"/>
  <c r="CR85" i="23"/>
  <c r="O75" i="10"/>
  <c r="CQ85" i="23" s="1"/>
  <c r="CL85" i="23"/>
  <c r="M85" i="23" s="1"/>
  <c r="CZ85" i="23"/>
  <c r="CY85" i="23"/>
  <c r="G23" i="22"/>
  <c r="CK85" i="23" s="1"/>
  <c r="L85" i="23" s="1"/>
  <c r="AP85" i="23"/>
  <c r="P85" i="2"/>
  <c r="AO85" i="23" s="1"/>
  <c r="CV85" i="23"/>
  <c r="CU85" i="23"/>
  <c r="E45" i="24"/>
  <c r="BJ85" i="23" s="1"/>
  <c r="BI85" i="23"/>
  <c r="CJ85" i="23"/>
  <c r="CI85" i="23"/>
  <c r="R85" i="23"/>
  <c r="Q85" i="23"/>
  <c r="CN85" i="23"/>
  <c r="CM85" i="23"/>
  <c r="O85" i="23"/>
  <c r="D37" i="18"/>
  <c r="E37" i="18" s="1"/>
  <c r="F37" i="18" s="1"/>
  <c r="E46" i="17"/>
  <c r="D46" i="17"/>
  <c r="D92" i="3"/>
  <c r="E92" i="3"/>
  <c r="F92" i="3" s="1"/>
  <c r="R80" i="9"/>
  <c r="AN85" i="23"/>
  <c r="G22" i="22"/>
  <c r="CK84" i="23" s="1"/>
  <c r="G17" i="22"/>
  <c r="CK79" i="23" s="1"/>
  <c r="G18" i="22"/>
  <c r="G19" i="22"/>
  <c r="G20" i="22"/>
  <c r="CK82" i="23" s="1"/>
  <c r="G21" i="22"/>
  <c r="P84" i="2"/>
  <c r="AO84" i="23" s="1"/>
  <c r="I3" i="27"/>
  <c r="H3" i="27"/>
  <c r="CW84" i="23" s="1"/>
  <c r="CX84" i="23"/>
  <c r="BB84" i="23"/>
  <c r="H89" i="1"/>
  <c r="BA84" i="23" s="1"/>
  <c r="D89" i="1"/>
  <c r="E89" i="1" s="1"/>
  <c r="V89" i="1"/>
  <c r="W89" i="1" s="1"/>
  <c r="BD84" i="23"/>
  <c r="BC84" i="23"/>
  <c r="J89" i="1"/>
  <c r="CT84" i="23"/>
  <c r="CS84" i="23"/>
  <c r="BH84" i="23"/>
  <c r="BG84" i="23"/>
  <c r="F47" i="15"/>
  <c r="G47" i="15"/>
  <c r="CR84" i="23"/>
  <c r="O74" i="10"/>
  <c r="CQ84" i="23" s="1"/>
  <c r="CV84" i="23"/>
  <c r="CU84" i="23"/>
  <c r="CO84" i="23"/>
  <c r="CP84" i="23"/>
  <c r="AP84" i="23"/>
  <c r="CL84" i="23"/>
  <c r="CZ84" i="23"/>
  <c r="CY84" i="23"/>
  <c r="R84" i="23"/>
  <c r="Q84" i="23"/>
  <c r="CN84" i="23"/>
  <c r="CM84" i="23"/>
  <c r="O84" i="23"/>
  <c r="D36" i="18"/>
  <c r="E36" i="18" s="1"/>
  <c r="F36" i="18" s="1"/>
  <c r="D45" i="17"/>
  <c r="D91" i="3"/>
  <c r="E91" i="3" s="1"/>
  <c r="F91" i="3" s="1"/>
  <c r="CJ84" i="23"/>
  <c r="CI84" i="23"/>
  <c r="E44" i="24"/>
  <c r="BJ84" i="23" s="1"/>
  <c r="BI84" i="23"/>
  <c r="R79" i="9"/>
  <c r="AN84" i="23"/>
  <c r="BD83" i="23"/>
  <c r="BC83" i="23"/>
  <c r="BB83" i="23"/>
  <c r="J88" i="1"/>
  <c r="X87" i="1"/>
  <c r="H88" i="1"/>
  <c r="BA83" i="23" s="1"/>
  <c r="D88" i="1"/>
  <c r="E88" i="1" s="1"/>
  <c r="F88" i="1" s="1"/>
  <c r="I2" i="27"/>
  <c r="CX83" i="23" s="1"/>
  <c r="H2" i="27"/>
  <c r="CW83" i="23"/>
  <c r="CT83" i="23"/>
  <c r="CS83" i="23"/>
  <c r="BH83" i="23"/>
  <c r="BG83" i="23"/>
  <c r="F46" i="15"/>
  <c r="G46" i="15"/>
  <c r="CP83" i="23"/>
  <c r="CO83" i="23"/>
  <c r="P83" i="2"/>
  <c r="AO83" i="23" s="1"/>
  <c r="AP83" i="23"/>
  <c r="R78" i="9"/>
  <c r="AN83" i="23"/>
  <c r="CR83" i="23"/>
  <c r="O73" i="10"/>
  <c r="CQ83" i="23" s="1"/>
  <c r="CZ83" i="23"/>
  <c r="CY83" i="23"/>
  <c r="CL83" i="23"/>
  <c r="CK83" i="23"/>
  <c r="CV83" i="23"/>
  <c r="CU83" i="23"/>
  <c r="CJ83" i="23"/>
  <c r="CI83" i="23"/>
  <c r="BI83" i="23"/>
  <c r="E43" i="24"/>
  <c r="BJ83" i="23" s="1"/>
  <c r="R83" i="23"/>
  <c r="Q83" i="23"/>
  <c r="CN83" i="23"/>
  <c r="CM83" i="23"/>
  <c r="D35" i="18"/>
  <c r="E35" i="18" s="1"/>
  <c r="F35" i="18" s="1"/>
  <c r="D44" i="17"/>
  <c r="O83" i="23"/>
  <c r="D90" i="3"/>
  <c r="E90" i="3" s="1"/>
  <c r="E44" i="17"/>
  <c r="CT82" i="23"/>
  <c r="CS82" i="23"/>
  <c r="BH82" i="23"/>
  <c r="BG82" i="23"/>
  <c r="G45" i="15"/>
  <c r="F45" i="15"/>
  <c r="BD82" i="23"/>
  <c r="BC82" i="23"/>
  <c r="BB82" i="23"/>
  <c r="H87" i="1"/>
  <c r="BA82" i="23" s="1"/>
  <c r="D87" i="1"/>
  <c r="J87" i="1"/>
  <c r="BD81" i="23"/>
  <c r="BC81" i="23"/>
  <c r="BB81" i="23"/>
  <c r="CR82" i="23"/>
  <c r="O72" i="10"/>
  <c r="CQ82" i="23" s="1"/>
  <c r="CJ82" i="23"/>
  <c r="CI82" i="23"/>
  <c r="E42" i="24"/>
  <c r="BJ82" i="23" s="1"/>
  <c r="BI82" i="23"/>
  <c r="R77" i="9"/>
  <c r="AN82" i="23"/>
  <c r="AP82" i="23"/>
  <c r="P82" i="2"/>
  <c r="AO82" i="23" s="1"/>
  <c r="CL82" i="23"/>
  <c r="CZ82" i="23"/>
  <c r="CY82" i="23"/>
  <c r="CP82" i="23"/>
  <c r="CO82" i="23"/>
  <c r="CV82" i="23"/>
  <c r="CU82" i="23"/>
  <c r="R82" i="23"/>
  <c r="Q82" i="23"/>
  <c r="CN82" i="23"/>
  <c r="CM82" i="23"/>
  <c r="D34" i="18"/>
  <c r="E34" i="18" s="1"/>
  <c r="F34" i="18" s="1"/>
  <c r="D43" i="17"/>
  <c r="E43" i="17" s="1"/>
  <c r="O82" i="23"/>
  <c r="D89" i="3"/>
  <c r="CV81" i="23"/>
  <c r="CU81" i="23"/>
  <c r="CT81" i="23"/>
  <c r="CS81" i="23"/>
  <c r="BH81" i="23"/>
  <c r="BG81" i="23"/>
  <c r="F44" i="15"/>
  <c r="G44" i="15"/>
  <c r="R76" i="9"/>
  <c r="AN81" i="23"/>
  <c r="R81" i="23"/>
  <c r="Q81" i="23"/>
  <c r="CN81" i="23"/>
  <c r="CM81" i="23"/>
  <c r="O81" i="23"/>
  <c r="D33" i="18"/>
  <c r="E33" i="18" s="1"/>
  <c r="F33" i="18" s="1"/>
  <c r="E42" i="17"/>
  <c r="F42" i="17" s="1"/>
  <c r="D42" i="17"/>
  <c r="D88" i="3"/>
  <c r="E88" i="3" s="1"/>
  <c r="F88" i="3" s="1"/>
  <c r="CP81" i="23"/>
  <c r="CO81" i="23"/>
  <c r="CJ81" i="23"/>
  <c r="CI81" i="23"/>
  <c r="E41" i="24"/>
  <c r="BJ81" i="23" s="1"/>
  <c r="BI81" i="23"/>
  <c r="CZ81" i="23"/>
  <c r="CY81" i="23"/>
  <c r="CL81" i="23"/>
  <c r="CK81" i="23"/>
  <c r="AP81" i="23"/>
  <c r="P81" i="2"/>
  <c r="AO81" i="23" s="1"/>
  <c r="CR81" i="23"/>
  <c r="O71" i="10"/>
  <c r="CQ81" i="23" s="1"/>
  <c r="B86" i="1"/>
  <c r="W86" i="1" s="1"/>
  <c r="D86" i="1"/>
  <c r="J86" i="1"/>
  <c r="X86" i="1"/>
  <c r="BD80" i="23"/>
  <c r="BC80" i="23"/>
  <c r="BB80" i="23"/>
  <c r="BD79" i="23"/>
  <c r="BC79" i="23"/>
  <c r="BB79" i="23"/>
  <c r="BD78" i="23"/>
  <c r="BC78" i="23"/>
  <c r="BB78" i="23"/>
  <c r="BB77" i="23"/>
  <c r="BC77" i="23"/>
  <c r="BD77" i="23"/>
  <c r="B83" i="1"/>
  <c r="W83" i="1" s="1"/>
  <c r="B84" i="1"/>
  <c r="W84" i="1" s="1"/>
  <c r="X85" i="1"/>
  <c r="X84" i="1"/>
  <c r="X83" i="1"/>
  <c r="J85" i="1"/>
  <c r="J84" i="1"/>
  <c r="J83" i="1"/>
  <c r="H83" i="1"/>
  <c r="BA78" i="23" s="1"/>
  <c r="D85" i="1"/>
  <c r="D84" i="1"/>
  <c r="D83" i="1"/>
  <c r="E83" i="1" s="1"/>
  <c r="B85" i="1"/>
  <c r="W85" i="1" s="1"/>
  <c r="CP80" i="23"/>
  <c r="CO80" i="23"/>
  <c r="CR80" i="23"/>
  <c r="O70" i="10"/>
  <c r="CQ80" i="23" s="1"/>
  <c r="CT80" i="23"/>
  <c r="CS80" i="23"/>
  <c r="BH80" i="23"/>
  <c r="BG80" i="23"/>
  <c r="F43" i="15"/>
  <c r="G43" i="15"/>
  <c r="CV80" i="23"/>
  <c r="CU80" i="23"/>
  <c r="R80" i="23"/>
  <c r="Q80" i="23"/>
  <c r="CN80" i="23"/>
  <c r="CM80" i="23"/>
  <c r="O80" i="23"/>
  <c r="D32" i="18"/>
  <c r="E32" i="18" s="1"/>
  <c r="F32" i="18" s="1"/>
  <c r="D41" i="17"/>
  <c r="D87" i="3"/>
  <c r="CJ80" i="23"/>
  <c r="CI80" i="23"/>
  <c r="CL80" i="23"/>
  <c r="CK80" i="23"/>
  <c r="CZ80" i="23"/>
  <c r="CY80" i="23"/>
  <c r="AP80" i="23"/>
  <c r="P80" i="2"/>
  <c r="AO80" i="23" s="1"/>
  <c r="E40" i="24"/>
  <c r="BJ80" i="23" s="1"/>
  <c r="BI80" i="23"/>
  <c r="R75" i="9"/>
  <c r="AN80" i="23"/>
  <c r="CT79" i="23"/>
  <c r="CS79" i="23"/>
  <c r="BH79" i="23"/>
  <c r="BG79" i="23"/>
  <c r="F42" i="15"/>
  <c r="G42" i="15"/>
  <c r="CR79" i="23"/>
  <c r="O69" i="10"/>
  <c r="CQ79" i="23" s="1"/>
  <c r="CV79" i="23"/>
  <c r="CU79" i="23"/>
  <c r="CP79" i="23"/>
  <c r="CO79" i="23"/>
  <c r="CL79" i="23"/>
  <c r="CZ79" i="23"/>
  <c r="CY79" i="23"/>
  <c r="R79" i="23"/>
  <c r="Q79" i="23"/>
  <c r="D31" i="18"/>
  <c r="E31" i="18" s="1"/>
  <c r="F31" i="18" s="1"/>
  <c r="CN79" i="23"/>
  <c r="CM79" i="23"/>
  <c r="O79" i="23"/>
  <c r="D86" i="3"/>
  <c r="E86" i="3" s="1"/>
  <c r="F86" i="3" s="1"/>
  <c r="D40" i="17"/>
  <c r="E40" i="17" s="1"/>
  <c r="F40" i="17"/>
  <c r="AP79" i="23"/>
  <c r="P79" i="2"/>
  <c r="AO79" i="23" s="1"/>
  <c r="E39" i="24"/>
  <c r="BJ79" i="23"/>
  <c r="BI79" i="23"/>
  <c r="CJ79" i="23"/>
  <c r="CI79" i="23"/>
  <c r="R74" i="9"/>
  <c r="AN79" i="23"/>
  <c r="CT78" i="23"/>
  <c r="CS78" i="23"/>
  <c r="BH78" i="23"/>
  <c r="BG78" i="23"/>
  <c r="F41" i="15"/>
  <c r="G41" i="15"/>
  <c r="CV78" i="23"/>
  <c r="CU78" i="23"/>
  <c r="CR78" i="23"/>
  <c r="O68" i="10"/>
  <c r="CQ78" i="23" s="1"/>
  <c r="CP78" i="23"/>
  <c r="CO78" i="23"/>
  <c r="AP78" i="23"/>
  <c r="P78" i="2"/>
  <c r="AO78" i="23" s="1"/>
  <c r="CL78" i="23"/>
  <c r="G16" i="22"/>
  <c r="CK78" i="23" s="1"/>
  <c r="CZ78" i="23"/>
  <c r="CY78" i="23"/>
  <c r="E38" i="24"/>
  <c r="BJ78" i="23" s="1"/>
  <c r="BI78" i="23"/>
  <c r="CJ78" i="23"/>
  <c r="CI78" i="23"/>
  <c r="R73" i="9"/>
  <c r="AN78" i="23"/>
  <c r="R78" i="23"/>
  <c r="Q78" i="23"/>
  <c r="D30" i="18"/>
  <c r="E30" i="18" s="1"/>
  <c r="F30" i="18" s="1"/>
  <c r="CN78" i="23"/>
  <c r="CM78" i="23"/>
  <c r="E39" i="17"/>
  <c r="F39" i="17" s="1"/>
  <c r="D39" i="17"/>
  <c r="O78" i="23"/>
  <c r="D85" i="3"/>
  <c r="X82" i="1"/>
  <c r="H82" i="1"/>
  <c r="BA77" i="23" s="1"/>
  <c r="D82" i="1"/>
  <c r="E82" i="1" s="1"/>
  <c r="CU77" i="23"/>
  <c r="CV77" i="23"/>
  <c r="BG77" i="23"/>
  <c r="BH77" i="23"/>
  <c r="CS77" i="23"/>
  <c r="CT77" i="23"/>
  <c r="F40" i="15"/>
  <c r="G40" i="15"/>
  <c r="BD76" i="23"/>
  <c r="CO77" i="23"/>
  <c r="CP77" i="23"/>
  <c r="CR77" i="23"/>
  <c r="O67" i="10"/>
  <c r="CQ77" i="23" s="1"/>
  <c r="J82" i="1"/>
  <c r="BI77" i="23"/>
  <c r="E37" i="24"/>
  <c r="BJ77" i="23" s="1"/>
  <c r="CI77" i="23"/>
  <c r="CJ77" i="23"/>
  <c r="R72" i="9"/>
  <c r="AN77" i="23"/>
  <c r="CL77" i="23"/>
  <c r="CY77" i="23"/>
  <c r="CZ77" i="23"/>
  <c r="G15" i="22"/>
  <c r="CK77" i="23" s="1"/>
  <c r="AP77" i="23"/>
  <c r="O77" i="23"/>
  <c r="CM77" i="23"/>
  <c r="CN77" i="23"/>
  <c r="Q77" i="23"/>
  <c r="R77" i="23"/>
  <c r="P77" i="2"/>
  <c r="AO77" i="23" s="1"/>
  <c r="D29" i="18"/>
  <c r="E29" i="18" s="1"/>
  <c r="F29" i="18" s="1"/>
  <c r="D38" i="17"/>
  <c r="E38" i="17" s="1"/>
  <c r="D84" i="3"/>
  <c r="E84" i="3" s="1"/>
  <c r="BB76" i="23"/>
  <c r="BC76" i="23"/>
  <c r="X81" i="1"/>
  <c r="J81" i="1"/>
  <c r="H81" i="1"/>
  <c r="BA76" i="23" s="1"/>
  <c r="D81" i="1"/>
  <c r="E81" i="1" s="1"/>
  <c r="F81" i="1" s="1"/>
  <c r="CR76" i="23"/>
  <c r="O66" i="10"/>
  <c r="CQ76" i="23" s="1"/>
  <c r="AP76" i="23"/>
  <c r="P76" i="2"/>
  <c r="AO76" i="23" s="1"/>
  <c r="CL76" i="23"/>
  <c r="G14" i="22"/>
  <c r="CK76" i="23" s="1"/>
  <c r="CZ76" i="23"/>
  <c r="CY76" i="23"/>
  <c r="E36" i="24"/>
  <c r="BJ76" i="23" s="1"/>
  <c r="BI76" i="23"/>
  <c r="CJ76" i="23"/>
  <c r="CI76" i="23"/>
  <c r="R71" i="9"/>
  <c r="AN76" i="23"/>
  <c r="CV76" i="23"/>
  <c r="CU76" i="23"/>
  <c r="CT76" i="23"/>
  <c r="CS76" i="23"/>
  <c r="BH76" i="23"/>
  <c r="BG76" i="23"/>
  <c r="O76" i="23"/>
  <c r="CM76" i="23"/>
  <c r="CN76" i="23"/>
  <c r="Q76" i="23"/>
  <c r="R76" i="23"/>
  <c r="G39" i="15"/>
  <c r="F39" i="15"/>
  <c r="CP70" i="23"/>
  <c r="CP71" i="23"/>
  <c r="CP72" i="23"/>
  <c r="CP73" i="23"/>
  <c r="CP74" i="23"/>
  <c r="CP75" i="23"/>
  <c r="CP76" i="23"/>
  <c r="CO76" i="23"/>
  <c r="D28" i="18"/>
  <c r="E28" i="18"/>
  <c r="F28" i="18"/>
  <c r="D37" i="17"/>
  <c r="D83" i="3"/>
  <c r="E83" i="3" s="1"/>
  <c r="CV75" i="23"/>
  <c r="CU75" i="23"/>
  <c r="BD75" i="23"/>
  <c r="BC75" i="23"/>
  <c r="BB75" i="23"/>
  <c r="X80" i="1"/>
  <c r="J80" i="1"/>
  <c r="H80" i="1"/>
  <c r="BA75" i="23" s="1"/>
  <c r="D80" i="1"/>
  <c r="E80" i="1" s="1"/>
  <c r="F80" i="1" s="1"/>
  <c r="G80" i="1" s="1"/>
  <c r="CR75" i="23"/>
  <c r="O65" i="10"/>
  <c r="CQ75" i="23" s="1"/>
  <c r="AP75" i="23"/>
  <c r="P75" i="2"/>
  <c r="AO75" i="23" s="1"/>
  <c r="CL75" i="23"/>
  <c r="CZ75" i="23"/>
  <c r="CY75" i="23"/>
  <c r="G13" i="22"/>
  <c r="CK75" i="23" s="1"/>
  <c r="CJ75" i="23"/>
  <c r="CI75" i="23"/>
  <c r="E35" i="24"/>
  <c r="BJ75" i="23" s="1"/>
  <c r="BI75" i="23"/>
  <c r="R70" i="9"/>
  <c r="AN75" i="23"/>
  <c r="BH75" i="23"/>
  <c r="BG75" i="23"/>
  <c r="CT75" i="23"/>
  <c r="CS75" i="23"/>
  <c r="R75" i="23"/>
  <c r="CN75" i="23"/>
  <c r="Q75" i="23"/>
  <c r="CM75" i="23"/>
  <c r="O75" i="23"/>
  <c r="CO75" i="23"/>
  <c r="F38" i="15"/>
  <c r="G38" i="15"/>
  <c r="D27" i="18"/>
  <c r="E27" i="18" s="1"/>
  <c r="F27" i="18" s="1"/>
  <c r="D36" i="17"/>
  <c r="E36" i="17" s="1"/>
  <c r="F36" i="17" s="1"/>
  <c r="D82" i="3"/>
  <c r="BD74" i="23"/>
  <c r="BB74" i="23"/>
  <c r="BC74" i="23"/>
  <c r="X79" i="1"/>
  <c r="J79" i="1"/>
  <c r="D79" i="1"/>
  <c r="H79" i="1"/>
  <c r="BA74" i="23" s="1"/>
  <c r="CL74" i="23"/>
  <c r="G12" i="22"/>
  <c r="CK74" i="23" s="1"/>
  <c r="CZ74" i="23"/>
  <c r="CY74" i="23"/>
  <c r="AP74" i="23"/>
  <c r="P74" i="2"/>
  <c r="AO74" i="23" s="1"/>
  <c r="CO74" i="23"/>
  <c r="CR74" i="23"/>
  <c r="O64" i="10"/>
  <c r="CQ74" i="23" s="1"/>
  <c r="E34" i="24"/>
  <c r="BJ74" i="23" s="1"/>
  <c r="BI74" i="23"/>
  <c r="CJ74" i="23"/>
  <c r="CI74" i="23"/>
  <c r="R69" i="9"/>
  <c r="AN74" i="23"/>
  <c r="CT74" i="23"/>
  <c r="CS74" i="23"/>
  <c r="BH74" i="23"/>
  <c r="BG74" i="23"/>
  <c r="F37" i="15"/>
  <c r="G37" i="15"/>
  <c r="R74" i="23"/>
  <c r="Q74" i="23"/>
  <c r="CN74" i="23"/>
  <c r="G74" i="23" s="1"/>
  <c r="CM74" i="23"/>
  <c r="F74" i="23" s="1"/>
  <c r="O74" i="23"/>
  <c r="D26" i="18"/>
  <c r="E26" i="18" s="1"/>
  <c r="F26" i="18"/>
  <c r="D35" i="17"/>
  <c r="D81" i="3"/>
  <c r="E81" i="3" s="1"/>
  <c r="E35" i="17"/>
  <c r="F35" i="17" s="1"/>
  <c r="BD73" i="23"/>
  <c r="BC73" i="23"/>
  <c r="BB73" i="23"/>
  <c r="D78" i="1"/>
  <c r="X78" i="1"/>
  <c r="J78" i="1"/>
  <c r="H78" i="1"/>
  <c r="BA73" i="23" s="1"/>
  <c r="CO73" i="23"/>
  <c r="CI73" i="23"/>
  <c r="CJ73" i="23"/>
  <c r="CR73" i="23"/>
  <c r="O63" i="10"/>
  <c r="CQ73" i="23" s="1"/>
  <c r="AP73" i="23"/>
  <c r="P73" i="2"/>
  <c r="AO73" i="23" s="1"/>
  <c r="CL73" i="23"/>
  <c r="G11" i="22"/>
  <c r="CK73" i="23" s="1"/>
  <c r="CY73" i="23"/>
  <c r="CZ73" i="23"/>
  <c r="BI73" i="23"/>
  <c r="E33" i="24"/>
  <c r="BJ73" i="23" s="1"/>
  <c r="R68" i="9"/>
  <c r="AN73" i="23"/>
  <c r="BG73" i="23"/>
  <c r="BH73" i="23"/>
  <c r="CS73" i="23"/>
  <c r="CT73" i="23"/>
  <c r="F36" i="15"/>
  <c r="G36" i="15"/>
  <c r="O73" i="23"/>
  <c r="CM73" i="23"/>
  <c r="CN73" i="23"/>
  <c r="Q73" i="23"/>
  <c r="R73" i="23"/>
  <c r="D25" i="18"/>
  <c r="E25" i="18" s="1"/>
  <c r="F25" i="18"/>
  <c r="D34" i="17"/>
  <c r="D80" i="3"/>
  <c r="BD72" i="23"/>
  <c r="BC72" i="23"/>
  <c r="BB72" i="23"/>
  <c r="X77" i="1"/>
  <c r="J77" i="1"/>
  <c r="H77" i="1"/>
  <c r="BA72" i="23" s="1"/>
  <c r="D77" i="1"/>
  <c r="CO72" i="23"/>
  <c r="CT72" i="23"/>
  <c r="CS72" i="23"/>
  <c r="BH72" i="23"/>
  <c r="BG72" i="23"/>
  <c r="F35" i="15"/>
  <c r="G35" i="15"/>
  <c r="CZ72" i="23"/>
  <c r="CY72" i="23"/>
  <c r="CL72" i="23"/>
  <c r="CJ72" i="23"/>
  <c r="CI72" i="23"/>
  <c r="E32" i="24"/>
  <c r="BJ72" i="23" s="1"/>
  <c r="BI72" i="23"/>
  <c r="AP72" i="23"/>
  <c r="G10" i="22"/>
  <c r="CK72" i="23" s="1"/>
  <c r="P72" i="2"/>
  <c r="AO72" i="23" s="1"/>
  <c r="CR72" i="23"/>
  <c r="O62" i="10"/>
  <c r="CQ72" i="23" s="1"/>
  <c r="O72" i="23"/>
  <c r="CM72" i="23"/>
  <c r="CN72" i="23"/>
  <c r="Q72" i="23"/>
  <c r="R72" i="23"/>
  <c r="R67" i="9"/>
  <c r="AN72" i="23"/>
  <c r="D24" i="18"/>
  <c r="E24" i="18" s="1"/>
  <c r="F24" i="18" s="1"/>
  <c r="D33" i="17"/>
  <c r="E33" i="17" s="1"/>
  <c r="D79" i="3"/>
  <c r="BB71" i="23"/>
  <c r="X76" i="1"/>
  <c r="H76" i="1"/>
  <c r="BA71" i="23" s="1"/>
  <c r="BC71" i="23"/>
  <c r="BD71" i="23"/>
  <c r="BB70" i="23"/>
  <c r="BC70" i="23"/>
  <c r="BD70" i="23"/>
  <c r="H75" i="1"/>
  <c r="BA70" i="23" s="1"/>
  <c r="D75" i="1"/>
  <c r="E75" i="1" s="1"/>
  <c r="D76" i="1"/>
  <c r="E76" i="1" s="1"/>
  <c r="F76" i="1" s="1"/>
  <c r="D9" i="1"/>
  <c r="E9" i="1" s="1"/>
  <c r="D10" i="1"/>
  <c r="E10" i="1" s="1"/>
  <c r="F10" i="1" s="1"/>
  <c r="D11" i="1"/>
  <c r="D12" i="1"/>
  <c r="E12" i="1" s="1"/>
  <c r="D13" i="1"/>
  <c r="E13" i="1" s="1"/>
  <c r="F13" i="1" s="1"/>
  <c r="G13" i="1" s="1"/>
  <c r="D14" i="1"/>
  <c r="E14" i="1" s="1"/>
  <c r="F14" i="1" s="1"/>
  <c r="D15" i="1"/>
  <c r="E15" i="1" s="1"/>
  <c r="F15" i="1" s="1"/>
  <c r="G15" i="1" s="1"/>
  <c r="D16" i="1"/>
  <c r="E16" i="1" s="1"/>
  <c r="F16" i="1" s="1"/>
  <c r="D17" i="1"/>
  <c r="E17" i="1" s="1"/>
  <c r="F17" i="1" s="1"/>
  <c r="G17" i="1" s="1"/>
  <c r="D18" i="1"/>
  <c r="E18" i="1" s="1"/>
  <c r="F18" i="1" s="1"/>
  <c r="G18" i="1" s="1"/>
  <c r="D19" i="1"/>
  <c r="E19" i="1" s="1"/>
  <c r="F19" i="1" s="1"/>
  <c r="D20" i="1"/>
  <c r="E20" i="1" s="1"/>
  <c r="D21" i="1"/>
  <c r="E21" i="1" s="1"/>
  <c r="D22" i="1"/>
  <c r="E22" i="1" s="1"/>
  <c r="F22" i="1" s="1"/>
  <c r="G22" i="1" s="1"/>
  <c r="D23" i="1"/>
  <c r="E23" i="1" s="1"/>
  <c r="D24" i="1"/>
  <c r="E24" i="1" s="1"/>
  <c r="F24" i="1" s="1"/>
  <c r="D25" i="1"/>
  <c r="E25" i="1" s="1"/>
  <c r="D26" i="1"/>
  <c r="E26" i="1" s="1"/>
  <c r="D27" i="1"/>
  <c r="E27" i="1" s="1"/>
  <c r="D28" i="1"/>
  <c r="E28" i="1" s="1"/>
  <c r="F28" i="1" s="1"/>
  <c r="G28" i="1" s="1"/>
  <c r="D29" i="1"/>
  <c r="E29" i="1" s="1"/>
  <c r="D30" i="1"/>
  <c r="E30" i="1" s="1"/>
  <c r="D31" i="1"/>
  <c r="E31" i="1" s="1"/>
  <c r="F31" i="1" s="1"/>
  <c r="G31" i="1" s="1"/>
  <c r="D32" i="1"/>
  <c r="E32" i="1" s="1"/>
  <c r="D33" i="1"/>
  <c r="E33" i="1" s="1"/>
  <c r="F33" i="1" s="1"/>
  <c r="G33" i="1" s="1"/>
  <c r="D34" i="1"/>
  <c r="E34" i="1" s="1"/>
  <c r="F34" i="1" s="1"/>
  <c r="D35" i="1"/>
  <c r="D36" i="1"/>
  <c r="D37" i="1"/>
  <c r="E37" i="1" s="1"/>
  <c r="F37" i="1" s="1"/>
  <c r="G37" i="1" s="1"/>
  <c r="D38" i="1"/>
  <c r="E38" i="1" s="1"/>
  <c r="F38" i="1" s="1"/>
  <c r="G38" i="1" s="1"/>
  <c r="D39" i="1"/>
  <c r="E39" i="1" s="1"/>
  <c r="F39" i="1" s="1"/>
  <c r="G39" i="1" s="1"/>
  <c r="D40" i="1"/>
  <c r="E40" i="1" s="1"/>
  <c r="D41" i="1"/>
  <c r="E41" i="1" s="1"/>
  <c r="F41" i="1" s="1"/>
  <c r="D42" i="1"/>
  <c r="D43" i="1"/>
  <c r="D44" i="1"/>
  <c r="E44" i="1" s="1"/>
  <c r="F44" i="1" s="1"/>
  <c r="D45" i="1"/>
  <c r="D46" i="1"/>
  <c r="D47" i="1"/>
  <c r="D48" i="1"/>
  <c r="D49" i="1"/>
  <c r="E49" i="1" s="1"/>
  <c r="D50" i="1"/>
  <c r="E50" i="1" s="1"/>
  <c r="F50" i="1" s="1"/>
  <c r="D51" i="1"/>
  <c r="D52" i="1"/>
  <c r="E52" i="1" s="1"/>
  <c r="D53" i="1"/>
  <c r="D54" i="1"/>
  <c r="D55" i="1"/>
  <c r="D56" i="1"/>
  <c r="D57" i="1"/>
  <c r="E57" i="1" s="1"/>
  <c r="F57" i="1" s="1"/>
  <c r="D58" i="1"/>
  <c r="D59" i="1"/>
  <c r="E59" i="1" s="1"/>
  <c r="F59" i="1" s="1"/>
  <c r="D60" i="1"/>
  <c r="E60" i="1" s="1"/>
  <c r="F60" i="1" s="1"/>
  <c r="G60" i="1" s="1"/>
  <c r="D61" i="1"/>
  <c r="E61" i="1" s="1"/>
  <c r="D62" i="1"/>
  <c r="E62" i="1" s="1"/>
  <c r="D63" i="1"/>
  <c r="E63" i="1" s="1"/>
  <c r="F63" i="1" s="1"/>
  <c r="D64" i="1"/>
  <c r="D65" i="1"/>
  <c r="D66" i="1"/>
  <c r="D67" i="1"/>
  <c r="E67" i="1" s="1"/>
  <c r="D68" i="1"/>
  <c r="E68" i="1" s="1"/>
  <c r="D69" i="1"/>
  <c r="D70" i="1"/>
  <c r="D71" i="1"/>
  <c r="E71" i="1" s="1"/>
  <c r="D72" i="1"/>
  <c r="E72" i="1" s="1"/>
  <c r="D73" i="1"/>
  <c r="D74" i="1"/>
  <c r="E74" i="1" s="1"/>
  <c r="F74" i="1" s="1"/>
  <c r="G74" i="1" s="1"/>
  <c r="D8" i="1"/>
  <c r="E8" i="1" s="1"/>
  <c r="F8" i="1" s="1"/>
  <c r="G8" i="1" s="1"/>
  <c r="X75" i="1"/>
  <c r="J75" i="1"/>
  <c r="J76" i="1"/>
  <c r="CR71" i="23"/>
  <c r="O61" i="10"/>
  <c r="CQ71" i="23"/>
  <c r="CO71" i="23"/>
  <c r="BG71" i="23"/>
  <c r="BH71" i="23"/>
  <c r="CS71" i="23"/>
  <c r="CT71" i="23"/>
  <c r="F34" i="15"/>
  <c r="G34" i="15"/>
  <c r="O71" i="23"/>
  <c r="CM71" i="23"/>
  <c r="CN71" i="23"/>
  <c r="Q71" i="23"/>
  <c r="R71" i="23"/>
  <c r="D23" i="18"/>
  <c r="E23" i="18" s="1"/>
  <c r="F23" i="18" s="1"/>
  <c r="D32" i="17"/>
  <c r="E32" i="17"/>
  <c r="F32" i="17"/>
  <c r="D78" i="3"/>
  <c r="E78" i="3" s="1"/>
  <c r="CZ71" i="23"/>
  <c r="CY71" i="23"/>
  <c r="CL71" i="23"/>
  <c r="AP71" i="23"/>
  <c r="G9" i="22"/>
  <c r="CK71" i="23" s="1"/>
  <c r="P71" i="2"/>
  <c r="AO71" i="23" s="1"/>
  <c r="CJ71" i="23"/>
  <c r="CI71" i="23"/>
  <c r="E31" i="24"/>
  <c r="BJ71" i="23" s="1"/>
  <c r="BI71" i="23"/>
  <c r="R66" i="9"/>
  <c r="AN71" i="23"/>
  <c r="CR70" i="23"/>
  <c r="O60" i="10"/>
  <c r="CQ70" i="23" s="1"/>
  <c r="CO70" i="23"/>
  <c r="CI70" i="23"/>
  <c r="CJ70" i="23"/>
  <c r="E30" i="24"/>
  <c r="BJ70" i="23" s="1"/>
  <c r="BI70" i="23"/>
  <c r="R65" i="9"/>
  <c r="AN70" i="23"/>
  <c r="BG70" i="23"/>
  <c r="BH70" i="23"/>
  <c r="CS70" i="23"/>
  <c r="CT70" i="23"/>
  <c r="G33" i="15"/>
  <c r="F33" i="15"/>
  <c r="O70" i="23"/>
  <c r="CM70" i="23"/>
  <c r="CN70" i="23"/>
  <c r="Q70" i="23"/>
  <c r="R70" i="23"/>
  <c r="D22" i="18"/>
  <c r="E22" i="18" s="1"/>
  <c r="F22" i="18"/>
  <c r="D31" i="17"/>
  <c r="E31" i="17" s="1"/>
  <c r="F31" i="17" s="1"/>
  <c r="D77" i="3"/>
  <c r="E77" i="3" s="1"/>
  <c r="CY70" i="23"/>
  <c r="CZ70" i="23"/>
  <c r="CL70" i="23"/>
  <c r="G8" i="22"/>
  <c r="CK70" i="23"/>
  <c r="AP70" i="23"/>
  <c r="P70" i="2"/>
  <c r="AO70" i="23" s="1"/>
  <c r="X74" i="1"/>
  <c r="J74" i="1"/>
  <c r="H74" i="1"/>
  <c r="BA69" i="23" s="1"/>
  <c r="E43" i="11"/>
  <c r="DA69" i="23" s="1"/>
  <c r="O59" i="10"/>
  <c r="CQ69" i="23" s="1"/>
  <c r="CP69" i="23"/>
  <c r="CO69" i="23"/>
  <c r="CO66" i="23"/>
  <c r="CO67" i="23"/>
  <c r="CO68" i="23"/>
  <c r="R64" i="9"/>
  <c r="AN69" i="23"/>
  <c r="BI69" i="23"/>
  <c r="E29" i="24"/>
  <c r="BJ69" i="23" s="1"/>
  <c r="CJ69" i="23"/>
  <c r="CI69" i="23"/>
  <c r="G7" i="22"/>
  <c r="CK69" i="23" s="1"/>
  <c r="O69" i="23"/>
  <c r="CM69" i="23"/>
  <c r="CN69" i="23"/>
  <c r="Q69" i="23"/>
  <c r="R69" i="23"/>
  <c r="CR69" i="23"/>
  <c r="AP69" i="23"/>
  <c r="DB69" i="23"/>
  <c r="BB69" i="23"/>
  <c r="BC69" i="23"/>
  <c r="BD69" i="23"/>
  <c r="BG69" i="23"/>
  <c r="BH69" i="23"/>
  <c r="CS69" i="23"/>
  <c r="CT69" i="23"/>
  <c r="CY69" i="23"/>
  <c r="CZ69" i="23"/>
  <c r="CL69" i="23"/>
  <c r="G32" i="15"/>
  <c r="F32" i="15"/>
  <c r="P69" i="2"/>
  <c r="AO69" i="23" s="1"/>
  <c r="D21" i="18"/>
  <c r="E21" i="18" s="1"/>
  <c r="F21" i="18" s="1"/>
  <c r="D30" i="17"/>
  <c r="D76" i="3"/>
  <c r="X73" i="1"/>
  <c r="BC68" i="23"/>
  <c r="BD68" i="23"/>
  <c r="BB68" i="23"/>
  <c r="H73" i="1"/>
  <c r="BA68" i="23" s="1"/>
  <c r="BC67" i="23"/>
  <c r="BD67" i="23"/>
  <c r="BB67" i="23"/>
  <c r="X72" i="1"/>
  <c r="H72" i="1"/>
  <c r="BA67" i="23" s="1"/>
  <c r="J73" i="1"/>
  <c r="J72" i="1"/>
  <c r="DB68" i="23"/>
  <c r="E42" i="11"/>
  <c r="DA68" i="23" s="1"/>
  <c r="CP68" i="23"/>
  <c r="CS68" i="23"/>
  <c r="CT68" i="23"/>
  <c r="BG68" i="23"/>
  <c r="BH68" i="23"/>
  <c r="F31" i="15"/>
  <c r="G31" i="15"/>
  <c r="CR68" i="23"/>
  <c r="O58" i="10"/>
  <c r="CQ68" i="23" s="1"/>
  <c r="D20" i="18"/>
  <c r="E20" i="18" s="1"/>
  <c r="F20" i="18" s="1"/>
  <c r="Q68" i="23"/>
  <c r="R68" i="23"/>
  <c r="CM68" i="23"/>
  <c r="CN68" i="23"/>
  <c r="O68" i="23"/>
  <c r="D29" i="17"/>
  <c r="D75" i="3"/>
  <c r="E75" i="3" s="1"/>
  <c r="F75" i="3" s="1"/>
  <c r="CY68" i="23"/>
  <c r="CZ68" i="23"/>
  <c r="CL68" i="23"/>
  <c r="G6" i="22"/>
  <c r="CK68" i="23" s="1"/>
  <c r="AP68" i="23"/>
  <c r="P68" i="2"/>
  <c r="AO68" i="23" s="1"/>
  <c r="E28" i="24"/>
  <c r="BJ68" i="23"/>
  <c r="BI68" i="23"/>
  <c r="AN68" i="23"/>
  <c r="R63" i="9"/>
  <c r="DB67" i="23"/>
  <c r="E41" i="11"/>
  <c r="DA67" i="23"/>
  <c r="CR67" i="23"/>
  <c r="O57" i="10"/>
  <c r="CQ67" i="23" s="1"/>
  <c r="CS67" i="23"/>
  <c r="CT67" i="23"/>
  <c r="BG67" i="23"/>
  <c r="BH67" i="23"/>
  <c r="G30" i="15"/>
  <c r="F30" i="15"/>
  <c r="CP67" i="23"/>
  <c r="CL67" i="23"/>
  <c r="CY67" i="23"/>
  <c r="CZ67" i="23"/>
  <c r="P67" i="2"/>
  <c r="AO67" i="23" s="1"/>
  <c r="AP67" i="23"/>
  <c r="G5" i="22"/>
  <c r="CK67" i="23" s="1"/>
  <c r="E27" i="24"/>
  <c r="BJ67" i="23" s="1"/>
  <c r="BI67" i="23"/>
  <c r="R62" i="9"/>
  <c r="AN67" i="23"/>
  <c r="Q67" i="23"/>
  <c r="R67" i="23"/>
  <c r="D19" i="18"/>
  <c r="E19" i="18" s="1"/>
  <c r="F19" i="18" s="1"/>
  <c r="CM67" i="23"/>
  <c r="CN67" i="23"/>
  <c r="D28" i="17"/>
  <c r="O67" i="23"/>
  <c r="D74" i="3"/>
  <c r="E74" i="3" s="1"/>
  <c r="F74" i="3" s="1"/>
  <c r="BG66" i="23"/>
  <c r="DB66" i="23"/>
  <c r="E40" i="11"/>
  <c r="DA66" i="23" s="1"/>
  <c r="BC66" i="23"/>
  <c r="BD66" i="23"/>
  <c r="BB66" i="23"/>
  <c r="X71" i="1"/>
  <c r="H71" i="1"/>
  <c r="BA66" i="23" s="1"/>
  <c r="J71" i="1"/>
  <c r="CP66" i="23"/>
  <c r="BH66" i="23"/>
  <c r="CS66" i="23"/>
  <c r="CT66" i="23"/>
  <c r="G29" i="15"/>
  <c r="F29" i="15"/>
  <c r="CR66" i="23"/>
  <c r="O56" i="10"/>
  <c r="CQ66" i="23" s="1"/>
  <c r="E26" i="24"/>
  <c r="BJ66" i="23" s="1"/>
  <c r="BI66" i="23"/>
  <c r="R61" i="9"/>
  <c r="AN66" i="23"/>
  <c r="CY66" i="23"/>
  <c r="CZ66" i="23"/>
  <c r="CL66" i="23"/>
  <c r="AP66" i="23"/>
  <c r="G4" i="22"/>
  <c r="CK66" i="23" s="1"/>
  <c r="P66" i="2"/>
  <c r="AO66" i="23" s="1"/>
  <c r="Q66" i="23"/>
  <c r="R66" i="23"/>
  <c r="D18" i="18"/>
  <c r="E18" i="18" s="1"/>
  <c r="F18" i="18" s="1"/>
  <c r="CM66" i="23"/>
  <c r="CN66" i="23"/>
  <c r="D27" i="17"/>
  <c r="E27" i="17" s="1"/>
  <c r="F27" i="17" s="1"/>
  <c r="D73" i="3"/>
  <c r="E73" i="3" s="1"/>
  <c r="F73" i="3" s="1"/>
  <c r="O66" i="23"/>
  <c r="M7" i="15"/>
  <c r="M6" i="15"/>
  <c r="L7" i="15"/>
  <c r="L6" i="15"/>
  <c r="K5" i="3"/>
  <c r="K4" i="3"/>
  <c r="K3" i="3"/>
  <c r="K2" i="3"/>
  <c r="X70" i="1"/>
  <c r="BA3" i="23"/>
  <c r="BA4" i="23"/>
  <c r="BA5" i="23"/>
  <c r="BA6" i="23"/>
  <c r="BA7" i="23"/>
  <c r="BA8" i="23"/>
  <c r="BA9" i="23"/>
  <c r="BA10" i="23"/>
  <c r="BA11" i="23"/>
  <c r="BA12" i="23"/>
  <c r="BA13" i="23"/>
  <c r="BA14" i="23"/>
  <c r="BA15" i="23"/>
  <c r="BA16" i="23"/>
  <c r="BA17" i="23"/>
  <c r="BA18" i="23"/>
  <c r="BA19" i="23"/>
  <c r="BA20" i="23"/>
  <c r="BA21" i="23"/>
  <c r="BA22" i="23"/>
  <c r="BA23" i="23"/>
  <c r="BA24" i="23"/>
  <c r="BA25" i="23"/>
  <c r="BA26" i="23"/>
  <c r="BA27" i="23"/>
  <c r="BA28" i="23"/>
  <c r="BA29" i="23"/>
  <c r="BA30" i="23"/>
  <c r="BA31" i="23"/>
  <c r="BA32" i="23"/>
  <c r="BA33" i="23"/>
  <c r="BA34" i="23"/>
  <c r="BA35" i="23"/>
  <c r="BA36" i="23"/>
  <c r="BA37" i="23"/>
  <c r="BA38" i="23"/>
  <c r="BA39" i="23"/>
  <c r="BA40" i="23"/>
  <c r="BA41" i="23"/>
  <c r="BA42" i="23"/>
  <c r="BA43" i="23"/>
  <c r="BA44" i="23"/>
  <c r="BA45" i="23"/>
  <c r="BA46" i="23"/>
  <c r="BA47" i="23"/>
  <c r="BA48" i="23"/>
  <c r="BA49" i="23"/>
  <c r="BA50" i="23"/>
  <c r="BA51" i="23"/>
  <c r="BA52" i="23"/>
  <c r="BA53" i="23"/>
  <c r="BA54" i="23"/>
  <c r="BA55" i="23"/>
  <c r="BA56" i="23"/>
  <c r="BA57" i="23"/>
  <c r="BA58" i="23"/>
  <c r="BA59" i="23"/>
  <c r="BA60" i="23"/>
  <c r="BA61" i="23"/>
  <c r="BA62" i="23"/>
  <c r="BA63" i="23"/>
  <c r="BA64" i="23"/>
  <c r="BA2" i="23"/>
  <c r="H70" i="1"/>
  <c r="BA65" i="23" s="1"/>
  <c r="J70" i="1"/>
  <c r="CO29" i="23"/>
  <c r="CO30" i="23"/>
  <c r="CO31" i="23"/>
  <c r="CO32" i="23"/>
  <c r="CO33" i="23"/>
  <c r="CO34" i="23"/>
  <c r="CO35" i="23"/>
  <c r="CO36" i="23"/>
  <c r="CO37" i="23"/>
  <c r="CO38" i="23"/>
  <c r="CO39" i="23"/>
  <c r="CO40" i="23"/>
  <c r="CO41" i="23"/>
  <c r="CO42" i="23"/>
  <c r="CO43" i="23"/>
  <c r="CO44" i="23"/>
  <c r="CO45" i="23"/>
  <c r="CO46" i="23"/>
  <c r="CO47" i="23"/>
  <c r="CO48" i="23"/>
  <c r="CO49" i="23"/>
  <c r="CO50" i="23"/>
  <c r="CO51" i="23"/>
  <c r="CO52" i="23"/>
  <c r="CO53" i="23"/>
  <c r="CO54" i="23"/>
  <c r="CO55" i="23"/>
  <c r="CO56" i="23"/>
  <c r="CO57" i="23"/>
  <c r="CO59" i="23"/>
  <c r="CO60" i="23"/>
  <c r="CO61" i="23"/>
  <c r="CO62" i="23"/>
  <c r="CO63" i="23"/>
  <c r="CO64" i="23"/>
  <c r="CP29" i="23"/>
  <c r="CP30" i="23"/>
  <c r="CP31" i="23"/>
  <c r="CP32" i="23"/>
  <c r="CP33" i="23"/>
  <c r="CP34" i="23"/>
  <c r="CP35" i="23"/>
  <c r="CP36" i="23"/>
  <c r="CP37" i="23"/>
  <c r="CP38" i="23"/>
  <c r="CP39" i="23"/>
  <c r="CP40" i="23"/>
  <c r="CP41" i="23"/>
  <c r="CP42" i="23"/>
  <c r="CP43" i="23"/>
  <c r="CP44" i="23"/>
  <c r="CP45" i="23"/>
  <c r="CP46" i="23"/>
  <c r="CP47" i="23"/>
  <c r="CP48" i="23"/>
  <c r="CP49" i="23"/>
  <c r="CP50" i="23"/>
  <c r="CP51" i="23"/>
  <c r="CP52" i="23"/>
  <c r="CP53" i="23"/>
  <c r="CP54" i="23"/>
  <c r="CP55" i="23"/>
  <c r="CP56" i="23"/>
  <c r="CP57" i="23"/>
  <c r="CP58" i="23"/>
  <c r="CP59" i="23"/>
  <c r="CP60" i="23"/>
  <c r="CP61" i="23"/>
  <c r="CP62" i="23"/>
  <c r="CP63" i="23"/>
  <c r="CP64" i="23"/>
  <c r="CP65" i="23"/>
  <c r="CP28" i="23"/>
  <c r="D17" i="18"/>
  <c r="E17" i="18"/>
  <c r="F17" i="18" s="1"/>
  <c r="D26" i="17"/>
  <c r="D72" i="3"/>
  <c r="E72" i="3" s="1"/>
  <c r="F72" i="3" s="1"/>
  <c r="F28" i="15"/>
  <c r="G28" i="15"/>
  <c r="G2" i="22"/>
  <c r="CK64" i="23" s="1"/>
  <c r="G3" i="22"/>
  <c r="CK65" i="23" s="1"/>
  <c r="P65" i="2"/>
  <c r="AO65" i="23" s="1"/>
  <c r="BI65" i="23"/>
  <c r="E25" i="24"/>
  <c r="BJ65" i="23"/>
  <c r="E39" i="11"/>
  <c r="DA65" i="23"/>
  <c r="O55" i="10"/>
  <c r="CQ65" i="23" s="1"/>
  <c r="R60" i="9"/>
  <c r="AN65" i="23"/>
  <c r="O65" i="23"/>
  <c r="CM65" i="23"/>
  <c r="CN65" i="23"/>
  <c r="Q65" i="23"/>
  <c r="R65" i="23"/>
  <c r="CR65" i="23"/>
  <c r="AP65" i="23"/>
  <c r="DB65" i="23"/>
  <c r="BB65" i="23"/>
  <c r="BC65" i="23"/>
  <c r="BD65" i="23"/>
  <c r="CO65" i="23"/>
  <c r="BG65" i="23"/>
  <c r="BH65" i="23"/>
  <c r="CS65" i="23"/>
  <c r="CT65" i="23"/>
  <c r="CY65" i="23"/>
  <c r="CZ65" i="23"/>
  <c r="CL65" i="23"/>
  <c r="AN64" i="23"/>
  <c r="AN63" i="23"/>
  <c r="L3" i="23"/>
  <c r="L4" i="23"/>
  <c r="L5" i="23"/>
  <c r="L6" i="23"/>
  <c r="L7" i="23"/>
  <c r="L8" i="23"/>
  <c r="L9" i="23"/>
  <c r="L10" i="23"/>
  <c r="L11" i="23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2" i="23"/>
  <c r="DF37" i="23"/>
  <c r="DF38" i="23"/>
  <c r="DF39" i="23"/>
  <c r="DF40" i="23"/>
  <c r="DF41" i="23"/>
  <c r="DF42" i="23"/>
  <c r="DF43" i="23"/>
  <c r="DF44" i="23"/>
  <c r="DF45" i="23"/>
  <c r="DF46" i="23"/>
  <c r="DF47" i="23"/>
  <c r="DF48" i="23"/>
  <c r="DF36" i="23"/>
  <c r="DD54" i="23"/>
  <c r="DD55" i="23"/>
  <c r="DD56" i="23"/>
  <c r="DD57" i="23"/>
  <c r="DD58" i="23"/>
  <c r="DD53" i="23"/>
  <c r="CL64" i="23"/>
  <c r="CZ57" i="23"/>
  <c r="CZ58" i="23"/>
  <c r="CZ59" i="23"/>
  <c r="CZ60" i="23"/>
  <c r="CZ61" i="23"/>
  <c r="CZ62" i="23"/>
  <c r="CZ63" i="23"/>
  <c r="CZ64" i="23"/>
  <c r="CZ56" i="23"/>
  <c r="CT42" i="23"/>
  <c r="CT43" i="23"/>
  <c r="CT44" i="23"/>
  <c r="CT45" i="23"/>
  <c r="CT46" i="23"/>
  <c r="CT47" i="23"/>
  <c r="CT48" i="23"/>
  <c r="CT49" i="23"/>
  <c r="CT50" i="23"/>
  <c r="CT51" i="23"/>
  <c r="CT52" i="23"/>
  <c r="CT53" i="23"/>
  <c r="CT54" i="23"/>
  <c r="CT55" i="23"/>
  <c r="CT56" i="23"/>
  <c r="CT57" i="23"/>
  <c r="CT58" i="23"/>
  <c r="CT59" i="23"/>
  <c r="CT60" i="23"/>
  <c r="CT61" i="23"/>
  <c r="CT62" i="23"/>
  <c r="CT63" i="23"/>
  <c r="CT64" i="23"/>
  <c r="CT41" i="23"/>
  <c r="G41" i="23" s="1"/>
  <c r="BH40" i="23"/>
  <c r="BH41" i="23"/>
  <c r="BH42" i="23"/>
  <c r="BH43" i="23"/>
  <c r="BH44" i="23"/>
  <c r="BH45" i="23"/>
  <c r="BH46" i="23"/>
  <c r="BH47" i="23"/>
  <c r="BH48" i="23"/>
  <c r="BH49" i="23"/>
  <c r="BH50" i="23"/>
  <c r="BH51" i="23"/>
  <c r="BH52" i="23"/>
  <c r="BH53" i="23"/>
  <c r="BH54" i="23"/>
  <c r="BH55" i="23"/>
  <c r="BH56" i="23"/>
  <c r="BH57" i="23"/>
  <c r="BH58" i="23"/>
  <c r="BH59" i="23"/>
  <c r="BH60" i="23"/>
  <c r="BH61" i="23"/>
  <c r="BH62" i="23"/>
  <c r="BH63" i="23"/>
  <c r="BH64" i="23"/>
  <c r="BH39" i="23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" i="15"/>
  <c r="BD31" i="23"/>
  <c r="M31" i="23" s="1"/>
  <c r="BD32" i="23"/>
  <c r="M32" i="23" s="1"/>
  <c r="BD33" i="23"/>
  <c r="M33" i="23" s="1"/>
  <c r="BD34" i="23"/>
  <c r="M34" i="23" s="1"/>
  <c r="BD35" i="23"/>
  <c r="M35" i="23" s="1"/>
  <c r="BD36" i="23"/>
  <c r="BD37" i="23"/>
  <c r="BD38" i="23"/>
  <c r="BD39" i="23"/>
  <c r="BD40" i="23"/>
  <c r="BD41" i="23"/>
  <c r="BD42" i="23"/>
  <c r="BD43" i="23"/>
  <c r="BD44" i="23"/>
  <c r="BD45" i="23"/>
  <c r="BD46" i="23"/>
  <c r="BD47" i="23"/>
  <c r="BD48" i="23"/>
  <c r="BD49" i="23"/>
  <c r="M49" i="23" s="1"/>
  <c r="BD50" i="23"/>
  <c r="M50" i="23" s="1"/>
  <c r="BD51" i="23"/>
  <c r="M51" i="23" s="1"/>
  <c r="BD52" i="23"/>
  <c r="M52" i="23" s="1"/>
  <c r="BD53" i="23"/>
  <c r="M53" i="23" s="1"/>
  <c r="BD54" i="23"/>
  <c r="M54" i="23" s="1"/>
  <c r="BD55" i="23"/>
  <c r="M55" i="23" s="1"/>
  <c r="BD56" i="23"/>
  <c r="M56" i="23" s="1"/>
  <c r="BD57" i="23"/>
  <c r="M57" i="23" s="1"/>
  <c r="BD58" i="23"/>
  <c r="M58" i="23" s="1"/>
  <c r="BD59" i="23"/>
  <c r="M59" i="23" s="1"/>
  <c r="BD60" i="23"/>
  <c r="M60" i="23" s="1"/>
  <c r="BD61" i="23"/>
  <c r="M61" i="23" s="1"/>
  <c r="BD62" i="23"/>
  <c r="M62" i="23" s="1"/>
  <c r="BD63" i="23"/>
  <c r="M63" i="23" s="1"/>
  <c r="BD64" i="23"/>
  <c r="BD30" i="23"/>
  <c r="M30" i="23" s="1"/>
  <c r="BB3" i="23"/>
  <c r="E3" i="23" s="1"/>
  <c r="BB4" i="23"/>
  <c r="BB5" i="23"/>
  <c r="E5" i="23" s="1"/>
  <c r="BB6" i="23"/>
  <c r="E6" i="23" s="1"/>
  <c r="BB7" i="23"/>
  <c r="E7" i="23" s="1"/>
  <c r="BB8" i="23"/>
  <c r="E8" i="23" s="1"/>
  <c r="BB9" i="23"/>
  <c r="E9" i="23" s="1"/>
  <c r="BB10" i="23"/>
  <c r="E10" i="23" s="1"/>
  <c r="BB11" i="23"/>
  <c r="E11" i="23" s="1"/>
  <c r="BB12" i="23"/>
  <c r="E12" i="23" s="1"/>
  <c r="BB13" i="23"/>
  <c r="E13" i="23" s="1"/>
  <c r="BB14" i="23"/>
  <c r="E14" i="23" s="1"/>
  <c r="BB15" i="23"/>
  <c r="E15" i="23" s="1"/>
  <c r="BB16" i="23"/>
  <c r="E16" i="23" s="1"/>
  <c r="BB17" i="23"/>
  <c r="E17" i="23" s="1"/>
  <c r="BB18" i="23"/>
  <c r="E18" i="23" s="1"/>
  <c r="BB19" i="23"/>
  <c r="E19" i="23" s="1"/>
  <c r="BB20" i="23"/>
  <c r="E20" i="23" s="1"/>
  <c r="BB21" i="23"/>
  <c r="E21" i="23" s="1"/>
  <c r="BB22" i="23"/>
  <c r="E22" i="23" s="1"/>
  <c r="BB23" i="23"/>
  <c r="E23" i="23" s="1"/>
  <c r="BB24" i="23"/>
  <c r="E24" i="23" s="1"/>
  <c r="BB25" i="23"/>
  <c r="E25" i="23" s="1"/>
  <c r="BB26" i="23"/>
  <c r="E26" i="23" s="1"/>
  <c r="BB27" i="23"/>
  <c r="E27" i="23" s="1"/>
  <c r="BB28" i="23"/>
  <c r="BB29" i="23"/>
  <c r="BB30" i="23"/>
  <c r="BB31" i="23"/>
  <c r="BB32" i="23"/>
  <c r="BB33" i="23"/>
  <c r="BB34" i="23"/>
  <c r="BB35" i="23"/>
  <c r="BB36" i="23"/>
  <c r="BB37" i="23"/>
  <c r="BB38" i="23"/>
  <c r="BB39" i="23"/>
  <c r="BB40" i="23"/>
  <c r="BB41" i="23"/>
  <c r="BB42" i="23"/>
  <c r="BB43" i="23"/>
  <c r="BB44" i="23"/>
  <c r="BB45" i="23"/>
  <c r="BB46" i="23"/>
  <c r="BB47" i="23"/>
  <c r="BB48" i="23"/>
  <c r="BB49" i="23"/>
  <c r="BB50" i="23"/>
  <c r="BB51" i="23"/>
  <c r="BB52" i="23"/>
  <c r="BB53" i="23"/>
  <c r="BB54" i="23"/>
  <c r="BB55" i="23"/>
  <c r="BB56" i="23"/>
  <c r="BB57" i="23"/>
  <c r="BB58" i="23"/>
  <c r="BB59" i="23"/>
  <c r="BB60" i="23"/>
  <c r="BB61" i="23"/>
  <c r="BB62" i="23"/>
  <c r="BB63" i="23"/>
  <c r="BB64" i="23"/>
  <c r="BB2" i="23"/>
  <c r="E2" i="23" s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2" i="1"/>
  <c r="DB29" i="23"/>
  <c r="DB30" i="23"/>
  <c r="DB31" i="23"/>
  <c r="DB32" i="23"/>
  <c r="DB33" i="23"/>
  <c r="DB34" i="23"/>
  <c r="DB35" i="23"/>
  <c r="DB36" i="23"/>
  <c r="DB37" i="23"/>
  <c r="DB38" i="23"/>
  <c r="DB39" i="23"/>
  <c r="DB40" i="23"/>
  <c r="DB41" i="23"/>
  <c r="DB42" i="23"/>
  <c r="DB43" i="23"/>
  <c r="DB44" i="23"/>
  <c r="DB45" i="23"/>
  <c r="DB46" i="23"/>
  <c r="DB47" i="23"/>
  <c r="DB48" i="23"/>
  <c r="DB49" i="23"/>
  <c r="DB50" i="23"/>
  <c r="DB51" i="23"/>
  <c r="DB52" i="23"/>
  <c r="DB53" i="23"/>
  <c r="DB54" i="23"/>
  <c r="DB55" i="23"/>
  <c r="DB56" i="23"/>
  <c r="DB57" i="23"/>
  <c r="DB58" i="23"/>
  <c r="DB59" i="23"/>
  <c r="DB60" i="23"/>
  <c r="DB61" i="23"/>
  <c r="DB62" i="23"/>
  <c r="DB63" i="23"/>
  <c r="DB64" i="23"/>
  <c r="DB28" i="23"/>
  <c r="AP3" i="23"/>
  <c r="K3" i="23" s="1"/>
  <c r="AP4" i="23"/>
  <c r="K4" i="23" s="1"/>
  <c r="AP5" i="23"/>
  <c r="C5" i="23" s="1"/>
  <c r="C5" i="4" s="1"/>
  <c r="AP6" i="23"/>
  <c r="AP7" i="23"/>
  <c r="AP8" i="23"/>
  <c r="AP9" i="23"/>
  <c r="AP10" i="23"/>
  <c r="AP11" i="23"/>
  <c r="AP12" i="23"/>
  <c r="AP13" i="23"/>
  <c r="AP14" i="23"/>
  <c r="AP15" i="23"/>
  <c r="AP16" i="23"/>
  <c r="AP17" i="23"/>
  <c r="AP18" i="23"/>
  <c r="AP19" i="23"/>
  <c r="AP20" i="23"/>
  <c r="AP21" i="23"/>
  <c r="AP22" i="23"/>
  <c r="AP23" i="23"/>
  <c r="AP24" i="23"/>
  <c r="AP25" i="23"/>
  <c r="AP26" i="23"/>
  <c r="AP27" i="23"/>
  <c r="AP28" i="23"/>
  <c r="AP29" i="23"/>
  <c r="AP30" i="23"/>
  <c r="AP31" i="23"/>
  <c r="AP32" i="23"/>
  <c r="AP33" i="23"/>
  <c r="AP34" i="23"/>
  <c r="AP35" i="23"/>
  <c r="AP36" i="23"/>
  <c r="AP37" i="23"/>
  <c r="AP38" i="23"/>
  <c r="AP39" i="23"/>
  <c r="AP40" i="23"/>
  <c r="AP41" i="23"/>
  <c r="AP42" i="23"/>
  <c r="AP43" i="23"/>
  <c r="AP44" i="23"/>
  <c r="AP45" i="23"/>
  <c r="AP46" i="23"/>
  <c r="AP47" i="23"/>
  <c r="AP48" i="23"/>
  <c r="AP49" i="23"/>
  <c r="AP50" i="23"/>
  <c r="AP51" i="23"/>
  <c r="AP52" i="23"/>
  <c r="AP53" i="23"/>
  <c r="AP54" i="23"/>
  <c r="AP55" i="23"/>
  <c r="AP56" i="23"/>
  <c r="AP57" i="23"/>
  <c r="AP58" i="23"/>
  <c r="AP59" i="23"/>
  <c r="AP60" i="23"/>
  <c r="AP61" i="23"/>
  <c r="AP62" i="23"/>
  <c r="AP63" i="23"/>
  <c r="AP64" i="23"/>
  <c r="AP2" i="23"/>
  <c r="K2" i="23" s="1"/>
  <c r="CR13" i="23"/>
  <c r="CR14" i="23"/>
  <c r="CR15" i="23"/>
  <c r="CR16" i="23"/>
  <c r="CR17" i="23"/>
  <c r="CR18" i="23"/>
  <c r="CR19" i="23"/>
  <c r="CR20" i="23"/>
  <c r="CR21" i="23"/>
  <c r="CR22" i="23"/>
  <c r="CR23" i="23"/>
  <c r="CR24" i="23"/>
  <c r="CR25" i="23"/>
  <c r="CR26" i="23"/>
  <c r="CR27" i="23"/>
  <c r="CR28" i="23"/>
  <c r="CR29" i="23"/>
  <c r="CR30" i="23"/>
  <c r="CR31" i="23"/>
  <c r="CR32" i="23"/>
  <c r="CR33" i="23"/>
  <c r="CR34" i="23"/>
  <c r="CR35" i="23"/>
  <c r="CR36" i="23"/>
  <c r="CR37" i="23"/>
  <c r="CR38" i="23"/>
  <c r="CR39" i="23"/>
  <c r="CR40" i="23"/>
  <c r="CR41" i="23"/>
  <c r="CR42" i="23"/>
  <c r="CR43" i="23"/>
  <c r="CR44" i="23"/>
  <c r="CR45" i="23"/>
  <c r="CR46" i="23"/>
  <c r="CR47" i="23"/>
  <c r="CR48" i="23"/>
  <c r="CR49" i="23"/>
  <c r="CR50" i="23"/>
  <c r="CR51" i="23"/>
  <c r="CR52" i="23"/>
  <c r="CR53" i="23"/>
  <c r="CR54" i="23"/>
  <c r="CR55" i="23"/>
  <c r="CR56" i="23"/>
  <c r="CR57" i="23"/>
  <c r="CR58" i="23"/>
  <c r="CR59" i="23"/>
  <c r="CR60" i="23"/>
  <c r="CR61" i="23"/>
  <c r="CR62" i="23"/>
  <c r="CR63" i="23"/>
  <c r="CR64" i="23"/>
  <c r="CR12" i="23"/>
  <c r="R52" i="23"/>
  <c r="I52" i="23" s="1"/>
  <c r="R53" i="23"/>
  <c r="I53" i="23" s="1"/>
  <c r="R54" i="23"/>
  <c r="I54" i="23" s="1"/>
  <c r="R55" i="23"/>
  <c r="I55" i="23" s="1"/>
  <c r="R56" i="23"/>
  <c r="R57" i="23"/>
  <c r="R58" i="23"/>
  <c r="R59" i="23"/>
  <c r="R60" i="23"/>
  <c r="R61" i="23"/>
  <c r="R62" i="23"/>
  <c r="R63" i="23"/>
  <c r="R64" i="23"/>
  <c r="R51" i="23"/>
  <c r="I51" i="23" s="1"/>
  <c r="CN43" i="23"/>
  <c r="CN44" i="23"/>
  <c r="CN45" i="23"/>
  <c r="CN46" i="23"/>
  <c r="CN47" i="23"/>
  <c r="CN48" i="23"/>
  <c r="CN49" i="23"/>
  <c r="CN50" i="23"/>
  <c r="CN51" i="23"/>
  <c r="CN52" i="23"/>
  <c r="CN53" i="23"/>
  <c r="CN54" i="23"/>
  <c r="G54" i="23" s="1"/>
  <c r="CN55" i="23"/>
  <c r="CN56" i="23"/>
  <c r="CN57" i="23"/>
  <c r="CN58" i="23"/>
  <c r="CN59" i="23"/>
  <c r="CN60" i="23"/>
  <c r="CN61" i="23"/>
  <c r="CN62" i="23"/>
  <c r="G62" i="23" s="1"/>
  <c r="CN63" i="23"/>
  <c r="CN64" i="23"/>
  <c r="CN42" i="23"/>
  <c r="BI47" i="23"/>
  <c r="BI48" i="23"/>
  <c r="BI50" i="23"/>
  <c r="BI51" i="23"/>
  <c r="BI52" i="23"/>
  <c r="BI53" i="23"/>
  <c r="BI54" i="23"/>
  <c r="BI56" i="23"/>
  <c r="BI57" i="23"/>
  <c r="BI58" i="23"/>
  <c r="BI60" i="23"/>
  <c r="BI64" i="23"/>
  <c r="BI44" i="23"/>
  <c r="E3" i="24"/>
  <c r="BJ43" i="23"/>
  <c r="E4" i="24"/>
  <c r="BJ44" i="23" s="1"/>
  <c r="E5" i="24"/>
  <c r="BJ45" i="23" s="1"/>
  <c r="E6" i="24"/>
  <c r="BJ46" i="23" s="1"/>
  <c r="E7" i="24"/>
  <c r="BJ47" i="23"/>
  <c r="E8" i="24"/>
  <c r="BJ48" i="23" s="1"/>
  <c r="E9" i="24"/>
  <c r="BJ49" i="23"/>
  <c r="E10" i="24"/>
  <c r="BJ50" i="23" s="1"/>
  <c r="E11" i="24"/>
  <c r="BJ51" i="23"/>
  <c r="E12" i="24"/>
  <c r="BJ52" i="23" s="1"/>
  <c r="E13" i="24"/>
  <c r="BJ53" i="23"/>
  <c r="E14" i="24"/>
  <c r="BJ54" i="23" s="1"/>
  <c r="E15" i="24"/>
  <c r="BJ55" i="23" s="1"/>
  <c r="E16" i="24"/>
  <c r="BJ56" i="23" s="1"/>
  <c r="E17" i="24"/>
  <c r="BJ57" i="23"/>
  <c r="E18" i="24"/>
  <c r="BJ58" i="23" s="1"/>
  <c r="E19" i="24"/>
  <c r="BJ59" i="23"/>
  <c r="E20" i="24"/>
  <c r="BJ60" i="23" s="1"/>
  <c r="E21" i="24"/>
  <c r="BJ61" i="23" s="1"/>
  <c r="E22" i="24"/>
  <c r="BJ62" i="23" s="1"/>
  <c r="E23" i="24"/>
  <c r="BJ63" i="23"/>
  <c r="E24" i="24"/>
  <c r="BJ64" i="23" s="1"/>
  <c r="E2" i="24"/>
  <c r="BJ42" i="23"/>
  <c r="BI43" i="23"/>
  <c r="P59" i="2"/>
  <c r="AO59" i="23" s="1"/>
  <c r="P63" i="2"/>
  <c r="AO63" i="23" s="1"/>
  <c r="P64" i="2"/>
  <c r="AO64" i="23" s="1"/>
  <c r="BI42" i="23"/>
  <c r="BI45" i="23"/>
  <c r="BI46" i="23"/>
  <c r="BI49" i="23"/>
  <c r="BI55" i="23"/>
  <c r="BI59" i="23"/>
  <c r="BI61" i="23"/>
  <c r="BI62" i="23"/>
  <c r="BI63" i="23"/>
  <c r="AN43" i="23"/>
  <c r="AN44" i="23"/>
  <c r="AN45" i="23"/>
  <c r="AN46" i="23"/>
  <c r="AN47" i="23"/>
  <c r="AN48" i="23"/>
  <c r="AN49" i="23"/>
  <c r="AN50" i="23"/>
  <c r="AN51" i="23"/>
  <c r="AN52" i="23"/>
  <c r="AN53" i="23"/>
  <c r="AN54" i="23"/>
  <c r="AN55" i="23"/>
  <c r="AN56" i="23"/>
  <c r="AN57" i="23"/>
  <c r="AN58" i="23"/>
  <c r="AN59" i="23"/>
  <c r="AN60" i="23"/>
  <c r="AN61" i="23"/>
  <c r="AN62" i="23"/>
  <c r="F3" i="23"/>
  <c r="F4" i="23"/>
  <c r="F5" i="23"/>
  <c r="F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6" i="23"/>
  <c r="F37" i="23"/>
  <c r="F38" i="23"/>
  <c r="F39" i="23"/>
  <c r="F40" i="23"/>
  <c r="F2" i="23"/>
  <c r="H3" i="23"/>
  <c r="H4" i="23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2" i="23"/>
  <c r="CS41" i="23"/>
  <c r="F41" i="23" s="1"/>
  <c r="CS42" i="23"/>
  <c r="CS43" i="23"/>
  <c r="CS44" i="23"/>
  <c r="CS45" i="23"/>
  <c r="CS46" i="23"/>
  <c r="CS47" i="23"/>
  <c r="CS48" i="23"/>
  <c r="CS49" i="23"/>
  <c r="CS50" i="23"/>
  <c r="CS51" i="23"/>
  <c r="CS52" i="23"/>
  <c r="CS53" i="23"/>
  <c r="CS54" i="23"/>
  <c r="CS55" i="23"/>
  <c r="CS56" i="23"/>
  <c r="CS57" i="23"/>
  <c r="CS58" i="23"/>
  <c r="CS59" i="23"/>
  <c r="CS60" i="23"/>
  <c r="CS61" i="23"/>
  <c r="CS62" i="23"/>
  <c r="CS63" i="23"/>
  <c r="CS64" i="23"/>
  <c r="BG39" i="23"/>
  <c r="BG40" i="23"/>
  <c r="BG41" i="23"/>
  <c r="BG42" i="23"/>
  <c r="BG43" i="23"/>
  <c r="BG44" i="23"/>
  <c r="BG45" i="23"/>
  <c r="BG46" i="23"/>
  <c r="BG47" i="23"/>
  <c r="BG48" i="23"/>
  <c r="BG49" i="23"/>
  <c r="BG50" i="23"/>
  <c r="BG51" i="23"/>
  <c r="BG52" i="23"/>
  <c r="BG53" i="23"/>
  <c r="BG54" i="23"/>
  <c r="BG55" i="23"/>
  <c r="BG56" i="23"/>
  <c r="BG57" i="23"/>
  <c r="BG58" i="23"/>
  <c r="BG59" i="23"/>
  <c r="BG60" i="23"/>
  <c r="BG61" i="23"/>
  <c r="BG62" i="23"/>
  <c r="BG63" i="23"/>
  <c r="BG64" i="23"/>
  <c r="BC30" i="23"/>
  <c r="L30" i="23" s="1"/>
  <c r="BC31" i="23"/>
  <c r="L31" i="23" s="1"/>
  <c r="BC32" i="23"/>
  <c r="L32" i="23" s="1"/>
  <c r="BC33" i="23"/>
  <c r="L33" i="23" s="1"/>
  <c r="BC34" i="23"/>
  <c r="L34" i="23" s="1"/>
  <c r="BC35" i="23"/>
  <c r="L35" i="23" s="1"/>
  <c r="BC36" i="23"/>
  <c r="BC37" i="23"/>
  <c r="BC38" i="23"/>
  <c r="BC39" i="23"/>
  <c r="BC40" i="23"/>
  <c r="BC41" i="23"/>
  <c r="BC42" i="23"/>
  <c r="BC43" i="23"/>
  <c r="BC44" i="23"/>
  <c r="BC45" i="23"/>
  <c r="BC46" i="23"/>
  <c r="BC47" i="23"/>
  <c r="BC48" i="23"/>
  <c r="BC49" i="23"/>
  <c r="L49" i="23" s="1"/>
  <c r="BC50" i="23"/>
  <c r="L50" i="23" s="1"/>
  <c r="BC51" i="23"/>
  <c r="L51" i="23" s="1"/>
  <c r="BC52" i="23"/>
  <c r="L52" i="23" s="1"/>
  <c r="BC53" i="23"/>
  <c r="L53" i="23" s="1"/>
  <c r="BC54" i="23"/>
  <c r="L54" i="23" s="1"/>
  <c r="BC55" i="23"/>
  <c r="L55" i="23" s="1"/>
  <c r="BC56" i="23"/>
  <c r="L56" i="23" s="1"/>
  <c r="BC57" i="23"/>
  <c r="L57" i="23" s="1"/>
  <c r="BC58" i="23"/>
  <c r="L58" i="23" s="1"/>
  <c r="BC59" i="23"/>
  <c r="L59" i="23" s="1"/>
  <c r="BC60" i="23"/>
  <c r="L60" i="23" s="1"/>
  <c r="BC61" i="23"/>
  <c r="L61" i="23" s="1"/>
  <c r="BC62" i="23"/>
  <c r="L62" i="23" s="1"/>
  <c r="BC63" i="23"/>
  <c r="L63" i="23" s="1"/>
  <c r="BC64" i="23"/>
  <c r="CY64" i="23"/>
  <c r="Q64" i="23"/>
  <c r="CM64" i="23"/>
  <c r="O64" i="23"/>
  <c r="CY63" i="23"/>
  <c r="Q63" i="23"/>
  <c r="CM63" i="23"/>
  <c r="O63" i="23"/>
  <c r="CY62" i="23"/>
  <c r="CY61" i="23"/>
  <c r="Q61" i="23"/>
  <c r="CY60" i="23"/>
  <c r="Q60" i="23"/>
  <c r="CY59" i="23"/>
  <c r="Q59" i="23"/>
  <c r="DC58" i="23"/>
  <c r="CY58" i="23"/>
  <c r="Q58" i="23"/>
  <c r="DC57" i="23"/>
  <c r="CY57" i="23"/>
  <c r="Q57" i="23"/>
  <c r="DC56" i="23"/>
  <c r="CY56" i="23"/>
  <c r="Q56" i="23"/>
  <c r="CM56" i="23"/>
  <c r="O56" i="23"/>
  <c r="DC55" i="23"/>
  <c r="Q55" i="23"/>
  <c r="H55" i="23" s="1"/>
  <c r="DC54" i="23"/>
  <c r="Q54" i="23"/>
  <c r="H54" i="23" s="1"/>
  <c r="DC53" i="23"/>
  <c r="Q53" i="23"/>
  <c r="H53" i="23" s="1"/>
  <c r="CM53" i="23"/>
  <c r="O53" i="23"/>
  <c r="Q52" i="23"/>
  <c r="H52" i="23" s="1"/>
  <c r="Q51" i="23"/>
  <c r="H51" i="23" s="1"/>
  <c r="DE48" i="23"/>
  <c r="DE47" i="23"/>
  <c r="DE46" i="23"/>
  <c r="DE45" i="23"/>
  <c r="DE44" i="23"/>
  <c r="DE43" i="23"/>
  <c r="CM43" i="23"/>
  <c r="DE42" i="23"/>
  <c r="CM42" i="23"/>
  <c r="DE41" i="23"/>
  <c r="O41" i="23"/>
  <c r="DE40" i="23"/>
  <c r="O40" i="23"/>
  <c r="DE39" i="23"/>
  <c r="O39" i="23"/>
  <c r="DE38" i="23"/>
  <c r="O38" i="23"/>
  <c r="DE37" i="23"/>
  <c r="O37" i="23"/>
  <c r="DE36" i="23"/>
  <c r="O36" i="23"/>
  <c r="O35" i="23"/>
  <c r="O34" i="23"/>
  <c r="O33" i="23"/>
  <c r="O32" i="23"/>
  <c r="O31" i="23"/>
  <c r="O30" i="23"/>
  <c r="O29" i="23"/>
  <c r="O28" i="23"/>
  <c r="O27" i="23"/>
  <c r="O26" i="23"/>
  <c r="O25" i="23"/>
  <c r="O24" i="23"/>
  <c r="O23" i="23"/>
  <c r="O22" i="23"/>
  <c r="O21" i="23"/>
  <c r="O20" i="23"/>
  <c r="O19" i="23"/>
  <c r="O18" i="23"/>
  <c r="O17" i="23"/>
  <c r="O16" i="23"/>
  <c r="O15" i="23"/>
  <c r="O14" i="23"/>
  <c r="O13" i="23"/>
  <c r="O12" i="23"/>
  <c r="O11" i="23"/>
  <c r="O10" i="23"/>
  <c r="O9" i="23"/>
  <c r="O8" i="23"/>
  <c r="O7" i="23"/>
  <c r="O6" i="23"/>
  <c r="O5" i="23"/>
  <c r="O4" i="23"/>
  <c r="O3" i="23"/>
  <c r="O2" i="23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P2" i="2"/>
  <c r="AO2" i="23" s="1"/>
  <c r="J2" i="23" s="1"/>
  <c r="P3" i="2"/>
  <c r="AO3" i="23" s="1"/>
  <c r="J3" i="23" s="1"/>
  <c r="P4" i="2"/>
  <c r="AO4" i="23" s="1"/>
  <c r="J4" i="23" s="1"/>
  <c r="P5" i="2"/>
  <c r="AO5" i="23" s="1"/>
  <c r="J5" i="23" s="1"/>
  <c r="P6" i="2"/>
  <c r="AO6" i="23" s="1"/>
  <c r="J6" i="23" s="1"/>
  <c r="P7" i="2"/>
  <c r="AO7" i="23" s="1"/>
  <c r="P8" i="2"/>
  <c r="AO8" i="23" s="1"/>
  <c r="P9" i="2"/>
  <c r="AO9" i="23" s="1"/>
  <c r="P10" i="2"/>
  <c r="AO10" i="23" s="1"/>
  <c r="P11" i="2"/>
  <c r="AO11" i="23" s="1"/>
  <c r="P12" i="2"/>
  <c r="AO12" i="23" s="1"/>
  <c r="P13" i="2"/>
  <c r="AO13" i="23" s="1"/>
  <c r="P14" i="2"/>
  <c r="AO14" i="23" s="1"/>
  <c r="P15" i="2"/>
  <c r="AO15" i="23" s="1"/>
  <c r="P16" i="2"/>
  <c r="AO16" i="23" s="1"/>
  <c r="P17" i="2"/>
  <c r="AO17" i="23" s="1"/>
  <c r="P18" i="2"/>
  <c r="AO18" i="23" s="1"/>
  <c r="P19" i="2"/>
  <c r="AO19" i="23" s="1"/>
  <c r="P20" i="2"/>
  <c r="AO20" i="23" s="1"/>
  <c r="P21" i="2"/>
  <c r="AO21" i="23" s="1"/>
  <c r="P22" i="2"/>
  <c r="AO22" i="23" s="1"/>
  <c r="P23" i="2"/>
  <c r="AO23" i="23" s="1"/>
  <c r="P24" i="2"/>
  <c r="AO24" i="23" s="1"/>
  <c r="P25" i="2"/>
  <c r="AO25" i="23" s="1"/>
  <c r="P26" i="2"/>
  <c r="AO26" i="23" s="1"/>
  <c r="P27" i="2"/>
  <c r="AO27" i="23" s="1"/>
  <c r="P28" i="2"/>
  <c r="AO28" i="23" s="1"/>
  <c r="P29" i="2"/>
  <c r="AO29" i="23" s="1"/>
  <c r="P30" i="2"/>
  <c r="AO30" i="23" s="1"/>
  <c r="P31" i="2"/>
  <c r="AO31" i="23" s="1"/>
  <c r="P53" i="2"/>
  <c r="AO53" i="23" s="1"/>
  <c r="P54" i="2"/>
  <c r="AO54" i="23" s="1"/>
  <c r="P56" i="2"/>
  <c r="AO56" i="23" s="1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O2" i="10"/>
  <c r="CQ12" i="23"/>
  <c r="O3" i="10"/>
  <c r="CQ13" i="23" s="1"/>
  <c r="O4" i="10"/>
  <c r="CQ14" i="23" s="1"/>
  <c r="O5" i="10"/>
  <c r="CQ15" i="23" s="1"/>
  <c r="O6" i="10"/>
  <c r="CQ16" i="23" s="1"/>
  <c r="O7" i="10"/>
  <c r="CQ17" i="23" s="1"/>
  <c r="O8" i="10"/>
  <c r="CQ18" i="23" s="1"/>
  <c r="O9" i="10"/>
  <c r="CQ19" i="23" s="1"/>
  <c r="O10" i="10"/>
  <c r="CQ20" i="23" s="1"/>
  <c r="O11" i="10"/>
  <c r="CQ21" i="23" s="1"/>
  <c r="O12" i="10"/>
  <c r="CQ22" i="23"/>
  <c r="O13" i="10"/>
  <c r="CQ23" i="23" s="1"/>
  <c r="O14" i="10"/>
  <c r="CQ24" i="23" s="1"/>
  <c r="O15" i="10"/>
  <c r="CQ25" i="23" s="1"/>
  <c r="O16" i="10"/>
  <c r="CQ26" i="23" s="1"/>
  <c r="O17" i="10"/>
  <c r="CQ27" i="23" s="1"/>
  <c r="O18" i="10"/>
  <c r="CQ28" i="23" s="1"/>
  <c r="O19" i="10"/>
  <c r="CQ29" i="23" s="1"/>
  <c r="O20" i="10"/>
  <c r="CQ30" i="23" s="1"/>
  <c r="O21" i="10"/>
  <c r="CQ31" i="23" s="1"/>
  <c r="O43" i="10"/>
  <c r="CQ53" i="23"/>
  <c r="O53" i="10"/>
  <c r="CQ63" i="23" s="1"/>
  <c r="D5" i="18"/>
  <c r="E5" i="18"/>
  <c r="F5" i="18"/>
  <c r="D6" i="18"/>
  <c r="E6" i="18" s="1"/>
  <c r="F6" i="18" s="1"/>
  <c r="D7" i="18"/>
  <c r="E7" i="18" s="1"/>
  <c r="F7" i="18" s="1"/>
  <c r="D8" i="18"/>
  <c r="E8" i="18"/>
  <c r="F8" i="18" s="1"/>
  <c r="D9" i="18"/>
  <c r="E9" i="18"/>
  <c r="F9" i="18" s="1"/>
  <c r="D10" i="18"/>
  <c r="E10" i="18" s="1"/>
  <c r="F10" i="18" s="1"/>
  <c r="D11" i="18"/>
  <c r="E11" i="18" s="1"/>
  <c r="F11" i="18" s="1"/>
  <c r="D12" i="18"/>
  <c r="E12" i="18"/>
  <c r="F12" i="18" s="1"/>
  <c r="D13" i="18"/>
  <c r="E13" i="18"/>
  <c r="F13" i="18" s="1"/>
  <c r="D14" i="18"/>
  <c r="D16" i="18"/>
  <c r="E16" i="18" s="1"/>
  <c r="F16" i="18"/>
  <c r="D4" i="18"/>
  <c r="E4" i="18" s="1"/>
  <c r="F4" i="18" s="1"/>
  <c r="D24" i="17"/>
  <c r="D25" i="17"/>
  <c r="F25" i="17" s="1"/>
  <c r="D71" i="3"/>
  <c r="E71" i="3" s="1"/>
  <c r="D20" i="3"/>
  <c r="D21" i="3"/>
  <c r="D22" i="3"/>
  <c r="E22" i="3" s="1"/>
  <c r="D23" i="3"/>
  <c r="E23" i="3" s="1"/>
  <c r="D24" i="3"/>
  <c r="E24" i="3" s="1"/>
  <c r="D25" i="3"/>
  <c r="D26" i="3"/>
  <c r="D27" i="3"/>
  <c r="E27" i="3" s="1"/>
  <c r="D28" i="3"/>
  <c r="D29" i="3"/>
  <c r="D30" i="3"/>
  <c r="E30" i="3" s="1"/>
  <c r="D31" i="3"/>
  <c r="D32" i="3"/>
  <c r="E32" i="3"/>
  <c r="D33" i="3"/>
  <c r="D34" i="3"/>
  <c r="E34" i="3" s="1"/>
  <c r="D35" i="3"/>
  <c r="E35" i="3" s="1"/>
  <c r="D36" i="3"/>
  <c r="D37" i="3"/>
  <c r="D38" i="3"/>
  <c r="E38" i="3" s="1"/>
  <c r="D39" i="3"/>
  <c r="E39" i="3" s="1"/>
  <c r="F39" i="3" s="1"/>
  <c r="D40" i="3"/>
  <c r="E40" i="3" s="1"/>
  <c r="F40" i="3" s="1"/>
  <c r="D41" i="3"/>
  <c r="E41" i="3" s="1"/>
  <c r="D42" i="3"/>
  <c r="E42" i="3" s="1"/>
  <c r="D43" i="3"/>
  <c r="D44" i="3"/>
  <c r="D45" i="3"/>
  <c r="E45" i="3" s="1"/>
  <c r="D46" i="3"/>
  <c r="E46" i="3" s="1"/>
  <c r="D47" i="3"/>
  <c r="E47" i="3" s="1"/>
  <c r="D48" i="3"/>
  <c r="E48" i="3" s="1"/>
  <c r="D49" i="3"/>
  <c r="D61" i="3"/>
  <c r="D64" i="3"/>
  <c r="D11" i="3"/>
  <c r="D12" i="3"/>
  <c r="D13" i="3"/>
  <c r="E13" i="3"/>
  <c r="F13" i="3" s="1"/>
  <c r="D14" i="3"/>
  <c r="E14" i="3" s="1"/>
  <c r="D15" i="3"/>
  <c r="E15" i="3" s="1"/>
  <c r="D16" i="3"/>
  <c r="E16" i="3" s="1"/>
  <c r="F16" i="3" s="1"/>
  <c r="D17" i="3"/>
  <c r="D18" i="3"/>
  <c r="D19" i="3"/>
  <c r="E19" i="3" s="1"/>
  <c r="D10" i="3"/>
  <c r="E10" i="3"/>
  <c r="F10" i="3" s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E44" i="3"/>
  <c r="E36" i="3"/>
  <c r="F36" i="3" s="1"/>
  <c r="E28" i="3"/>
  <c r="F24" i="3"/>
  <c r="E20" i="3"/>
  <c r="F20" i="3" s="1"/>
  <c r="F46" i="3"/>
  <c r="CO58" i="23"/>
  <c r="CO28" i="23"/>
  <c r="E38" i="11"/>
  <c r="DA64" i="23" s="1"/>
  <c r="O54" i="10"/>
  <c r="CQ64" i="23" s="1"/>
  <c r="F27" i="15"/>
  <c r="B14" i="18"/>
  <c r="Q62" i="23"/>
  <c r="D15" i="18"/>
  <c r="E37" i="11"/>
  <c r="DA63" i="23"/>
  <c r="F26" i="15"/>
  <c r="M20" i="21"/>
  <c r="M21" i="21"/>
  <c r="C20" i="21"/>
  <c r="C17" i="21"/>
  <c r="C18" i="21" s="1"/>
  <c r="C19" i="21" s="1"/>
  <c r="H12" i="21"/>
  <c r="G12" i="21"/>
  <c r="F12" i="21"/>
  <c r="H11" i="21"/>
  <c r="G11" i="21"/>
  <c r="F11" i="21"/>
  <c r="H10" i="21"/>
  <c r="G10" i="21"/>
  <c r="F10" i="21"/>
  <c r="H8" i="21"/>
  <c r="G8" i="21"/>
  <c r="F8" i="21"/>
  <c r="H5" i="21"/>
  <c r="G5" i="21"/>
  <c r="F5" i="21"/>
  <c r="H7" i="21"/>
  <c r="G7" i="21"/>
  <c r="F7" i="21"/>
  <c r="H6" i="21"/>
  <c r="H3" i="21"/>
  <c r="H4" i="21"/>
  <c r="H2" i="21"/>
  <c r="G6" i="21"/>
  <c r="F6" i="21"/>
  <c r="G4" i="21"/>
  <c r="F4" i="21"/>
  <c r="G3" i="21"/>
  <c r="F3" i="21"/>
  <c r="G2" i="21"/>
  <c r="F2" i="2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D3" i="18"/>
  <c r="E3" i="18" s="1"/>
  <c r="F3" i="18" s="1"/>
  <c r="D4" i="17"/>
  <c r="E4" i="17" s="1"/>
  <c r="D14" i="17"/>
  <c r="D17" i="17"/>
  <c r="B59" i="3"/>
  <c r="O52" i="23" s="1"/>
  <c r="B62" i="2"/>
  <c r="P62" i="2" s="1"/>
  <c r="AO62" i="23" s="1"/>
  <c r="G52" i="10"/>
  <c r="F52" i="10"/>
  <c r="E52" i="10"/>
  <c r="C52" i="10"/>
  <c r="B23" i="17"/>
  <c r="B69" i="3"/>
  <c r="D70" i="3" s="1"/>
  <c r="F25" i="15"/>
  <c r="E36" i="11"/>
  <c r="DA62" i="23" s="1"/>
  <c r="B68" i="3"/>
  <c r="C35" i="11"/>
  <c r="E35" i="11" s="1"/>
  <c r="DA61" i="23" s="1"/>
  <c r="B61" i="2"/>
  <c r="P61" i="2" s="1"/>
  <c r="AO61" i="23" s="1"/>
  <c r="G51" i="10"/>
  <c r="F51" i="10"/>
  <c r="E51" i="10"/>
  <c r="C51" i="10"/>
  <c r="B22" i="17"/>
  <c r="CM61" i="23" s="1"/>
  <c r="D22" i="17"/>
  <c r="F24" i="15"/>
  <c r="F23" i="15"/>
  <c r="B21" i="17"/>
  <c r="CM60" i="23" s="1"/>
  <c r="E22" i="17"/>
  <c r="B67" i="3"/>
  <c r="D68" i="3" s="1"/>
  <c r="B66" i="3"/>
  <c r="D67" i="3" s="1"/>
  <c r="C34" i="11"/>
  <c r="E34" i="11"/>
  <c r="DA60" i="23"/>
  <c r="C60" i="2"/>
  <c r="D60" i="2"/>
  <c r="E60" i="2"/>
  <c r="C50" i="10"/>
  <c r="E50" i="10"/>
  <c r="F50" i="10"/>
  <c r="G50" i="10"/>
  <c r="B20" i="17"/>
  <c r="B7" i="17"/>
  <c r="CM46" i="23" s="1"/>
  <c r="B10" i="17"/>
  <c r="CM49" i="23"/>
  <c r="B19" i="17"/>
  <c r="CM58" i="23" s="1"/>
  <c r="C33" i="11"/>
  <c r="E33" i="11"/>
  <c r="DA59" i="23"/>
  <c r="G49" i="10"/>
  <c r="F49" i="10"/>
  <c r="E49" i="10"/>
  <c r="F22" i="15"/>
  <c r="C49" i="10"/>
  <c r="B65" i="3"/>
  <c r="O58" i="23" s="1"/>
  <c r="F21" i="15"/>
  <c r="C32" i="11"/>
  <c r="E32" i="11"/>
  <c r="DA58" i="23"/>
  <c r="E58" i="2"/>
  <c r="D58" i="2"/>
  <c r="C58" i="2"/>
  <c r="G48" i="10"/>
  <c r="F48" i="10"/>
  <c r="E48" i="10"/>
  <c r="O48" i="10" s="1"/>
  <c r="CQ58" i="23" s="1"/>
  <c r="C31" i="11"/>
  <c r="E31" i="11"/>
  <c r="DA57" i="23" s="1"/>
  <c r="D57" i="2"/>
  <c r="C57" i="2"/>
  <c r="E57" i="2"/>
  <c r="G47" i="10"/>
  <c r="F47" i="10"/>
  <c r="E47" i="10"/>
  <c r="C47" i="10"/>
  <c r="F20" i="15"/>
  <c r="B18" i="17"/>
  <c r="D18" i="17" s="1"/>
  <c r="B64" i="3"/>
  <c r="O57" i="23" s="1"/>
  <c r="C30" i="11"/>
  <c r="E30" i="11" s="1"/>
  <c r="DA56" i="23"/>
  <c r="G46" i="10"/>
  <c r="F46" i="10"/>
  <c r="E46" i="10"/>
  <c r="C46" i="10"/>
  <c r="F19" i="15"/>
  <c r="C28" i="10"/>
  <c r="O28" i="10" s="1"/>
  <c r="CQ38" i="23" s="1"/>
  <c r="C38" i="2"/>
  <c r="P38" i="2" s="1"/>
  <c r="AO38" i="23" s="1"/>
  <c r="C12" i="11"/>
  <c r="E12" i="11" s="1"/>
  <c r="DA38" i="23" s="1"/>
  <c r="B62" i="3"/>
  <c r="O55" i="23" s="1"/>
  <c r="B16" i="17"/>
  <c r="D16" i="17" s="1"/>
  <c r="C44" i="10"/>
  <c r="E44" i="10"/>
  <c r="F44" i="10"/>
  <c r="G44" i="10"/>
  <c r="C28" i="11"/>
  <c r="E28" i="11"/>
  <c r="DA54" i="23"/>
  <c r="F17" i="15"/>
  <c r="C45" i="10"/>
  <c r="E45" i="10"/>
  <c r="F45" i="10"/>
  <c r="G45" i="10"/>
  <c r="C55" i="2"/>
  <c r="D55" i="2"/>
  <c r="E55" i="2"/>
  <c r="C29" i="11"/>
  <c r="E29" i="11" s="1"/>
  <c r="DA55" i="23" s="1"/>
  <c r="B61" i="3"/>
  <c r="D62" i="3" s="1"/>
  <c r="C27" i="11"/>
  <c r="E27" i="11"/>
  <c r="DA53" i="23" s="1"/>
  <c r="B15" i="17"/>
  <c r="F18" i="15"/>
  <c r="F16" i="15"/>
  <c r="B58" i="3"/>
  <c r="K7" i="3" s="1"/>
  <c r="B13" i="17"/>
  <c r="CM52" i="23" s="1"/>
  <c r="E14" i="17"/>
  <c r="C42" i="10"/>
  <c r="E42" i="10"/>
  <c r="F42" i="10"/>
  <c r="C52" i="2"/>
  <c r="P52" i="2" s="1"/>
  <c r="AO52" i="23" s="1"/>
  <c r="C26" i="11"/>
  <c r="E26" i="11" s="1"/>
  <c r="DA52" i="23" s="1"/>
  <c r="F15" i="15"/>
  <c r="C41" i="10"/>
  <c r="E41" i="10"/>
  <c r="F41" i="10"/>
  <c r="C51" i="2"/>
  <c r="P51" i="2" s="1"/>
  <c r="AO51" i="23" s="1"/>
  <c r="C25" i="11"/>
  <c r="E25" i="11" s="1"/>
  <c r="DA51" i="23" s="1"/>
  <c r="B12" i="17"/>
  <c r="D12" i="17"/>
  <c r="F12" i="17" s="1"/>
  <c r="E12" i="17"/>
  <c r="F14" i="15"/>
  <c r="B57" i="3"/>
  <c r="O50" i="23" s="1"/>
  <c r="D58" i="3"/>
  <c r="B11" i="17"/>
  <c r="C40" i="10"/>
  <c r="E40" i="10"/>
  <c r="F40" i="10"/>
  <c r="C50" i="2"/>
  <c r="P50" i="2" s="1"/>
  <c r="AO50" i="23" s="1"/>
  <c r="C24" i="11"/>
  <c r="E24" i="11" s="1"/>
  <c r="DA50" i="23" s="1"/>
  <c r="F13" i="15"/>
  <c r="B56" i="3"/>
  <c r="B55" i="3"/>
  <c r="O48" i="23" s="1"/>
  <c r="D56" i="3"/>
  <c r="C39" i="10"/>
  <c r="E39" i="10"/>
  <c r="F39" i="10"/>
  <c r="C49" i="2"/>
  <c r="P49" i="2" s="1"/>
  <c r="AO49" i="23" s="1"/>
  <c r="C23" i="11"/>
  <c r="E23" i="11" s="1"/>
  <c r="DA49" i="23" s="1"/>
  <c r="F12" i="15"/>
  <c r="B9" i="17"/>
  <c r="C38" i="10"/>
  <c r="E38" i="10"/>
  <c r="F38" i="10"/>
  <c r="C48" i="2"/>
  <c r="P48" i="2" s="1"/>
  <c r="AO48" i="23" s="1"/>
  <c r="C22" i="11"/>
  <c r="E22" i="11" s="1"/>
  <c r="DA48" i="23" s="1"/>
  <c r="F11" i="15"/>
  <c r="B54" i="3"/>
  <c r="B53" i="3"/>
  <c r="D54" i="3"/>
  <c r="B8" i="17"/>
  <c r="CM47" i="23"/>
  <c r="C37" i="10"/>
  <c r="E37" i="10"/>
  <c r="F37" i="10"/>
  <c r="C47" i="2"/>
  <c r="P47" i="2" s="1"/>
  <c r="AO47" i="23" s="1"/>
  <c r="C21" i="11"/>
  <c r="E21" i="11" s="1"/>
  <c r="DA47" i="23" s="1"/>
  <c r="F10" i="15"/>
  <c r="C36" i="10"/>
  <c r="E36" i="10"/>
  <c r="F36" i="10"/>
  <c r="C46" i="2"/>
  <c r="P46" i="2" s="1"/>
  <c r="AO46" i="23" s="1"/>
  <c r="C20" i="11"/>
  <c r="E20" i="11" s="1"/>
  <c r="DA46" i="23" s="1"/>
  <c r="F9" i="15"/>
  <c r="B52" i="3"/>
  <c r="D53" i="3" s="1"/>
  <c r="B6" i="17"/>
  <c r="CM45" i="23" s="1"/>
  <c r="D6" i="17"/>
  <c r="E6" i="17" s="1"/>
  <c r="C35" i="10"/>
  <c r="E35" i="10"/>
  <c r="F35" i="10"/>
  <c r="C45" i="2"/>
  <c r="P45" i="2"/>
  <c r="AO45" i="23" s="1"/>
  <c r="C19" i="11"/>
  <c r="E19" i="11" s="1"/>
  <c r="DA45" i="23" s="1"/>
  <c r="F8" i="15"/>
  <c r="B51" i="3"/>
  <c r="O44" i="23" s="1"/>
  <c r="B5" i="17"/>
  <c r="C34" i="10"/>
  <c r="E34" i="10"/>
  <c r="F34" i="10"/>
  <c r="C44" i="2"/>
  <c r="P44" i="2" s="1"/>
  <c r="AO44" i="23" s="1"/>
  <c r="C18" i="11"/>
  <c r="E18" i="11" s="1"/>
  <c r="DA44" i="23" s="1"/>
  <c r="F7" i="15"/>
  <c r="B50" i="3"/>
  <c r="O43" i="23" s="1"/>
  <c r="C33" i="10"/>
  <c r="E33" i="10"/>
  <c r="F33" i="10"/>
  <c r="C43" i="2"/>
  <c r="P43" i="2" s="1"/>
  <c r="AO43" i="23" s="1"/>
  <c r="C17" i="11"/>
  <c r="E17" i="11" s="1"/>
  <c r="DA43" i="23" s="1"/>
  <c r="F6" i="15"/>
  <c r="B49" i="3"/>
  <c r="C32" i="10"/>
  <c r="O32" i="10" s="1"/>
  <c r="CQ42" i="23" s="1"/>
  <c r="C42" i="2"/>
  <c r="P42" i="2" s="1"/>
  <c r="AO42" i="23" s="1"/>
  <c r="C16" i="11"/>
  <c r="E16" i="11" s="1"/>
  <c r="DA42" i="23" s="1"/>
  <c r="F5" i="15"/>
  <c r="C31" i="10"/>
  <c r="O31" i="10" s="1"/>
  <c r="CQ41" i="23" s="1"/>
  <c r="C41" i="2"/>
  <c r="P41" i="2" s="1"/>
  <c r="AO41" i="23" s="1"/>
  <c r="C15" i="11"/>
  <c r="E15" i="11" s="1"/>
  <c r="DA41" i="23" s="1"/>
  <c r="F4" i="15"/>
  <c r="C30" i="10"/>
  <c r="O30" i="10" s="1"/>
  <c r="CQ40" i="23" s="1"/>
  <c r="C40" i="2"/>
  <c r="P40" i="2" s="1"/>
  <c r="AO40" i="23" s="1"/>
  <c r="C14" i="11"/>
  <c r="E14" i="11" s="1"/>
  <c r="DA40" i="23" s="1"/>
  <c r="F3" i="15"/>
  <c r="C29" i="10"/>
  <c r="O29" i="10" s="1"/>
  <c r="CQ39" i="23" s="1"/>
  <c r="C39" i="2"/>
  <c r="P39" i="2" s="1"/>
  <c r="AO39" i="23" s="1"/>
  <c r="C13" i="11"/>
  <c r="E13" i="11" s="1"/>
  <c r="DA39" i="23" s="1"/>
  <c r="C27" i="10"/>
  <c r="O27" i="10" s="1"/>
  <c r="CQ37" i="23" s="1"/>
  <c r="C37" i="2"/>
  <c r="P37" i="2" s="1"/>
  <c r="AO37" i="23" s="1"/>
  <c r="C11" i="11"/>
  <c r="E11" i="11" s="1"/>
  <c r="DA37" i="23" s="1"/>
  <c r="C26" i="10"/>
  <c r="O26" i="10" s="1"/>
  <c r="CQ36" i="23" s="1"/>
  <c r="C36" i="2"/>
  <c r="P36" i="2" s="1"/>
  <c r="AO36" i="23" s="1"/>
  <c r="C10" i="11"/>
  <c r="E10" i="11" s="1"/>
  <c r="DA36" i="23" s="1"/>
  <c r="C25" i="10"/>
  <c r="O25" i="10" s="1"/>
  <c r="CQ35" i="23" s="1"/>
  <c r="C35" i="2"/>
  <c r="P35" i="2" s="1"/>
  <c r="AO35" i="23" s="1"/>
  <c r="C9" i="11"/>
  <c r="E9" i="11" s="1"/>
  <c r="DA35" i="23" s="1"/>
  <c r="C24" i="10"/>
  <c r="O24" i="10" s="1"/>
  <c r="CQ34" i="23" s="1"/>
  <c r="C34" i="2"/>
  <c r="P34" i="2" s="1"/>
  <c r="AO34" i="23" s="1"/>
  <c r="C8" i="11"/>
  <c r="E8" i="11" s="1"/>
  <c r="DA34" i="23" s="1"/>
  <c r="C23" i="10"/>
  <c r="O23" i="10" s="1"/>
  <c r="CQ33" i="23" s="1"/>
  <c r="C33" i="2"/>
  <c r="P33" i="2" s="1"/>
  <c r="AO33" i="23" s="1"/>
  <c r="C7" i="11"/>
  <c r="E7" i="11" s="1"/>
  <c r="DA33" i="23" s="1"/>
  <c r="C22" i="10"/>
  <c r="O22" i="10" s="1"/>
  <c r="CQ32" i="23" s="1"/>
  <c r="C32" i="2"/>
  <c r="P32" i="2" s="1"/>
  <c r="AO32" i="23" s="1"/>
  <c r="C6" i="11"/>
  <c r="E6" i="11" s="1"/>
  <c r="DA32" i="23" s="1"/>
  <c r="E5" i="11"/>
  <c r="DA31" i="23"/>
  <c r="W35" i="1"/>
  <c r="E4" i="11"/>
  <c r="DA30" i="23" s="1"/>
  <c r="E3" i="11"/>
  <c r="DA29" i="23" s="1"/>
  <c r="E2" i="11"/>
  <c r="DA28" i="23" s="1"/>
  <c r="D3" i="17"/>
  <c r="E3" i="17" s="1"/>
  <c r="AN42" i="23"/>
  <c r="AN41" i="23"/>
  <c r="AN14" i="23"/>
  <c r="F2" i="15"/>
  <c r="AN40" i="23"/>
  <c r="AN39" i="23"/>
  <c r="AN38" i="23"/>
  <c r="AN37" i="23"/>
  <c r="AN36" i="23"/>
  <c r="AN35" i="23"/>
  <c r="AN34" i="23"/>
  <c r="AN33" i="23"/>
  <c r="AN32" i="23"/>
  <c r="A11" i="3"/>
  <c r="A9" i="1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J35" i="1" s="1"/>
  <c r="A36" i="1"/>
  <c r="J36" i="1" s="1"/>
  <c r="AN31" i="23"/>
  <c r="A5" i="11"/>
  <c r="A31" i="2"/>
  <c r="A21" i="10"/>
  <c r="AN30" i="23"/>
  <c r="A4" i="11"/>
  <c r="A30" i="2"/>
  <c r="A20" i="10"/>
  <c r="A25" i="9"/>
  <c r="R25" i="9" s="1"/>
  <c r="AN29" i="23"/>
  <c r="AN26" i="23"/>
  <c r="AN27" i="23"/>
  <c r="AN28" i="23"/>
  <c r="A3" i="11"/>
  <c r="A2" i="11"/>
  <c r="A24" i="9"/>
  <c r="R24" i="9" s="1"/>
  <c r="A29" i="2"/>
  <c r="A19" i="10"/>
  <c r="A23" i="9"/>
  <c r="R23" i="9" s="1"/>
  <c r="A28" i="2"/>
  <c r="A18" i="10"/>
  <c r="A22" i="9"/>
  <c r="R22" i="9" s="1"/>
  <c r="A27" i="2"/>
  <c r="A17" i="10"/>
  <c r="A21" i="9"/>
  <c r="R21" i="9" s="1"/>
  <c r="A26" i="2"/>
  <c r="A16" i="10"/>
  <c r="A15" i="10"/>
  <c r="AN25" i="23"/>
  <c r="AN24" i="23"/>
  <c r="AN23" i="23"/>
  <c r="A19" i="9"/>
  <c r="R19" i="9" s="1"/>
  <c r="A20" i="9"/>
  <c r="R20" i="9" s="1"/>
  <c r="A25" i="2"/>
  <c r="A13" i="10"/>
  <c r="A14" i="10"/>
  <c r="A23" i="2"/>
  <c r="A24" i="2"/>
  <c r="A18" i="9"/>
  <c r="R18" i="9" s="1"/>
  <c r="AN22" i="23"/>
  <c r="A12" i="10"/>
  <c r="A17" i="9"/>
  <c r="R17" i="9" s="1"/>
  <c r="A22" i="2"/>
  <c r="AN21" i="23"/>
  <c r="A16" i="9"/>
  <c r="R16" i="9" s="1"/>
  <c r="A21" i="2"/>
  <c r="A11" i="10"/>
  <c r="A20" i="2"/>
  <c r="AN20" i="23"/>
  <c r="A15" i="9"/>
  <c r="R15" i="9" s="1"/>
  <c r="A10" i="10"/>
  <c r="AN19" i="23"/>
  <c r="A9" i="10"/>
  <c r="A14" i="9"/>
  <c r="R14" i="9" s="1"/>
  <c r="A19" i="2"/>
  <c r="AN18" i="23"/>
  <c r="A13" i="9"/>
  <c r="R13" i="9" s="1"/>
  <c r="A18" i="2"/>
  <c r="A8" i="10"/>
  <c r="AN17" i="23"/>
  <c r="A7" i="10"/>
  <c r="A12" i="9"/>
  <c r="R12" i="9" s="1"/>
  <c r="A17" i="2"/>
  <c r="AN16" i="23"/>
  <c r="A11" i="9"/>
  <c r="R11" i="9" s="1"/>
  <c r="A16" i="2"/>
  <c r="A6" i="10"/>
  <c r="A5" i="10"/>
  <c r="AN15" i="23"/>
  <c r="A10" i="9"/>
  <c r="R10" i="9" s="1"/>
  <c r="A15" i="2"/>
  <c r="A14" i="2"/>
  <c r="A2" i="10"/>
  <c r="A3" i="10"/>
  <c r="A4" i="10"/>
  <c r="A9" i="9"/>
  <c r="R9" i="9" s="1"/>
  <c r="AN13" i="23"/>
  <c r="A8" i="9"/>
  <c r="R8" i="9" s="1"/>
  <c r="A13" i="2"/>
  <c r="A12" i="2"/>
  <c r="AN12" i="23"/>
  <c r="AN11" i="23"/>
  <c r="A7" i="9"/>
  <c r="R7" i="9" s="1"/>
  <c r="A11" i="2"/>
  <c r="A3" i="2"/>
  <c r="A4" i="2"/>
  <c r="A5" i="2"/>
  <c r="A6" i="2"/>
  <c r="A7" i="2"/>
  <c r="A8" i="2"/>
  <c r="A9" i="2"/>
  <c r="A10" i="2"/>
  <c r="A2" i="2"/>
  <c r="E11" i="1"/>
  <c r="F11" i="1" s="1"/>
  <c r="G11" i="1" s="1"/>
  <c r="A6" i="9"/>
  <c r="R6" i="9" s="1"/>
  <c r="A2" i="9"/>
  <c r="R2" i="9" s="1"/>
  <c r="A3" i="9"/>
  <c r="R3" i="9" s="1"/>
  <c r="A4" i="9"/>
  <c r="R4" i="9" s="1"/>
  <c r="A5" i="9"/>
  <c r="R5" i="9" s="1"/>
  <c r="AN10" i="23"/>
  <c r="AN9" i="23"/>
  <c r="AN8" i="23"/>
  <c r="AN7" i="23"/>
  <c r="D8" i="17"/>
  <c r="CM50" i="23"/>
  <c r="CM44" i="23"/>
  <c r="D9" i="17"/>
  <c r="D10" i="17"/>
  <c r="E10" i="17"/>
  <c r="O46" i="23"/>
  <c r="O59" i="23"/>
  <c r="O42" i="23"/>
  <c r="D50" i="3"/>
  <c r="E50" i="3" s="1"/>
  <c r="F50" i="3" s="1"/>
  <c r="D63" i="3"/>
  <c r="D51" i="3"/>
  <c r="N19" i="12"/>
  <c r="D5" i="17"/>
  <c r="E5" i="17" s="1"/>
  <c r="F5" i="17" s="1"/>
  <c r="D23" i="17"/>
  <c r="D11" i="17"/>
  <c r="E18" i="17"/>
  <c r="N26" i="12"/>
  <c r="F30" i="3"/>
  <c r="D7" i="17"/>
  <c r="F22" i="3"/>
  <c r="CM59" i="23"/>
  <c r="D20" i="17"/>
  <c r="D55" i="3"/>
  <c r="E43" i="3"/>
  <c r="F43" i="3"/>
  <c r="D13" i="17"/>
  <c r="F13" i="17" s="1"/>
  <c r="E13" i="17"/>
  <c r="E29" i="3"/>
  <c r="F29" i="3"/>
  <c r="E25" i="3"/>
  <c r="F25" i="3" s="1"/>
  <c r="E21" i="3"/>
  <c r="F21" i="3" s="1"/>
  <c r="D19" i="17"/>
  <c r="E49" i="3"/>
  <c r="F49" i="3" s="1"/>
  <c r="CM48" i="23"/>
  <c r="CM51" i="23"/>
  <c r="L6" i="17"/>
  <c r="F35" i="3"/>
  <c r="K7" i="18"/>
  <c r="F47" i="3"/>
  <c r="E25" i="17"/>
  <c r="E28" i="17"/>
  <c r="F28" i="17"/>
  <c r="E79" i="3"/>
  <c r="F79" i="3" s="1"/>
  <c r="F78" i="3"/>
  <c r="E34" i="17"/>
  <c r="F34" i="17" s="1"/>
  <c r="E55" i="3"/>
  <c r="H85" i="1"/>
  <c r="BA80" i="23" s="1"/>
  <c r="L40" i="23" l="1"/>
  <c r="E58" i="1"/>
  <c r="F58" i="1" s="1"/>
  <c r="E85" i="1"/>
  <c r="F85" i="1" s="1"/>
  <c r="G85" i="1" s="1"/>
  <c r="I62" i="23"/>
  <c r="F60" i="23"/>
  <c r="F12" i="3"/>
  <c r="F8" i="17"/>
  <c r="E21" i="17"/>
  <c r="CM55" i="23"/>
  <c r="F55" i="23" s="1"/>
  <c r="E24" i="17"/>
  <c r="E18" i="3"/>
  <c r="F18" i="3" s="1"/>
  <c r="E19" i="17"/>
  <c r="F19" i="17" s="1"/>
  <c r="E12" i="3"/>
  <c r="E63" i="3"/>
  <c r="F63" i="3" s="1"/>
  <c r="E20" i="17"/>
  <c r="F67" i="3"/>
  <c r="F34" i="3"/>
  <c r="F38" i="17"/>
  <c r="F33" i="17"/>
  <c r="F43" i="17"/>
  <c r="D21" i="17"/>
  <c r="O62" i="23"/>
  <c r="D62" i="23" s="1"/>
  <c r="CM62" i="23"/>
  <c r="F62" i="23" s="1"/>
  <c r="F14" i="17"/>
  <c r="F44" i="3"/>
  <c r="F6" i="17"/>
  <c r="E17" i="17"/>
  <c r="E67" i="3"/>
  <c r="E8" i="17"/>
  <c r="F14" i="3"/>
  <c r="F41" i="3"/>
  <c r="E62" i="3"/>
  <c r="F62" i="3" s="1"/>
  <c r="O50" i="10"/>
  <c r="CQ60" i="23" s="1"/>
  <c r="F46" i="17"/>
  <c r="E7" i="17"/>
  <c r="F7" i="17" s="1"/>
  <c r="F32" i="3"/>
  <c r="E9" i="17"/>
  <c r="F9" i="17" s="1"/>
  <c r="F42" i="3"/>
  <c r="P58" i="2"/>
  <c r="AO58" i="23" s="1"/>
  <c r="P55" i="2"/>
  <c r="AO55" i="23" s="1"/>
  <c r="F70" i="3"/>
  <c r="D66" i="3"/>
  <c r="E66" i="3" s="1"/>
  <c r="F45" i="3"/>
  <c r="D60" i="3"/>
  <c r="E60" i="3" s="1"/>
  <c r="F60" i="3" s="1"/>
  <c r="F71" i="3"/>
  <c r="E70" i="3"/>
  <c r="F38" i="3"/>
  <c r="E37" i="3"/>
  <c r="F37" i="3" s="1"/>
  <c r="E17" i="3"/>
  <c r="F17" i="3" s="1"/>
  <c r="F90" i="3"/>
  <c r="F84" i="3"/>
  <c r="D52" i="3"/>
  <c r="E52" i="3" s="1"/>
  <c r="F52" i="3" s="1"/>
  <c r="O60" i="23"/>
  <c r="D60" i="23" s="1"/>
  <c r="F81" i="3"/>
  <c r="F19" i="3"/>
  <c r="F15" i="3"/>
  <c r="F28" i="3"/>
  <c r="T63" i="9"/>
  <c r="T57" i="9"/>
  <c r="T49" i="9"/>
  <c r="T41" i="9"/>
  <c r="T64" i="9"/>
  <c r="S78" i="9"/>
  <c r="AM83" i="23" s="1"/>
  <c r="J83" i="23" s="1"/>
  <c r="S24" i="9"/>
  <c r="AM29" i="23" s="1"/>
  <c r="J29" i="23" s="1"/>
  <c r="T54" i="9"/>
  <c r="T46" i="9"/>
  <c r="G78" i="23"/>
  <c r="E43" i="1"/>
  <c r="F43" i="1" s="1"/>
  <c r="E35" i="1"/>
  <c r="F35" i="1" s="1"/>
  <c r="G66" i="23"/>
  <c r="G82" i="23"/>
  <c r="D76" i="23"/>
  <c r="E78" i="1"/>
  <c r="E84" i="1"/>
  <c r="F84" i="1" s="1"/>
  <c r="E64" i="1"/>
  <c r="F64" i="1" s="1"/>
  <c r="E69" i="1"/>
  <c r="F69" i="1" s="1"/>
  <c r="E86" i="1"/>
  <c r="F86" i="1" s="1"/>
  <c r="G86" i="1" s="1"/>
  <c r="E53" i="1"/>
  <c r="F53" i="1" s="1"/>
  <c r="G53" i="1" s="1"/>
  <c r="E45" i="1"/>
  <c r="F45" i="1" s="1"/>
  <c r="E77" i="1"/>
  <c r="G88" i="1"/>
  <c r="E55" i="1"/>
  <c r="F55" i="1" s="1"/>
  <c r="L76" i="23"/>
  <c r="E56" i="1"/>
  <c r="F56" i="1" s="1"/>
  <c r="D7" i="23"/>
  <c r="D15" i="23"/>
  <c r="D23" i="23"/>
  <c r="H86" i="1"/>
  <c r="BA81" i="23" s="1"/>
  <c r="D81" i="23" s="1"/>
  <c r="D8" i="23"/>
  <c r="D16" i="23"/>
  <c r="E70" i="1"/>
  <c r="F70" i="1" s="1"/>
  <c r="F25" i="1"/>
  <c r="G25" i="1" s="1"/>
  <c r="E48" i="1"/>
  <c r="F48" i="1" s="1"/>
  <c r="G50" i="1"/>
  <c r="E47" i="1"/>
  <c r="F47" i="1" s="1"/>
  <c r="E42" i="1"/>
  <c r="F42" i="1" s="1"/>
  <c r="F32" i="1"/>
  <c r="G32" i="1" s="1"/>
  <c r="F67" i="1"/>
  <c r="F21" i="1"/>
  <c r="G21" i="1" s="1"/>
  <c r="F20" i="1"/>
  <c r="G20" i="1" s="1"/>
  <c r="F27" i="1"/>
  <c r="G27" i="1" s="1"/>
  <c r="G19" i="1"/>
  <c r="F52" i="1"/>
  <c r="G52" i="1" s="1"/>
  <c r="G41" i="1"/>
  <c r="E87" i="1"/>
  <c r="E46" i="1"/>
  <c r="F46" i="1" s="1"/>
  <c r="F72" i="1"/>
  <c r="G72" i="1" s="1"/>
  <c r="F29" i="1"/>
  <c r="G29" i="1" s="1"/>
  <c r="F82" i="1"/>
  <c r="F71" i="1"/>
  <c r="G71" i="1" s="1"/>
  <c r="F49" i="1"/>
  <c r="G49" i="1" s="1"/>
  <c r="F9" i="1"/>
  <c r="G9" i="1" s="1"/>
  <c r="F12" i="1"/>
  <c r="G12" i="1" s="1"/>
  <c r="G57" i="1"/>
  <c r="F62" i="1"/>
  <c r="G62" i="1" s="1"/>
  <c r="F40" i="1"/>
  <c r="G40" i="1" s="1"/>
  <c r="G81" i="1"/>
  <c r="G58" i="1"/>
  <c r="F68" i="1"/>
  <c r="E66" i="1"/>
  <c r="G34" i="1"/>
  <c r="G16" i="1"/>
  <c r="F83" i="1"/>
  <c r="G83" i="1" s="1"/>
  <c r="G76" i="1"/>
  <c r="E65" i="1"/>
  <c r="E54" i="1"/>
  <c r="E73" i="1"/>
  <c r="L73" i="23"/>
  <c r="M46" i="23"/>
  <c r="M47" i="23"/>
  <c r="D22" i="23"/>
  <c r="K7" i="23"/>
  <c r="T67" i="9"/>
  <c r="T69" i="9"/>
  <c r="T51" i="9"/>
  <c r="T78" i="9"/>
  <c r="T71" i="9"/>
  <c r="T76" i="9"/>
  <c r="H62" i="23"/>
  <c r="D4" i="23"/>
  <c r="L81" i="23"/>
  <c r="F72" i="23"/>
  <c r="L80" i="23"/>
  <c r="O47" i="10"/>
  <c r="CQ57" i="23" s="1"/>
  <c r="O33" i="10"/>
  <c r="CQ43" i="23" s="1"/>
  <c r="O36" i="10"/>
  <c r="CQ46" i="23" s="1"/>
  <c r="O44" i="10"/>
  <c r="CQ54" i="23" s="1"/>
  <c r="O38" i="10"/>
  <c r="CQ48" i="23" s="1"/>
  <c r="O40" i="10"/>
  <c r="CQ50" i="23" s="1"/>
  <c r="O37" i="10"/>
  <c r="CQ47" i="23" s="1"/>
  <c r="O46" i="10"/>
  <c r="CQ56" i="23" s="1"/>
  <c r="M72" i="23"/>
  <c r="P57" i="2"/>
  <c r="AO57" i="23" s="1"/>
  <c r="H76" i="23"/>
  <c r="G77" i="23"/>
  <c r="D12" i="23"/>
  <c r="I68" i="23"/>
  <c r="E28" i="23"/>
  <c r="I64" i="23"/>
  <c r="I65" i="23"/>
  <c r="L65" i="23"/>
  <c r="M82" i="23"/>
  <c r="K10" i="23"/>
  <c r="F63" i="23"/>
  <c r="I57" i="23"/>
  <c r="M67" i="23"/>
  <c r="M78" i="23"/>
  <c r="T7" i="9"/>
  <c r="T5" i="9"/>
  <c r="S25" i="9"/>
  <c r="AM30" i="23" s="1"/>
  <c r="B30" i="23" s="1"/>
  <c r="B30" i="4" s="1"/>
  <c r="S28" i="9"/>
  <c r="AM33" i="23" s="1"/>
  <c r="B33" i="23" s="1"/>
  <c r="B33" i="4" s="1"/>
  <c r="T50" i="9"/>
  <c r="T34" i="9"/>
  <c r="T42" i="9"/>
  <c r="T11" i="9"/>
  <c r="T24" i="9"/>
  <c r="T52" i="9"/>
  <c r="S73" i="9"/>
  <c r="AM78" i="23" s="1"/>
  <c r="J78" i="23" s="1"/>
  <c r="T17" i="9"/>
  <c r="T59" i="9"/>
  <c r="D31" i="23"/>
  <c r="E37" i="23"/>
  <c r="S48" i="9"/>
  <c r="AM53" i="23" s="1"/>
  <c r="J53" i="23" s="1"/>
  <c r="S60" i="9"/>
  <c r="AM65" i="23" s="1"/>
  <c r="J65" i="23" s="1"/>
  <c r="S68" i="9"/>
  <c r="AM73" i="23" s="1"/>
  <c r="B73" i="23" s="1"/>
  <c r="B73" i="4" s="1"/>
  <c r="T12" i="9"/>
  <c r="S64" i="9"/>
  <c r="AM69" i="23" s="1"/>
  <c r="J69" i="23" s="1"/>
  <c r="S21" i="9"/>
  <c r="AM26" i="23" s="1"/>
  <c r="B26" i="23" s="1"/>
  <c r="B26" i="4" s="1"/>
  <c r="T25" i="9"/>
  <c r="S20" i="9"/>
  <c r="AM25" i="23" s="1"/>
  <c r="J25" i="23" s="1"/>
  <c r="T23" i="9"/>
  <c r="S22" i="9"/>
  <c r="AM27" i="23" s="1"/>
  <c r="B27" i="23" s="1"/>
  <c r="B27" i="4" s="1"/>
  <c r="T14" i="9"/>
  <c r="S10" i="9"/>
  <c r="AM15" i="23" s="1"/>
  <c r="B15" i="23" s="1"/>
  <c r="B15" i="4" s="1"/>
  <c r="T21" i="9"/>
  <c r="S23" i="9"/>
  <c r="AM28" i="23" s="1"/>
  <c r="J28" i="23" s="1"/>
  <c r="T6" i="9"/>
  <c r="T29" i="9"/>
  <c r="S11" i="9"/>
  <c r="AM16" i="23" s="1"/>
  <c r="J16" i="23" s="1"/>
  <c r="S7" i="9"/>
  <c r="AM12" i="23" s="1"/>
  <c r="B12" i="23" s="1"/>
  <c r="B12" i="4" s="1"/>
  <c r="S12" i="9"/>
  <c r="AM17" i="23" s="1"/>
  <c r="B17" i="23" s="1"/>
  <c r="B17" i="4" s="1"/>
  <c r="T18" i="9"/>
  <c r="T9" i="9"/>
  <c r="T36" i="9"/>
  <c r="S13" i="9"/>
  <c r="AM18" i="23" s="1"/>
  <c r="J18" i="23" s="1"/>
  <c r="T20" i="9"/>
  <c r="T48" i="9"/>
  <c r="T28" i="9"/>
  <c r="T19" i="9"/>
  <c r="S14" i="9"/>
  <c r="AM19" i="23" s="1"/>
  <c r="B19" i="23" s="1"/>
  <c r="B19" i="4" s="1"/>
  <c r="S3" i="9"/>
  <c r="AM8" i="23" s="1"/>
  <c r="B8" i="23" s="1"/>
  <c r="B8" i="4" s="1"/>
  <c r="T38" i="9"/>
  <c r="S62" i="9"/>
  <c r="AM67" i="23" s="1"/>
  <c r="J67" i="23" s="1"/>
  <c r="S66" i="9"/>
  <c r="AM71" i="23" s="1"/>
  <c r="J71" i="23" s="1"/>
  <c r="S67" i="9"/>
  <c r="AM72" i="23" s="1"/>
  <c r="B72" i="23" s="1"/>
  <c r="B72" i="4" s="1"/>
  <c r="T68" i="9"/>
  <c r="T44" i="9"/>
  <c r="T60" i="9"/>
  <c r="T61" i="9"/>
  <c r="T74" i="9"/>
  <c r="T70" i="9"/>
  <c r="T73" i="9"/>
  <c r="T31" i="9"/>
  <c r="T32" i="9"/>
  <c r="S18" i="9"/>
  <c r="AM23" i="23" s="1"/>
  <c r="B23" i="23" s="1"/>
  <c r="B23" i="4" s="1"/>
  <c r="T13" i="9"/>
  <c r="T33" i="9"/>
  <c r="S58" i="9"/>
  <c r="AM63" i="23" s="1"/>
  <c r="J63" i="23" s="1"/>
  <c r="T26" i="9"/>
  <c r="T55" i="9"/>
  <c r="T47" i="9"/>
  <c r="S63" i="9"/>
  <c r="AM68" i="23" s="1"/>
  <c r="J68" i="23" s="1"/>
  <c r="T65" i="9"/>
  <c r="T77" i="9"/>
  <c r="T43" i="9"/>
  <c r="T37" i="9"/>
  <c r="S19" i="9"/>
  <c r="AM24" i="23" s="1"/>
  <c r="J24" i="23" s="1"/>
  <c r="T30" i="9"/>
  <c r="T45" i="9"/>
  <c r="T72" i="9"/>
  <c r="S75" i="9"/>
  <c r="AM80" i="23" s="1"/>
  <c r="J80" i="23" s="1"/>
  <c r="S77" i="9"/>
  <c r="AM82" i="23" s="1"/>
  <c r="J82" i="23" s="1"/>
  <c r="S35" i="9"/>
  <c r="AM40" i="23" s="1"/>
  <c r="J40" i="23" s="1"/>
  <c r="S70" i="9"/>
  <c r="AM75" i="23" s="1"/>
  <c r="J75" i="23" s="1"/>
  <c r="S9" i="9"/>
  <c r="AM14" i="23" s="1"/>
  <c r="B14" i="23" s="1"/>
  <c r="B14" i="4" s="1"/>
  <c r="T22" i="9"/>
  <c r="T35" i="9"/>
  <c r="S74" i="9"/>
  <c r="AM79" i="23" s="1"/>
  <c r="J79" i="23" s="1"/>
  <c r="S8" i="9"/>
  <c r="AM13" i="23" s="1"/>
  <c r="J13" i="23" s="1"/>
  <c r="T10" i="9"/>
  <c r="S65" i="9"/>
  <c r="AM70" i="23" s="1"/>
  <c r="B70" i="23" s="1"/>
  <c r="B70" i="4" s="1"/>
  <c r="S6" i="9"/>
  <c r="AM11" i="23" s="1"/>
  <c r="B11" i="23" s="1"/>
  <c r="B11" i="4" s="1"/>
  <c r="T58" i="9"/>
  <c r="T8" i="9"/>
  <c r="T66" i="9"/>
  <c r="S17" i="9"/>
  <c r="AM22" i="23" s="1"/>
  <c r="B22" i="23" s="1"/>
  <c r="B22" i="4" s="1"/>
  <c r="S72" i="9"/>
  <c r="AM77" i="23" s="1"/>
  <c r="J77" i="23" s="1"/>
  <c r="T75" i="9"/>
  <c r="O49" i="10"/>
  <c r="CQ59" i="23" s="1"/>
  <c r="O52" i="10"/>
  <c r="CQ62" i="23" s="1"/>
  <c r="O42" i="10"/>
  <c r="CQ52" i="23" s="1"/>
  <c r="O41" i="10"/>
  <c r="CQ51" i="23" s="1"/>
  <c r="O35" i="10"/>
  <c r="CQ45" i="23" s="1"/>
  <c r="L48" i="23"/>
  <c r="D78" i="23"/>
  <c r="K11" i="23"/>
  <c r="C27" i="23"/>
  <c r="C27" i="4" s="1"/>
  <c r="K34" i="23"/>
  <c r="K53" i="23"/>
  <c r="C21" i="23"/>
  <c r="C21" i="4" s="1"/>
  <c r="C13" i="23"/>
  <c r="C13" i="4" s="1"/>
  <c r="E61" i="23"/>
  <c r="F77" i="23"/>
  <c r="G42" i="23"/>
  <c r="H67" i="23"/>
  <c r="D77" i="23"/>
  <c r="E85" i="23"/>
  <c r="G58" i="23"/>
  <c r="G50" i="23"/>
  <c r="F65" i="23"/>
  <c r="D74" i="23"/>
  <c r="M69" i="23"/>
  <c r="L36" i="23"/>
  <c r="D50" i="23"/>
  <c r="E60" i="23"/>
  <c r="L47" i="23"/>
  <c r="F76" i="23"/>
  <c r="H64" i="23"/>
  <c r="K59" i="23"/>
  <c r="C14" i="23"/>
  <c r="C14" i="4" s="1"/>
  <c r="F71" i="23"/>
  <c r="L43" i="23"/>
  <c r="F51" i="23"/>
  <c r="F50" i="23"/>
  <c r="G71" i="23"/>
  <c r="E76" i="23"/>
  <c r="E77" i="23"/>
  <c r="E52" i="23"/>
  <c r="E48" i="23"/>
  <c r="F43" i="23"/>
  <c r="E70" i="23"/>
  <c r="F59" i="23"/>
  <c r="G67" i="23"/>
  <c r="E78" i="23"/>
  <c r="I79" i="23"/>
  <c r="G83" i="23"/>
  <c r="M75" i="23"/>
  <c r="K15" i="23"/>
  <c r="K22" i="23"/>
  <c r="E34" i="23"/>
  <c r="M42" i="23"/>
  <c r="G49" i="23"/>
  <c r="M41" i="23"/>
  <c r="E58" i="23"/>
  <c r="D32" i="23"/>
  <c r="H77" i="23"/>
  <c r="M73" i="23"/>
  <c r="D33" i="23"/>
  <c r="D43" i="23"/>
  <c r="K61" i="23"/>
  <c r="K47" i="23"/>
  <c r="E57" i="23"/>
  <c r="E41" i="23"/>
  <c r="H83" i="23"/>
  <c r="E64" i="23"/>
  <c r="F75" i="23"/>
  <c r="F48" i="23"/>
  <c r="E36" i="23"/>
  <c r="D11" i="23"/>
  <c r="D19" i="23"/>
  <c r="D27" i="23"/>
  <c r="I59" i="23"/>
  <c r="L77" i="23"/>
  <c r="C4" i="23"/>
  <c r="C4" i="4" s="1"/>
  <c r="D10" i="23"/>
  <c r="F47" i="23"/>
  <c r="E32" i="23"/>
  <c r="L44" i="23"/>
  <c r="I58" i="23"/>
  <c r="H65" i="23"/>
  <c r="E35" i="23"/>
  <c r="D36" i="23"/>
  <c r="D70" i="23"/>
  <c r="G73" i="23"/>
  <c r="L82" i="23"/>
  <c r="F83" i="23"/>
  <c r="K41" i="23"/>
  <c r="S27" i="9"/>
  <c r="AM32" i="23" s="1"/>
  <c r="S29" i="9"/>
  <c r="AM34" i="23" s="1"/>
  <c r="B34" i="23" s="1"/>
  <c r="B34" i="4" s="1"/>
  <c r="S34" i="9"/>
  <c r="AM39" i="23" s="1"/>
  <c r="J39" i="23" s="1"/>
  <c r="L71" i="23"/>
  <c r="B5" i="23"/>
  <c r="B5" i="4" s="1"/>
  <c r="D20" i="23"/>
  <c r="D24" i="23"/>
  <c r="L38" i="23"/>
  <c r="I56" i="23"/>
  <c r="M45" i="23"/>
  <c r="M48" i="23"/>
  <c r="M66" i="23"/>
  <c r="L66" i="23"/>
  <c r="G68" i="23"/>
  <c r="H69" i="23"/>
  <c r="I69" i="23"/>
  <c r="F70" i="23"/>
  <c r="H71" i="23"/>
  <c r="G79" i="23"/>
  <c r="M77" i="23"/>
  <c r="I82" i="23"/>
  <c r="M36" i="23"/>
  <c r="I67" i="23"/>
  <c r="H78" i="23"/>
  <c r="K79" i="23"/>
  <c r="D80" i="23"/>
  <c r="G81" i="23"/>
  <c r="F45" i="23"/>
  <c r="L64" i="23"/>
  <c r="D59" i="23"/>
  <c r="D28" i="23"/>
  <c r="D37" i="23"/>
  <c r="L45" i="23"/>
  <c r="F42" i="23"/>
  <c r="G51" i="23"/>
  <c r="G47" i="23"/>
  <c r="M39" i="23"/>
  <c r="D13" i="23"/>
  <c r="D9" i="23"/>
  <c r="D5" i="23"/>
  <c r="I74" i="23"/>
  <c r="E74" i="23"/>
  <c r="K65" i="23"/>
  <c r="F68" i="23"/>
  <c r="L75" i="23"/>
  <c r="F46" i="23"/>
  <c r="C24" i="23"/>
  <c r="C24" i="4" s="1"/>
  <c r="H58" i="23"/>
  <c r="H63" i="23"/>
  <c r="L37" i="23"/>
  <c r="K56" i="23"/>
  <c r="C46" i="23"/>
  <c r="C46" i="4" s="1"/>
  <c r="C48" i="23"/>
  <c r="C48" i="4" s="1"/>
  <c r="E40" i="23"/>
  <c r="G59" i="23"/>
  <c r="G43" i="23"/>
  <c r="I63" i="23"/>
  <c r="D35" i="23"/>
  <c r="E67" i="23"/>
  <c r="I70" i="23"/>
  <c r="I71" i="23"/>
  <c r="M71" i="23"/>
  <c r="E71" i="23"/>
  <c r="G72" i="23"/>
  <c r="K72" i="23"/>
  <c r="I72" i="23"/>
  <c r="D72" i="23"/>
  <c r="I73" i="23"/>
  <c r="F73" i="23"/>
  <c r="K75" i="23"/>
  <c r="M76" i="23"/>
  <c r="C81" i="23"/>
  <c r="C81" i="4" s="1"/>
  <c r="F82" i="23"/>
  <c r="D82" i="23"/>
  <c r="E82" i="23"/>
  <c r="K85" i="23"/>
  <c r="F53" i="23"/>
  <c r="C47" i="23"/>
  <c r="C47" i="4" s="1"/>
  <c r="D52" i="23"/>
  <c r="E55" i="23"/>
  <c r="G61" i="23"/>
  <c r="G53" i="23"/>
  <c r="G45" i="23"/>
  <c r="C35" i="23"/>
  <c r="C35" i="4" s="1"/>
  <c r="M37" i="23"/>
  <c r="M38" i="23"/>
  <c r="D67" i="23"/>
  <c r="L67" i="23"/>
  <c r="K73" i="23"/>
  <c r="I76" i="23"/>
  <c r="G80" i="23"/>
  <c r="E80" i="23"/>
  <c r="E79" i="23"/>
  <c r="E83" i="23"/>
  <c r="K84" i="23"/>
  <c r="G85" i="23"/>
  <c r="K5" i="23"/>
  <c r="D2" i="23"/>
  <c r="D21" i="23"/>
  <c r="D25" i="23"/>
  <c r="L42" i="23"/>
  <c r="D53" i="23"/>
  <c r="H61" i="23"/>
  <c r="G64" i="23"/>
  <c r="G56" i="23"/>
  <c r="G52" i="23"/>
  <c r="E42" i="23"/>
  <c r="E38" i="23"/>
  <c r="E4" i="23"/>
  <c r="L79" i="23"/>
  <c r="M80" i="23"/>
  <c r="K66" i="23"/>
  <c r="C71" i="23"/>
  <c r="C71" i="4" s="1"/>
  <c r="C74" i="23"/>
  <c r="C74" i="4" s="1"/>
  <c r="K81" i="23"/>
  <c r="K8" i="23"/>
  <c r="K16" i="23"/>
  <c r="K33" i="23"/>
  <c r="K40" i="23"/>
  <c r="K44" i="23"/>
  <c r="K13" i="23"/>
  <c r="C36" i="23"/>
  <c r="C36" i="4" s="1"/>
  <c r="B6" i="23"/>
  <c r="B6" i="4" s="1"/>
  <c r="K55" i="23"/>
  <c r="K52" i="23"/>
  <c r="S32" i="9"/>
  <c r="AM37" i="23" s="1"/>
  <c r="B37" i="23" s="1"/>
  <c r="B37" i="4" s="1"/>
  <c r="S36" i="9"/>
  <c r="AM41" i="23" s="1"/>
  <c r="J41" i="23" s="1"/>
  <c r="C32" i="23"/>
  <c r="C32" i="4" s="1"/>
  <c r="S31" i="9"/>
  <c r="AM36" i="23" s="1"/>
  <c r="J36" i="23" s="1"/>
  <c r="S33" i="9"/>
  <c r="AM38" i="23" s="1"/>
  <c r="J38" i="23" s="1"/>
  <c r="K27" i="23"/>
  <c r="K24" i="23"/>
  <c r="S30" i="9"/>
  <c r="AM35" i="23" s="1"/>
  <c r="J35" i="23" s="1"/>
  <c r="S37" i="9"/>
  <c r="AM42" i="23" s="1"/>
  <c r="B42" i="23" s="1"/>
  <c r="B42" i="4" s="1"/>
  <c r="C57" i="23"/>
  <c r="C57" i="4" s="1"/>
  <c r="K46" i="23"/>
  <c r="C67" i="23"/>
  <c r="C67" i="4" s="1"/>
  <c r="K70" i="23"/>
  <c r="C82" i="23"/>
  <c r="C82" i="4" s="1"/>
  <c r="C79" i="23"/>
  <c r="C79" i="4" s="1"/>
  <c r="C77" i="23"/>
  <c r="C77" i="4" s="1"/>
  <c r="K83" i="23"/>
  <c r="C45" i="23"/>
  <c r="C45" i="4" s="1"/>
  <c r="C10" i="23"/>
  <c r="C10" i="4" s="1"/>
  <c r="C76" i="23"/>
  <c r="C76" i="4" s="1"/>
  <c r="D63" i="23"/>
  <c r="G46" i="23"/>
  <c r="D46" i="23"/>
  <c r="K18" i="23"/>
  <c r="C25" i="23"/>
  <c r="C25" i="4" s="1"/>
  <c r="K57" i="23"/>
  <c r="C11" i="23"/>
  <c r="C11" i="4" s="1"/>
  <c r="F66" i="23"/>
  <c r="K67" i="23"/>
  <c r="G76" i="23"/>
  <c r="K32" i="23"/>
  <c r="C70" i="23"/>
  <c r="C70" i="4" s="1"/>
  <c r="F44" i="23"/>
  <c r="K17" i="23"/>
  <c r="C17" i="23"/>
  <c r="C17" i="4" s="1"/>
  <c r="K19" i="23"/>
  <c r="K29" i="23"/>
  <c r="K39" i="23"/>
  <c r="C39" i="23"/>
  <c r="C39" i="4" s="1"/>
  <c r="C41" i="23"/>
  <c r="C41" i="4" s="1"/>
  <c r="E63" i="23"/>
  <c r="E50" i="23"/>
  <c r="D18" i="23"/>
  <c r="D26" i="23"/>
  <c r="C63" i="23"/>
  <c r="C63" i="4" s="1"/>
  <c r="C61" i="23"/>
  <c r="C61" i="4" s="1"/>
  <c r="L69" i="23"/>
  <c r="D69" i="23"/>
  <c r="L70" i="23"/>
  <c r="D71" i="23"/>
  <c r="D73" i="23"/>
  <c r="K74" i="23"/>
  <c r="G75" i="23"/>
  <c r="F79" i="23"/>
  <c r="H80" i="23"/>
  <c r="C84" i="23"/>
  <c r="C84" i="4" s="1"/>
  <c r="M68" i="23"/>
  <c r="C68" i="23"/>
  <c r="C68" i="4" s="1"/>
  <c r="K49" i="23"/>
  <c r="K45" i="23"/>
  <c r="C15" i="23"/>
  <c r="C15" i="4" s="1"/>
  <c r="C80" i="23"/>
  <c r="C80" i="4" s="1"/>
  <c r="C16" i="23"/>
  <c r="C16" i="4" s="1"/>
  <c r="C22" i="23"/>
  <c r="C22" i="4" s="1"/>
  <c r="F52" i="23"/>
  <c r="D57" i="23"/>
  <c r="C8" i="23"/>
  <c r="C8" i="4" s="1"/>
  <c r="K31" i="23"/>
  <c r="C2" i="23"/>
  <c r="C2" i="4" s="1"/>
  <c r="C55" i="23"/>
  <c r="C55" i="4" s="1"/>
  <c r="K25" i="23"/>
  <c r="C26" i="23"/>
  <c r="C26" i="4" s="1"/>
  <c r="C72" i="23"/>
  <c r="C72" i="4" s="1"/>
  <c r="G57" i="23"/>
  <c r="C18" i="23"/>
  <c r="C18" i="4" s="1"/>
  <c r="F61" i="23"/>
  <c r="F56" i="23"/>
  <c r="H57" i="23"/>
  <c r="M43" i="23"/>
  <c r="D44" i="23"/>
  <c r="D39" i="23"/>
  <c r="D29" i="23"/>
  <c r="E69" i="23"/>
  <c r="K69" i="23"/>
  <c r="C83" i="23"/>
  <c r="C83" i="4" s="1"/>
  <c r="K21" i="23"/>
  <c r="K30" i="23"/>
  <c r="C34" i="23"/>
  <c r="C34" i="4" s="1"/>
  <c r="K37" i="23"/>
  <c r="D48" i="23"/>
  <c r="F49" i="23"/>
  <c r="E44" i="23"/>
  <c r="L46" i="23"/>
  <c r="D56" i="23"/>
  <c r="F64" i="23"/>
  <c r="L39" i="23"/>
  <c r="E59" i="23"/>
  <c r="E54" i="23"/>
  <c r="E51" i="23"/>
  <c r="G55" i="23"/>
  <c r="K64" i="23"/>
  <c r="E30" i="23"/>
  <c r="D66" i="23"/>
  <c r="K68" i="23"/>
  <c r="E68" i="23"/>
  <c r="F69" i="23"/>
  <c r="G70" i="23"/>
  <c r="L72" i="23"/>
  <c r="F78" i="23"/>
  <c r="K78" i="23"/>
  <c r="K80" i="23"/>
  <c r="M79" i="23"/>
  <c r="M81" i="23"/>
  <c r="D83" i="23"/>
  <c r="H84" i="23"/>
  <c r="K26" i="23"/>
  <c r="K35" i="23"/>
  <c r="K14" i="23"/>
  <c r="E31" i="23"/>
  <c r="D40" i="23"/>
  <c r="H59" i="23"/>
  <c r="L41" i="23"/>
  <c r="F58" i="23"/>
  <c r="K62" i="23"/>
  <c r="K60" i="23"/>
  <c r="K58" i="23"/>
  <c r="C53" i="23"/>
  <c r="C53" i="4" s="1"/>
  <c r="K48" i="23"/>
  <c r="E53" i="23"/>
  <c r="K36" i="23"/>
  <c r="C19" i="23"/>
  <c r="C19" i="4" s="1"/>
  <c r="C54" i="23"/>
  <c r="C54" i="4" s="1"/>
  <c r="K38" i="23"/>
  <c r="G48" i="23"/>
  <c r="G44" i="23"/>
  <c r="C64" i="23"/>
  <c r="C64" i="4" s="1"/>
  <c r="I60" i="23"/>
  <c r="M44" i="23"/>
  <c r="K63" i="23"/>
  <c r="M65" i="23"/>
  <c r="G65" i="23"/>
  <c r="E65" i="23"/>
  <c r="C65" i="23"/>
  <c r="C65" i="4" s="1"/>
  <c r="E62" i="23"/>
  <c r="E46" i="23"/>
  <c r="E43" i="23"/>
  <c r="E39" i="23"/>
  <c r="E29" i="23"/>
  <c r="I66" i="23"/>
  <c r="H72" i="23"/>
  <c r="H73" i="23"/>
  <c r="E73" i="23"/>
  <c r="M74" i="23"/>
  <c r="D75" i="23"/>
  <c r="E75" i="23"/>
  <c r="K76" i="23"/>
  <c r="K77" i="23"/>
  <c r="F80" i="23"/>
  <c r="F81" i="23"/>
  <c r="K82" i="23"/>
  <c r="I85" i="23"/>
  <c r="C42" i="23"/>
  <c r="C42" i="4" s="1"/>
  <c r="K42" i="23"/>
  <c r="K28" i="23"/>
  <c r="C28" i="23"/>
  <c r="C28" i="4" s="1"/>
  <c r="F61" i="1"/>
  <c r="G61" i="1" s="1"/>
  <c r="F75" i="1"/>
  <c r="G75" i="1" s="1"/>
  <c r="K23" i="23"/>
  <c r="C23" i="23"/>
  <c r="C23" i="4" s="1"/>
  <c r="T2" i="9"/>
  <c r="S2" i="9"/>
  <c r="AM7" i="23" s="1"/>
  <c r="D3" i="23"/>
  <c r="B3" i="23"/>
  <c r="B3" i="4" s="1"/>
  <c r="D65" i="23"/>
  <c r="C69" i="23"/>
  <c r="C69" i="4" s="1"/>
  <c r="F23" i="1"/>
  <c r="G23" i="1" s="1"/>
  <c r="D14" i="23"/>
  <c r="C37" i="23"/>
  <c r="C37" i="4" s="1"/>
  <c r="F27" i="3"/>
  <c r="F23" i="3"/>
  <c r="G63" i="23"/>
  <c r="S26" i="9"/>
  <c r="AM31" i="23" s="1"/>
  <c r="L68" i="23"/>
  <c r="G24" i="1"/>
  <c r="K20" i="23"/>
  <c r="C20" i="23"/>
  <c r="C20" i="4" s="1"/>
  <c r="E56" i="3"/>
  <c r="F56" i="3" s="1"/>
  <c r="O49" i="23"/>
  <c r="D15" i="17"/>
  <c r="L7" i="17"/>
  <c r="E15" i="17"/>
  <c r="O61" i="23"/>
  <c r="D69" i="3"/>
  <c r="G60" i="23"/>
  <c r="C60" i="23"/>
  <c r="C60" i="4" s="1"/>
  <c r="S61" i="9"/>
  <c r="AM66" i="23" s="1"/>
  <c r="E30" i="17"/>
  <c r="F30" i="17"/>
  <c r="H70" i="23"/>
  <c r="F26" i="1"/>
  <c r="G26" i="1" s="1"/>
  <c r="C85" i="23"/>
  <c r="C85" i="4" s="1"/>
  <c r="C75" i="23"/>
  <c r="C75" i="4" s="1"/>
  <c r="C43" i="23"/>
  <c r="C43" i="4" s="1"/>
  <c r="C30" i="23"/>
  <c r="C30" i="4" s="1"/>
  <c r="E36" i="1"/>
  <c r="G69" i="23"/>
  <c r="I61" i="23"/>
  <c r="F21" i="17"/>
  <c r="T4" i="9"/>
  <c r="G10" i="1"/>
  <c r="O54" i="23"/>
  <c r="E61" i="3"/>
  <c r="F61" i="3" s="1"/>
  <c r="E26" i="3"/>
  <c r="F26" i="3" s="1"/>
  <c r="T53" i="9"/>
  <c r="C7" i="23"/>
  <c r="C7" i="4" s="1"/>
  <c r="C38" i="23"/>
  <c r="C38" i="4" s="1"/>
  <c r="C51" i="23"/>
  <c r="C51" i="4" s="1"/>
  <c r="C62" i="23"/>
  <c r="C62" i="4" s="1"/>
  <c r="D17" i="23"/>
  <c r="G44" i="1"/>
  <c r="G63" i="1"/>
  <c r="E16" i="17"/>
  <c r="F16" i="17" s="1"/>
  <c r="S4" i="9"/>
  <c r="AM9" i="23" s="1"/>
  <c r="J9" i="23" s="1"/>
  <c r="C12" i="23"/>
  <c r="C12" i="4" s="1"/>
  <c r="K12" i="23"/>
  <c r="S15" i="9"/>
  <c r="AM20" i="23" s="1"/>
  <c r="T15" i="9"/>
  <c r="O51" i="23"/>
  <c r="D59" i="3"/>
  <c r="E59" i="3" s="1"/>
  <c r="D55" i="23"/>
  <c r="E64" i="3"/>
  <c r="F64" i="3" s="1"/>
  <c r="D65" i="3"/>
  <c r="O51" i="10"/>
  <c r="CQ61" i="23" s="1"/>
  <c r="E11" i="3"/>
  <c r="F11" i="3" s="1"/>
  <c r="T56" i="9"/>
  <c r="T40" i="9"/>
  <c r="T39" i="9"/>
  <c r="C52" i="23"/>
  <c r="C52" i="4" s="1"/>
  <c r="C6" i="23"/>
  <c r="C6" i="4" s="1"/>
  <c r="K6" i="23"/>
  <c r="E33" i="23"/>
  <c r="E89" i="3"/>
  <c r="F89" i="3" s="1"/>
  <c r="E68" i="3"/>
  <c r="F68" i="3" s="1"/>
  <c r="F10" i="17"/>
  <c r="C9" i="23"/>
  <c r="C9" i="4" s="1"/>
  <c r="K9" i="23"/>
  <c r="E69" i="3"/>
  <c r="C50" i="23"/>
  <c r="C50" i="4" s="1"/>
  <c r="K50" i="23"/>
  <c r="C56" i="23"/>
  <c r="C56" i="4" s="1"/>
  <c r="C40" i="23"/>
  <c r="C40" i="4" s="1"/>
  <c r="C29" i="23"/>
  <c r="C29" i="4" s="1"/>
  <c r="C44" i="23"/>
  <c r="C44" i="4" s="1"/>
  <c r="C3" i="23"/>
  <c r="C3" i="4" s="1"/>
  <c r="C58" i="23"/>
  <c r="C58" i="4" s="1"/>
  <c r="G59" i="1"/>
  <c r="C31" i="23"/>
  <c r="C31" i="4" s="1"/>
  <c r="T62" i="9"/>
  <c r="E33" i="3"/>
  <c r="F33" i="3" s="1"/>
  <c r="E23" i="17"/>
  <c r="F23" i="17" s="1"/>
  <c r="K6" i="3"/>
  <c r="F55" i="3"/>
  <c r="F20" i="17"/>
  <c r="E51" i="1"/>
  <c r="D57" i="3"/>
  <c r="CM54" i="23"/>
  <c r="F54" i="23" s="1"/>
  <c r="F30" i="1"/>
  <c r="G30" i="1" s="1"/>
  <c r="S16" i="9"/>
  <c r="AM21" i="23" s="1"/>
  <c r="T16" i="9"/>
  <c r="T27" i="9"/>
  <c r="O45" i="23"/>
  <c r="E53" i="3"/>
  <c r="F53" i="3" s="1"/>
  <c r="E54" i="3"/>
  <c r="F54" i="3" s="1"/>
  <c r="O47" i="23"/>
  <c r="O39" i="10"/>
  <c r="CQ49" i="23" s="1"/>
  <c r="E58" i="3"/>
  <c r="F58" i="3" s="1"/>
  <c r="O45" i="10"/>
  <c r="CQ55" i="23" s="1"/>
  <c r="F18" i="17"/>
  <c r="E11" i="17"/>
  <c r="F11" i="17" s="1"/>
  <c r="F17" i="17"/>
  <c r="F48" i="3"/>
  <c r="F24" i="17"/>
  <c r="D6" i="23"/>
  <c r="D38" i="23"/>
  <c r="E49" i="23"/>
  <c r="C49" i="23"/>
  <c r="C49" i="4" s="1"/>
  <c r="F67" i="23"/>
  <c r="F78" i="1"/>
  <c r="E85" i="3"/>
  <c r="F85" i="3" s="1"/>
  <c r="E87" i="3"/>
  <c r="F87" i="3" s="1"/>
  <c r="L78" i="23"/>
  <c r="D42" i="23"/>
  <c r="D58" i="23"/>
  <c r="S5" i="9"/>
  <c r="AM10" i="23" s="1"/>
  <c r="C33" i="23"/>
  <c r="C33" i="4" s="1"/>
  <c r="F22" i="17"/>
  <c r="E15" i="18"/>
  <c r="F15" i="18" s="1"/>
  <c r="B4" i="23"/>
  <c r="B4" i="4" s="1"/>
  <c r="D30" i="23"/>
  <c r="K54" i="23"/>
  <c r="K43" i="23"/>
  <c r="C59" i="23"/>
  <c r="C59" i="4" s="1"/>
  <c r="E29" i="17"/>
  <c r="F29" i="17" s="1"/>
  <c r="G14" i="1"/>
  <c r="C73" i="23"/>
  <c r="C73" i="4" s="1"/>
  <c r="E79" i="1"/>
  <c r="C78" i="23"/>
  <c r="C78" i="4" s="1"/>
  <c r="E14" i="18"/>
  <c r="F14" i="18" s="1"/>
  <c r="E51" i="3"/>
  <c r="F51" i="3" s="1"/>
  <c r="CM57" i="23"/>
  <c r="F57" i="23" s="1"/>
  <c r="F3" i="17"/>
  <c r="O34" i="10"/>
  <c r="CQ44" i="23" s="1"/>
  <c r="P60" i="2"/>
  <c r="AO60" i="23" s="1"/>
  <c r="F4" i="17"/>
  <c r="E31" i="3"/>
  <c r="F31" i="3" s="1"/>
  <c r="S59" i="9"/>
  <c r="AM64" i="23" s="1"/>
  <c r="D41" i="23"/>
  <c r="H56" i="23"/>
  <c r="H60" i="23"/>
  <c r="K51" i="23"/>
  <c r="E47" i="23"/>
  <c r="D68" i="23"/>
  <c r="E37" i="17"/>
  <c r="F37" i="17"/>
  <c r="E45" i="17"/>
  <c r="F45" i="17"/>
  <c r="B2" i="23"/>
  <c r="B2" i="4" s="1"/>
  <c r="E2" i="4" s="1"/>
  <c r="D64" i="23"/>
  <c r="E56" i="23"/>
  <c r="E45" i="23"/>
  <c r="C66" i="23"/>
  <c r="C66" i="4" s="1"/>
  <c r="E66" i="23"/>
  <c r="H68" i="23"/>
  <c r="K71" i="23"/>
  <c r="E80" i="3"/>
  <c r="F80" i="3" s="1"/>
  <c r="E82" i="3"/>
  <c r="F82" i="3" s="1"/>
  <c r="H82" i="23"/>
  <c r="E84" i="23"/>
  <c r="G84" i="23"/>
  <c r="D34" i="23"/>
  <c r="E26" i="17"/>
  <c r="F26" i="17" s="1"/>
  <c r="E76" i="3"/>
  <c r="F76" i="3"/>
  <c r="E72" i="23"/>
  <c r="H74" i="23"/>
  <c r="S69" i="9"/>
  <c r="AM74" i="23" s="1"/>
  <c r="L74" i="23"/>
  <c r="H75" i="23"/>
  <c r="I78" i="23"/>
  <c r="H79" i="23"/>
  <c r="I80" i="23"/>
  <c r="E81" i="23"/>
  <c r="M64" i="23"/>
  <c r="M40" i="23"/>
  <c r="H66" i="23"/>
  <c r="F77" i="3"/>
  <c r="M70" i="23"/>
  <c r="I77" i="23"/>
  <c r="E41" i="17"/>
  <c r="F41" i="17" s="1"/>
  <c r="H84" i="1"/>
  <c r="BA79" i="23" s="1"/>
  <c r="H81" i="23"/>
  <c r="L83" i="23"/>
  <c r="T79" i="9"/>
  <c r="I81" i="23"/>
  <c r="F44" i="17"/>
  <c r="I83" i="23"/>
  <c r="M83" i="23"/>
  <c r="D84" i="23"/>
  <c r="I84" i="23"/>
  <c r="M84" i="23"/>
  <c r="L84" i="23"/>
  <c r="F89" i="1"/>
  <c r="G89" i="1" s="1"/>
  <c r="S79" i="9"/>
  <c r="AM84" i="23" s="1"/>
  <c r="J84" i="23" s="1"/>
  <c r="T80" i="9"/>
  <c r="H85" i="23"/>
  <c r="I75" i="23"/>
  <c r="F83" i="3"/>
  <c r="S71" i="9"/>
  <c r="AM76" i="23" s="1"/>
  <c r="S76" i="9"/>
  <c r="AM81" i="23" s="1"/>
  <c r="F84" i="23"/>
  <c r="T81" i="9"/>
  <c r="S80" i="9"/>
  <c r="AM85" i="23" s="1"/>
  <c r="J85" i="23" s="1"/>
  <c r="D85" i="23"/>
  <c r="F85" i="23"/>
  <c r="G84" i="1" l="1"/>
  <c r="B29" i="23"/>
  <c r="B29" i="4" s="1"/>
  <c r="D30" i="4" s="1"/>
  <c r="F66" i="3"/>
  <c r="G43" i="1"/>
  <c r="B83" i="23"/>
  <c r="B83" i="4" s="1"/>
  <c r="B69" i="23"/>
  <c r="B69" i="4" s="1"/>
  <c r="D70" i="4" s="1"/>
  <c r="J12" i="23"/>
  <c r="G45" i="1"/>
  <c r="G64" i="1"/>
  <c r="G55" i="1"/>
  <c r="G69" i="1"/>
  <c r="G82" i="1"/>
  <c r="F77" i="1"/>
  <c r="G47" i="1"/>
  <c r="G46" i="1"/>
  <c r="G68" i="1"/>
  <c r="G42" i="1"/>
  <c r="G56" i="1"/>
  <c r="G70" i="1"/>
  <c r="G67" i="1"/>
  <c r="F87" i="1"/>
  <c r="F73" i="1"/>
  <c r="F54" i="1"/>
  <c r="F65" i="1"/>
  <c r="F66" i="1"/>
  <c r="S49" i="9"/>
  <c r="AM54" i="23" s="1"/>
  <c r="J54" i="23" s="1"/>
  <c r="B53" i="23"/>
  <c r="B53" i="4" s="1"/>
  <c r="B65" i="23"/>
  <c r="B65" i="4" s="1"/>
  <c r="J30" i="23"/>
  <c r="J17" i="23"/>
  <c r="B67" i="23"/>
  <c r="B67" i="4" s="1"/>
  <c r="B28" i="23"/>
  <c r="B28" i="4" s="1"/>
  <c r="B18" i="23"/>
  <c r="B18" i="4" s="1"/>
  <c r="D19" i="4" s="1"/>
  <c r="B25" i="23"/>
  <c r="B25" i="4" s="1"/>
  <c r="D26" i="4" s="1"/>
  <c r="B24" i="23"/>
  <c r="B24" i="4" s="1"/>
  <c r="D24" i="4" s="1"/>
  <c r="S45" i="9"/>
  <c r="AM50" i="23" s="1"/>
  <c r="J50" i="23" s="1"/>
  <c r="J73" i="23"/>
  <c r="B78" i="23"/>
  <c r="B78" i="4" s="1"/>
  <c r="J33" i="23"/>
  <c r="J8" i="23"/>
  <c r="J14" i="23"/>
  <c r="B75" i="23"/>
  <c r="B75" i="4" s="1"/>
  <c r="J27" i="23"/>
  <c r="S42" i="9"/>
  <c r="AM47" i="23" s="1"/>
  <c r="J47" i="23" s="1"/>
  <c r="S46" i="9"/>
  <c r="AM51" i="23" s="1"/>
  <c r="J51" i="23" s="1"/>
  <c r="B16" i="23"/>
  <c r="B16" i="4" s="1"/>
  <c r="D17" i="4" s="1"/>
  <c r="S51" i="9"/>
  <c r="AM56" i="23" s="1"/>
  <c r="J56" i="23" s="1"/>
  <c r="S53" i="9"/>
  <c r="AM58" i="23" s="1"/>
  <c r="B58" i="23" s="1"/>
  <c r="B58" i="4" s="1"/>
  <c r="J23" i="23"/>
  <c r="S39" i="9"/>
  <c r="AM44" i="23" s="1"/>
  <c r="J44" i="23" s="1"/>
  <c r="B82" i="23"/>
  <c r="B82" i="4" s="1"/>
  <c r="J26" i="23"/>
  <c r="B77" i="23"/>
  <c r="B77" i="4" s="1"/>
  <c r="J15" i="23"/>
  <c r="S38" i="9"/>
  <c r="AM43" i="23" s="1"/>
  <c r="J43" i="23" s="1"/>
  <c r="B68" i="23"/>
  <c r="B68" i="4" s="1"/>
  <c r="S55" i="9"/>
  <c r="AM60" i="23" s="1"/>
  <c r="B60" i="23" s="1"/>
  <c r="B60" i="4" s="1"/>
  <c r="B13" i="23"/>
  <c r="B13" i="4" s="1"/>
  <c r="D13" i="4" s="1"/>
  <c r="S52" i="9"/>
  <c r="AM57" i="23" s="1"/>
  <c r="J57" i="23" s="1"/>
  <c r="J70" i="23"/>
  <c r="S50" i="9"/>
  <c r="AM55" i="23" s="1"/>
  <c r="J55" i="23" s="1"/>
  <c r="J22" i="23"/>
  <c r="B71" i="23"/>
  <c r="B71" i="4" s="1"/>
  <c r="D72" i="4" s="1"/>
  <c r="J72" i="23"/>
  <c r="B80" i="23"/>
  <c r="B80" i="4" s="1"/>
  <c r="J19" i="23"/>
  <c r="S43" i="9"/>
  <c r="S54" i="9"/>
  <c r="AM59" i="23" s="1"/>
  <c r="B63" i="23"/>
  <c r="B63" i="4" s="1"/>
  <c r="S41" i="9"/>
  <c r="AM46" i="23" s="1"/>
  <c r="J46" i="23" s="1"/>
  <c r="S40" i="9"/>
  <c r="AM45" i="23" s="1"/>
  <c r="J45" i="23" s="1"/>
  <c r="J11" i="23"/>
  <c r="S56" i="9"/>
  <c r="AM61" i="23" s="1"/>
  <c r="B61" i="23" s="1"/>
  <c r="B61" i="4" s="1"/>
  <c r="B40" i="23"/>
  <c r="B40" i="4" s="1"/>
  <c r="S57" i="9"/>
  <c r="AM62" i="23" s="1"/>
  <c r="B62" i="23" s="1"/>
  <c r="B62" i="4" s="1"/>
  <c r="S47" i="9"/>
  <c r="AM52" i="23" s="1"/>
  <c r="J34" i="23"/>
  <c r="J37" i="23"/>
  <c r="B36" i="23"/>
  <c r="B36" i="4" s="1"/>
  <c r="D37" i="4" s="1"/>
  <c r="D15" i="4"/>
  <c r="D6" i="4"/>
  <c r="B38" i="23"/>
  <c r="B38" i="4" s="1"/>
  <c r="D38" i="4" s="1"/>
  <c r="D34" i="4"/>
  <c r="S44" i="9"/>
  <c r="AM49" i="23" s="1"/>
  <c r="J49" i="23" s="1"/>
  <c r="B39" i="23"/>
  <c r="B39" i="4" s="1"/>
  <c r="D4" i="4"/>
  <c r="B35" i="23"/>
  <c r="B35" i="4" s="1"/>
  <c r="D35" i="4" s="1"/>
  <c r="D12" i="4"/>
  <c r="D73" i="4"/>
  <c r="B41" i="23"/>
  <c r="B41" i="4" s="1"/>
  <c r="D42" i="4" s="1"/>
  <c r="J42" i="23"/>
  <c r="B84" i="23"/>
  <c r="B84" i="4" s="1"/>
  <c r="F59" i="3"/>
  <c r="J32" i="23"/>
  <c r="B32" i="23"/>
  <c r="B32" i="4" s="1"/>
  <c r="F36" i="1"/>
  <c r="F79" i="1"/>
  <c r="G79" i="1" s="1"/>
  <c r="J10" i="23"/>
  <c r="B10" i="23"/>
  <c r="B10" i="4" s="1"/>
  <c r="B9" i="23"/>
  <c r="B9" i="4" s="1"/>
  <c r="D9" i="4" s="1"/>
  <c r="D47" i="23"/>
  <c r="D45" i="23"/>
  <c r="F65" i="3"/>
  <c r="E65" i="3"/>
  <c r="J20" i="23"/>
  <c r="B20" i="23"/>
  <c r="B20" i="4" s="1"/>
  <c r="D20" i="4" s="1"/>
  <c r="E26" i="4"/>
  <c r="J31" i="23"/>
  <c r="B31" i="23"/>
  <c r="B31" i="4" s="1"/>
  <c r="D31" i="4" s="1"/>
  <c r="B85" i="23"/>
  <c r="B85" i="4" s="1"/>
  <c r="J74" i="23"/>
  <c r="B74" i="23"/>
  <c r="B74" i="4" s="1"/>
  <c r="J21" i="23"/>
  <c r="B21" i="23"/>
  <c r="B21" i="4" s="1"/>
  <c r="D22" i="4" s="1"/>
  <c r="D51" i="23"/>
  <c r="G78" i="1"/>
  <c r="F69" i="3"/>
  <c r="F15" i="17"/>
  <c r="G35" i="1"/>
  <c r="D5" i="4"/>
  <c r="J81" i="23"/>
  <c r="B81" i="23"/>
  <c r="B81" i="4" s="1"/>
  <c r="D54" i="23"/>
  <c r="J76" i="23"/>
  <c r="B76" i="23"/>
  <c r="B76" i="4" s="1"/>
  <c r="D79" i="23"/>
  <c r="B79" i="23"/>
  <c r="B79" i="4" s="1"/>
  <c r="B64" i="23"/>
  <c r="B64" i="4" s="1"/>
  <c r="J64" i="23"/>
  <c r="F51" i="1"/>
  <c r="E57" i="3"/>
  <c r="F57" i="3" s="1"/>
  <c r="J66" i="23"/>
  <c r="B66" i="23"/>
  <c r="B66" i="4" s="1"/>
  <c r="D61" i="23"/>
  <c r="D49" i="23"/>
  <c r="D3" i="4"/>
  <c r="J7" i="23"/>
  <c r="B7" i="23"/>
  <c r="B7" i="4" s="1"/>
  <c r="D7" i="4" s="1"/>
  <c r="G48" i="1"/>
  <c r="E14" i="4"/>
  <c r="D23" i="4"/>
  <c r="D27" i="4"/>
  <c r="D29" i="4" l="1"/>
  <c r="B54" i="23"/>
  <c r="B54" i="4" s="1"/>
  <c r="D54" i="4" s="1"/>
  <c r="D84" i="4"/>
  <c r="D83" i="4"/>
  <c r="N23" i="12"/>
  <c r="G77" i="1"/>
  <c r="G73" i="1"/>
  <c r="B44" i="23"/>
  <c r="B44" i="4" s="1"/>
  <c r="G65" i="1"/>
  <c r="D18" i="4"/>
  <c r="G36" i="1"/>
  <c r="G66" i="1"/>
  <c r="G54" i="1"/>
  <c r="G87" i="1"/>
  <c r="G51" i="1"/>
  <c r="D66" i="4"/>
  <c r="D28" i="4"/>
  <c r="B56" i="23"/>
  <c r="B56" i="4" s="1"/>
  <c r="D68" i="4"/>
  <c r="B50" i="23"/>
  <c r="B50" i="4" s="1"/>
  <c r="E62" i="4" s="1"/>
  <c r="D25" i="4"/>
  <c r="J60" i="23"/>
  <c r="B47" i="23"/>
  <c r="B47" i="4" s="1"/>
  <c r="D76" i="4"/>
  <c r="D71" i="4"/>
  <c r="B43" i="23"/>
  <c r="B43" i="4" s="1"/>
  <c r="D43" i="4" s="1"/>
  <c r="N22" i="12"/>
  <c r="D78" i="4"/>
  <c r="B45" i="23"/>
  <c r="B45" i="4" s="1"/>
  <c r="J58" i="23"/>
  <c r="J61" i="23"/>
  <c r="N20" i="12"/>
  <c r="D16" i="4"/>
  <c r="N24" i="12"/>
  <c r="N25" i="12"/>
  <c r="B46" i="23"/>
  <c r="B46" i="4" s="1"/>
  <c r="J52" i="23"/>
  <c r="B52" i="23"/>
  <c r="B52" i="4" s="1"/>
  <c r="D53" i="4" s="1"/>
  <c r="B57" i="23"/>
  <c r="B57" i="4" s="1"/>
  <c r="D14" i="4"/>
  <c r="D61" i="4"/>
  <c r="D69" i="4"/>
  <c r="J62" i="23"/>
  <c r="B55" i="23"/>
  <c r="B55" i="4" s="1"/>
  <c r="D64" i="4"/>
  <c r="AM48" i="23"/>
  <c r="N21" i="12"/>
  <c r="J59" i="23"/>
  <c r="B59" i="23"/>
  <c r="B59" i="4" s="1"/>
  <c r="D60" i="4" s="1"/>
  <c r="D63" i="4"/>
  <c r="D40" i="4"/>
  <c r="E38" i="4"/>
  <c r="D36" i="4"/>
  <c r="D39" i="4"/>
  <c r="D41" i="4"/>
  <c r="D85" i="4"/>
  <c r="D86" i="4"/>
  <c r="D8" i="4"/>
  <c r="B49" i="23"/>
  <c r="B49" i="4" s="1"/>
  <c r="D67" i="4"/>
  <c r="B51" i="23"/>
  <c r="B51" i="4" s="1"/>
  <c r="D77" i="4"/>
  <c r="D79" i="4"/>
  <c r="D80" i="4"/>
  <c r="D81" i="4"/>
  <c r="D82" i="4"/>
  <c r="D10" i="4"/>
  <c r="D11" i="4"/>
  <c r="D74" i="4"/>
  <c r="D75" i="4"/>
  <c r="D32" i="4"/>
  <c r="D33" i="4"/>
  <c r="D62" i="4"/>
  <c r="D65" i="4"/>
  <c r="D21" i="4"/>
  <c r="D45" i="4" l="1"/>
  <c r="D56" i="4"/>
  <c r="E50" i="4"/>
  <c r="D57" i="4"/>
  <c r="D51" i="4"/>
  <c r="D44" i="4"/>
  <c r="D46" i="4"/>
  <c r="D55" i="4"/>
  <c r="D47" i="4"/>
  <c r="D58" i="4"/>
  <c r="D59" i="4"/>
  <c r="J48" i="23"/>
  <c r="B48" i="23"/>
  <c r="B48" i="4" s="1"/>
  <c r="D48" i="4" s="1"/>
  <c r="D50" i="4"/>
  <c r="D52" i="4"/>
  <c r="D49" i="4" l="1"/>
  <c r="S123" i="9" l="1"/>
  <c r="AM128" i="23" s="1"/>
  <c r="J128" i="23" l="1"/>
  <c r="T123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<sst xmlns="http://schemas.openxmlformats.org/spreadsheetml/2006/main" count="514" uniqueCount="200">
  <si>
    <t>Date</t>
  </si>
  <si>
    <t>$$$</t>
  </si>
  <si>
    <t>Ret %</t>
  </si>
  <si>
    <t>Ret $$</t>
  </si>
  <si>
    <t>Contribution +/-</t>
  </si>
  <si>
    <t>Total AUM</t>
  </si>
  <si>
    <t>SILVX</t>
  </si>
  <si>
    <t>Monthly Add</t>
  </si>
  <si>
    <t>#Accts</t>
  </si>
  <si>
    <t>Net of SILVX</t>
  </si>
  <si>
    <t>Total</t>
  </si>
  <si>
    <t>Cons. Low Vol</t>
  </si>
  <si>
    <t>SILVX Nav</t>
  </si>
  <si>
    <t xml:space="preserve"> </t>
  </si>
  <si>
    <t>2/29/16 - BHI Senior Living (26761461, $1,350,000) &amp; French Capital Investors (46872499, $500,000) came online</t>
  </si>
  <si>
    <t>4/15 - (4417-5471) Leonardo Locascio Living Trust added from Schwab Managed account</t>
  </si>
  <si>
    <t>SCLVX NAV</t>
  </si>
  <si>
    <t>LVOLX</t>
  </si>
  <si>
    <t>SCLVX</t>
  </si>
  <si>
    <t>LVSMX</t>
  </si>
  <si>
    <t>3 new accounts added to Stifel in May - (4254-7037 - Sisters of St. Benedict - $250k), (5730-4051 - St. Paul Hermitage LLC - $250k), (1557-7167 - Howell Joint Account - $300k). 1 account added to Schwab SMA (6623-7513 - Walter M. Miller Roth IRA -  $500k)</t>
  </si>
  <si>
    <t>Submitted request to Schwab on 5/31 to remove 35 accounts from 0833-7669 PCRA Master, due to zero balance and no activity in account for over 6 months since withdrawal.</t>
  </si>
  <si>
    <t>1 new Stifel account (7911-4916 - Tony Cercy Trust - $250k) added 7/11</t>
  </si>
  <si>
    <t>(3205-6582) Simon-Skjodt</t>
  </si>
  <si>
    <t>(1557-7167) James Howell</t>
  </si>
  <si>
    <t>(7911-4916) Tony Cercy</t>
  </si>
  <si>
    <t>Phil Adams left TFA and took 35 accounts with him, creating the lower number of accounts.</t>
  </si>
  <si>
    <t>Total Taxable</t>
  </si>
  <si>
    <t>Total Exempt</t>
  </si>
  <si>
    <t>Quarterly Database Info - Don't Erase</t>
  </si>
  <si>
    <t>DWUGX</t>
  </si>
  <si>
    <t>Net of SGI Funds</t>
  </si>
  <si>
    <t>$7MM added in August</t>
  </si>
  <si>
    <t>Termed relationship in September 2017, as LACERA fired Northern Trust as manager.</t>
  </si>
  <si>
    <t xml:space="preserve">LoCascio account sold 6 position 10/30/17 generated larger than normal cash balance. </t>
  </si>
  <si>
    <t>DWUGX became SGLIX</t>
  </si>
  <si>
    <t>Lost Some of Gallaway Financial Accounts</t>
  </si>
  <si>
    <t>Fidelity</t>
  </si>
  <si>
    <t>AUM 1/1</t>
  </si>
  <si>
    <t>AUM 12/31</t>
  </si>
  <si>
    <t>Accts 1/1</t>
  </si>
  <si>
    <t>Accts 12/31</t>
  </si>
  <si>
    <t>% AUM</t>
  </si>
  <si>
    <t>% Accts</t>
  </si>
  <si>
    <t>Schwab PCRA</t>
  </si>
  <si>
    <t>TFA LVE</t>
  </si>
  <si>
    <t>Average / Mo (after Ret Cont)</t>
  </si>
  <si>
    <t>TFA Cons</t>
  </si>
  <si>
    <t>Schwab Non PCRA</t>
  </si>
  <si>
    <t>TDA</t>
  </si>
  <si>
    <t>Other SMA</t>
  </si>
  <si>
    <t>LACERA</t>
  </si>
  <si>
    <t>Cline Group</t>
  </si>
  <si>
    <t>20*</t>
  </si>
  <si>
    <t>5*</t>
  </si>
  <si>
    <t>Return Year</t>
  </si>
  <si>
    <t>SGLIX</t>
  </si>
  <si>
    <t>SGLIX NAV</t>
  </si>
  <si>
    <t>Schwab</t>
  </si>
  <si>
    <t>Prudential</t>
  </si>
  <si>
    <t>Stifel</t>
  </si>
  <si>
    <t>Cline</t>
  </si>
  <si>
    <t>Holiday Oil</t>
  </si>
  <si>
    <t>TFA USLV</t>
  </si>
  <si>
    <t>TFA CLV</t>
  </si>
  <si>
    <t>UNC LC</t>
  </si>
  <si>
    <t>UNC SC</t>
  </si>
  <si>
    <t>Folio</t>
  </si>
  <si>
    <t>Other</t>
  </si>
  <si>
    <t>Accts</t>
  </si>
  <si>
    <t>RCL</t>
  </si>
  <si>
    <t>Total Accts</t>
  </si>
  <si>
    <t>Ret +/-</t>
  </si>
  <si>
    <t>MTD +/-</t>
  </si>
  <si>
    <t>YTD +/-</t>
  </si>
  <si>
    <t>Lost LACERA in Sept 2017 account due to Northern Trust</t>
  </si>
  <si>
    <t>(4417-5471) Locascio</t>
  </si>
  <si>
    <t>(6623-7513) Miller</t>
  </si>
  <si>
    <t>(5730-4051) St. Paul Herm</t>
  </si>
  <si>
    <t>(4687-2499) French Cap Inv</t>
  </si>
  <si>
    <t>(4254-7037) Sis of St. Benedict</t>
  </si>
  <si>
    <t>(2676-1461) BHI Senior</t>
  </si>
  <si>
    <t>US Low Vol</t>
  </si>
  <si>
    <t>(Self-Directed Account)</t>
  </si>
  <si>
    <t>James Howell account left</t>
  </si>
  <si>
    <t>SC Low Vol (SCLVX)</t>
  </si>
  <si>
    <t>Avg. Assets</t>
  </si>
  <si>
    <t>Small Cap Avg.</t>
  </si>
  <si>
    <t>Large Cap Avg. Assets</t>
  </si>
  <si>
    <t>Brought on two SGI IAR's</t>
  </si>
  <si>
    <t>NC State</t>
  </si>
  <si>
    <t>5/24/18 - pulled $15,875 for Q1 &amp; Q2</t>
  </si>
  <si>
    <t>8/3/18 - pulled $11,626 for Q3</t>
  </si>
  <si>
    <t>10/9/18 - pulled $11,626 for Q4</t>
  </si>
  <si>
    <t>Asbestos Workers</t>
  </si>
  <si>
    <t>2019.04.24 - $37,500 distribution</t>
  </si>
  <si>
    <t>2017.06.01 - $10M deposit</t>
  </si>
  <si>
    <t>2017.08.25 - $5M deposit</t>
  </si>
  <si>
    <t>2019.05.24 - withdrew $5M</t>
  </si>
  <si>
    <t>2019.05.06 - French Cap Inv withdrew $250k</t>
  </si>
  <si>
    <t>2019.05.22 - $75,000 distribution</t>
  </si>
  <si>
    <t>2019.06.24 - $25,000 distribution</t>
  </si>
  <si>
    <t>Cash in SC LV</t>
  </si>
  <si>
    <t>2019.03.25 - $29,166.66 distribution</t>
  </si>
  <si>
    <t>2019.02.25 - $75k distribution</t>
  </si>
  <si>
    <t>2019.07.23 - $41,666.66 distribution</t>
  </si>
  <si>
    <t>2019.08.21 - $29,166.66 distribution</t>
  </si>
  <si>
    <t>FUND ARCHITECTS CONSERVATIVE GLOBAL ETF</t>
  </si>
  <si>
    <t>FUND ARCHITECTS GLOBAL ETF</t>
  </si>
  <si>
    <t>Vanguard</t>
  </si>
  <si>
    <t>2019.10.22 - withdrew $2M, 2019.10.31 - withdrew $1.5M</t>
  </si>
  <si>
    <t>2019.10.11 - deposited $10M</t>
  </si>
  <si>
    <t>Withdrew $10M</t>
  </si>
  <si>
    <t>Cash in GLV</t>
  </si>
  <si>
    <t>Global Low Vol (SGLIX)</t>
  </si>
  <si>
    <t>SGI TACTICAL UNCONSTRAINED GROWTH (TUG)</t>
  </si>
  <si>
    <t>Fund Architects Conservative went to our CLV strategy, Fund Architects Global went into SGLIX</t>
  </si>
  <si>
    <t>2019.11.21 - $70,833.34 distribution</t>
  </si>
  <si>
    <t>2019.09.20 - $66,666.66 distribution</t>
  </si>
  <si>
    <t>2019.11.04 - withdrew $2M, 2019.11.15 - withdrew $1.5M</t>
  </si>
  <si>
    <t>2019.12.02 - withdrew $1M</t>
  </si>
  <si>
    <t>2019.12.20 - $166,666.66 distribution</t>
  </si>
  <si>
    <t>2020.02.10 - French Cap Inv withdrew $125k, 2020.02.14 - St Benedict deposited $295k</t>
  </si>
  <si>
    <t>TUG</t>
  </si>
  <si>
    <t>SGPKX</t>
  </si>
  <si>
    <t>SGPGX</t>
  </si>
  <si>
    <t>SGCIX</t>
  </si>
  <si>
    <t>Total FoF</t>
  </si>
  <si>
    <t>Total SGI Funds</t>
  </si>
  <si>
    <t>Funds of Funds</t>
  </si>
  <si>
    <t>2020.08.14 - 66237513 transferred out $75k</t>
  </si>
  <si>
    <t>2020.10.22 - French Cap withdrew $150k</t>
  </si>
  <si>
    <t>SGI Timpanogos Fund</t>
  </si>
  <si>
    <t>Timpanogos</t>
  </si>
  <si>
    <t>2021.01.21 - French Cap requested to liquidate account and discontinue management</t>
  </si>
  <si>
    <t>BOGIX</t>
  </si>
  <si>
    <t>Large Cap</t>
  </si>
  <si>
    <t>Small Cap</t>
  </si>
  <si>
    <t>Global</t>
  </si>
  <si>
    <t>2021.05.06 - St Paul withdrew $300k, 2021.05.10 - Simon-Skjodt discontinued management</t>
  </si>
  <si>
    <t>SGI Diversified Tactical</t>
  </si>
  <si>
    <t>TFA Tactical</t>
  </si>
  <si>
    <t>Peak Growth</t>
  </si>
  <si>
    <t>Growth</t>
  </si>
  <si>
    <t>SGI Funds</t>
  </si>
  <si>
    <t>Prudent Growth</t>
  </si>
  <si>
    <t>Balanced</t>
  </si>
  <si>
    <t>Conservative Balanced</t>
  </si>
  <si>
    <t>Conservative</t>
  </si>
  <si>
    <t>Net of SGI</t>
  </si>
  <si>
    <t>2021.11.16 - 66237513 liquidated $100k</t>
  </si>
  <si>
    <t>Empower</t>
  </si>
  <si>
    <t>AA</t>
  </si>
  <si>
    <t>Interactive Brokers</t>
  </si>
  <si>
    <t>2022.08.10 - BHI Senior discontinued management</t>
  </si>
  <si>
    <t>10/4/22 - received notice that we are no longer managing the account</t>
  </si>
  <si>
    <t>Stock Overlay</t>
  </si>
  <si>
    <t>130-30</t>
  </si>
  <si>
    <t>Top 50</t>
  </si>
  <si>
    <t>2023.01.25 - withdrew $7M</t>
  </si>
  <si>
    <t>2023.01.18 - 57304051 transferred to 57589043</t>
  </si>
  <si>
    <t>(5758-9043) Sis of St. Benedict</t>
  </si>
  <si>
    <t>DYTA</t>
  </si>
  <si>
    <t>SGLC</t>
  </si>
  <si>
    <t>Global Income</t>
  </si>
  <si>
    <t>Large Cap Core</t>
  </si>
  <si>
    <t>2023.05.04 - 42547037 and 57589043 discontinued management</t>
  </si>
  <si>
    <t>Total Net SGI Funds</t>
  </si>
  <si>
    <t>2024.01.02 - 79114916 discontinued management</t>
  </si>
  <si>
    <t>Options</t>
  </si>
  <si>
    <t>ePlan</t>
  </si>
  <si>
    <t>GS-Folio</t>
  </si>
  <si>
    <t>GPB Capital</t>
  </si>
  <si>
    <t>GINX</t>
  </si>
  <si>
    <t>USDX</t>
  </si>
  <si>
    <t>Betterment</t>
  </si>
  <si>
    <t>QXQ</t>
  </si>
  <si>
    <t>Cash Mgmt/USDX</t>
  </si>
  <si>
    <t>44175471 moved to direct to SGI</t>
  </si>
  <si>
    <t>Misc</t>
  </si>
  <si>
    <t>American Funds</t>
  </si>
  <si>
    <t>Empower 401k</t>
  </si>
  <si>
    <t>Human Interest</t>
  </si>
  <si>
    <t>Paychex</t>
  </si>
  <si>
    <t>Transamerica401k</t>
  </si>
  <si>
    <t>Ascensus</t>
  </si>
  <si>
    <t>Nationwide</t>
  </si>
  <si>
    <t>Matrix/Mid-Atlantic</t>
  </si>
  <si>
    <t>TIAA</t>
  </si>
  <si>
    <t>Fidelity Workplace Investing</t>
  </si>
  <si>
    <t>2024-06-12 - UNC withdrew $60M</t>
  </si>
  <si>
    <t/>
  </si>
  <si>
    <t>received request to doscontinue management of UNC SC, 2023-06-12 - UNC LC withdrew $25mm</t>
  </si>
  <si>
    <t>UNC</t>
  </si>
  <si>
    <t>Asbestos</t>
  </si>
  <si>
    <t>TFA</t>
  </si>
  <si>
    <t>LDRX</t>
  </si>
  <si>
    <t>Schwab LC</t>
  </si>
  <si>
    <t>Betterment 401k</t>
  </si>
  <si>
    <t>Jackson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</si>
</sst>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0.000%"/>
    <numFmt numFmtId="166" formatCode="[$-409]d\-mmm\-yy;@"/>
    <numFmt numFmtId="167" formatCode="0.0%"/>
    <numFmt numFmtId="168" formatCode="_(* #,##0_);_(* \(#,##0\);_(* &quot;-&quot;??_);_(@_)"/>
    <numFmt numFmtId="169" formatCode="_([$$-409]* #,##0.00_);_([$$-409]* \(#,##0.00\);_([$$-409]* &quot;-&quot;??_);_(@_)"/>
    <numFmt numFmtId="170" formatCode="#,##0.00#"/>
    <numFmt numFmtId="171" formatCode="&quot;$&quot;#,##0.00"/>
  </numFmts>
  <fonts count="4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sz val="12"/>
      <color theme="6"/>
      <name val="Calibri"/>
      <family val="2"/>
      <scheme val="minor"/>
    </font>
    <font>
      <sz val="12"/>
      <color theme="5"/>
      <name val="Calibri"/>
      <family val="2"/>
      <scheme val="minor"/>
    </font>
    <font>
      <sz val="12"/>
      <color theme="6" tint="-0.249977111117893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2"/>
      <color theme="6" tint="-0.249977111117893"/>
      <name val="Calibri"/>
      <family val="2"/>
      <scheme val="minor"/>
    </font>
    <font>
      <b/>
      <sz val="12"/>
      <color theme="7" tint="-0.249977111117893"/>
      <name val="Calibri"/>
      <family val="2"/>
      <scheme val="minor"/>
    </font>
    <font>
      <sz val="12"/>
      <color theme="7" tint="-0.249977111117893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color indexed="8"/>
      <name val="Trebuchet MS"/>
      <family val="2"/>
    </font>
    <font>
      <b/>
      <sz val="12"/>
      <color theme="6" tint="-0.249977111117893"/>
      <name val="_x0009_"/>
    </font>
    <font>
      <b/>
      <sz val="12"/>
      <color theme="0" tint="-0.34998626667073579"/>
      <name val="Calibri"/>
      <family val="2"/>
      <scheme val="minor"/>
    </font>
    <font>
      <b/>
      <sz val="12"/>
      <color theme="0" tint="-0.34998626667073579"/>
      <name val="_x0009_"/>
    </font>
    <font>
      <sz val="12"/>
      <color theme="0" tint="-0.34998626667073579"/>
      <name val="Calibri"/>
      <family val="2"/>
      <scheme val="minor"/>
    </font>
    <font>
      <sz val="11"/>
      <name val="Trebuchet MS"/>
      <family val="2"/>
    </font>
    <font>
      <b/>
      <sz val="12"/>
      <color theme="8" tint="-0.249977111117893"/>
      <name val="Calibri"/>
      <family val="2"/>
      <scheme val="minor"/>
    </font>
    <font>
      <sz val="12"/>
      <color theme="8" tint="-0.249977111117893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069">
    <xf numFmtId="0" fontId="0" fillId="0" borderId="0"/>
    <xf numFmtId="4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13">
    <xf numFmtId="0" fontId="0" fillId="0" borderId="0" xfId="0"/>
    <xf numFmtId="16" fontId="0" fillId="0" borderId="0" xfId="0" applyNumberFormat="1"/>
    <xf numFmtId="44" fontId="0" fillId="0" borderId="0" xfId="1" applyFont="1"/>
    <xf numFmtId="0" fontId="5" fillId="0" borderId="0" xfId="0" applyFont="1" applyAlignment="1">
      <alignment horizontal="center"/>
    </xf>
    <xf numFmtId="44" fontId="5" fillId="0" borderId="0" xfId="1" applyFont="1" applyAlignment="1">
      <alignment horizontal="center"/>
    </xf>
    <xf numFmtId="10" fontId="0" fillId="0" borderId="0" xfId="0" applyNumberFormat="1"/>
    <xf numFmtId="44" fontId="0" fillId="0" borderId="0" xfId="0" applyNumberFormat="1"/>
    <xf numFmtId="44" fontId="5" fillId="0" borderId="0" xfId="1" applyFont="1"/>
    <xf numFmtId="44" fontId="5" fillId="0" borderId="0" xfId="0" applyNumberFormat="1" applyFont="1"/>
    <xf numFmtId="0" fontId="5" fillId="0" borderId="0" xfId="0" applyFont="1"/>
    <xf numFmtId="9" fontId="0" fillId="0" borderId="0" xfId="0" applyNumberFormat="1"/>
    <xf numFmtId="10" fontId="0" fillId="0" borderId="0" xfId="320" applyNumberFormat="1" applyFont="1"/>
    <xf numFmtId="0" fontId="5" fillId="0" borderId="0" xfId="1" applyNumberFormat="1" applyFont="1" applyAlignment="1">
      <alignment horizontal="center"/>
    </xf>
    <xf numFmtId="16" fontId="5" fillId="0" borderId="0" xfId="0" applyNumberFormat="1" applyFont="1"/>
    <xf numFmtId="8" fontId="0" fillId="0" borderId="0" xfId="0" applyNumberFormat="1"/>
    <xf numFmtId="0" fontId="0" fillId="0" borderId="0" xfId="0" applyAlignment="1">
      <alignment horizontal="center"/>
    </xf>
    <xf numFmtId="9" fontId="0" fillId="0" borderId="0" xfId="320" applyFont="1"/>
    <xf numFmtId="44" fontId="8" fillId="0" borderId="0" xfId="0" applyNumberFormat="1" applyFont="1" applyAlignment="1">
      <alignment horizontal="center"/>
    </xf>
    <xf numFmtId="8" fontId="9" fillId="0" borderId="0" xfId="0" applyNumberFormat="1" applyFont="1"/>
    <xf numFmtId="0" fontId="9" fillId="0" borderId="0" xfId="0" applyFont="1"/>
    <xf numFmtId="0" fontId="6" fillId="0" borderId="0" xfId="4934"/>
    <xf numFmtId="0" fontId="10" fillId="0" borderId="0" xfId="0" applyFont="1"/>
    <xf numFmtId="165" fontId="0" fillId="0" borderId="0" xfId="320" applyNumberFormat="1" applyFont="1"/>
    <xf numFmtId="164" fontId="0" fillId="0" borderId="0" xfId="0" applyNumberFormat="1"/>
    <xf numFmtId="0" fontId="0" fillId="0" borderId="0" xfId="0" applyAlignment="1">
      <alignment horizontal="right"/>
    </xf>
    <xf numFmtId="44" fontId="12" fillId="0" borderId="0" xfId="1" applyFont="1"/>
    <xf numFmtId="44" fontId="12" fillId="0" borderId="0" xfId="1" applyFont="1" applyAlignment="1">
      <alignment horizontal="center"/>
    </xf>
    <xf numFmtId="44" fontId="12" fillId="0" borderId="0" xfId="0" applyNumberFormat="1" applyFont="1"/>
    <xf numFmtId="44" fontId="13" fillId="0" borderId="0" xfId="1" applyFont="1" applyAlignment="1">
      <alignment horizontal="center"/>
    </xf>
    <xf numFmtId="164" fontId="12" fillId="0" borderId="0" xfId="0" applyNumberFormat="1" applyFont="1"/>
    <xf numFmtId="0" fontId="13" fillId="0" borderId="0" xfId="1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0" fillId="0" borderId="0" xfId="0" applyNumberFormat="1"/>
    <xf numFmtId="164" fontId="13" fillId="0" borderId="0" xfId="1" applyNumberFormat="1" applyFont="1" applyAlignment="1">
      <alignment horizontal="center"/>
    </xf>
    <xf numFmtId="164" fontId="12" fillId="0" borderId="0" xfId="1" applyNumberFormat="1" applyFont="1"/>
    <xf numFmtId="17" fontId="5" fillId="0" borderId="0" xfId="0" applyNumberFormat="1" applyFont="1"/>
    <xf numFmtId="44" fontId="1" fillId="0" borderId="0" xfId="1" applyFont="1" applyAlignment="1">
      <alignment horizontal="center"/>
    </xf>
    <xf numFmtId="0" fontId="12" fillId="0" borderId="0" xfId="0" applyFont="1" applyAlignment="1">
      <alignment horizontal="center"/>
    </xf>
    <xf numFmtId="166" fontId="5" fillId="0" borderId="0" xfId="0" applyNumberFormat="1" applyFont="1"/>
    <xf numFmtId="166" fontId="5" fillId="0" borderId="0" xfId="1" applyNumberFormat="1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44" fontId="18" fillId="0" borderId="0" xfId="0" applyNumberFormat="1" applyFont="1"/>
    <xf numFmtId="0" fontId="19" fillId="0" borderId="0" xfId="0" applyFont="1"/>
    <xf numFmtId="44" fontId="19" fillId="0" borderId="0" xfId="1" applyFont="1"/>
    <xf numFmtId="167" fontId="0" fillId="0" borderId="0" xfId="320" applyNumberFormat="1" applyFont="1"/>
    <xf numFmtId="0" fontId="20" fillId="0" borderId="0" xfId="0" applyFont="1"/>
    <xf numFmtId="0" fontId="14" fillId="0" borderId="0" xfId="0" applyFont="1"/>
    <xf numFmtId="0" fontId="0" fillId="2" borderId="4" xfId="0" applyFill="1" applyBorder="1"/>
    <xf numFmtId="44" fontId="15" fillId="2" borderId="5" xfId="0" applyNumberFormat="1" applyFont="1" applyFill="1" applyBorder="1"/>
    <xf numFmtId="44" fontId="14" fillId="0" borderId="0" xfId="0" applyNumberFormat="1" applyFont="1"/>
    <xf numFmtId="166" fontId="5" fillId="0" borderId="0" xfId="0" applyNumberFormat="1" applyFont="1" applyAlignment="1">
      <alignment horizontal="center"/>
    </xf>
    <xf numFmtId="166" fontId="0" fillId="0" borderId="0" xfId="0" applyNumberFormat="1"/>
    <xf numFmtId="166" fontId="0" fillId="0" borderId="0" xfId="1" applyNumberFormat="1" applyFont="1"/>
    <xf numFmtId="166" fontId="5" fillId="0" borderId="0" xfId="1" applyNumberFormat="1" applyFont="1" applyAlignment="1">
      <alignment horizontal="center"/>
    </xf>
    <xf numFmtId="166" fontId="5" fillId="0" borderId="0" xfId="0" applyNumberFormat="1" applyFont="1" applyAlignment="1">
      <alignment horizontal="right"/>
    </xf>
    <xf numFmtId="166" fontId="0" fillId="0" borderId="0" xfId="0" applyNumberFormat="1" applyAlignment="1">
      <alignment horizontal="right"/>
    </xf>
    <xf numFmtId="43" fontId="0" fillId="0" borderId="0" xfId="1734" applyFont="1"/>
    <xf numFmtId="0" fontId="21" fillId="3" borderId="0" xfId="0" applyFont="1" applyFill="1"/>
    <xf numFmtId="0" fontId="21" fillId="4" borderId="0" xfId="0" applyFont="1" applyFill="1"/>
    <xf numFmtId="168" fontId="0" fillId="0" borderId="0" xfId="1734" applyNumberFormat="1" applyFont="1"/>
    <xf numFmtId="168" fontId="0" fillId="0" borderId="0" xfId="0" applyNumberFormat="1"/>
    <xf numFmtId="44" fontId="19" fillId="0" borderId="0" xfId="1" applyFont="1" applyAlignment="1">
      <alignment horizontal="right"/>
    </xf>
    <xf numFmtId="0" fontId="22" fillId="0" borderId="0" xfId="0" applyFont="1"/>
    <xf numFmtId="44" fontId="22" fillId="0" borderId="0" xfId="1" applyFont="1"/>
    <xf numFmtId="0" fontId="23" fillId="0" borderId="0" xfId="0" applyFont="1"/>
    <xf numFmtId="44" fontId="23" fillId="0" borderId="0" xfId="1" applyFont="1"/>
    <xf numFmtId="44" fontId="16" fillId="0" borderId="0" xfId="1" applyFont="1"/>
    <xf numFmtId="44" fontId="15" fillId="0" borderId="0" xfId="0" applyNumberFormat="1" applyFont="1"/>
    <xf numFmtId="44" fontId="20" fillId="0" borderId="0" xfId="0" applyNumberFormat="1" applyFont="1"/>
    <xf numFmtId="44" fontId="17" fillId="0" borderId="0" xfId="0" applyNumberFormat="1" applyFont="1"/>
    <xf numFmtId="0" fontId="24" fillId="0" borderId="0" xfId="0" applyFont="1"/>
    <xf numFmtId="44" fontId="24" fillId="0" borderId="0" xfId="1" applyFont="1"/>
    <xf numFmtId="0" fontId="25" fillId="0" borderId="0" xfId="0" applyFont="1"/>
    <xf numFmtId="44" fontId="25" fillId="0" borderId="0" xfId="1" applyFont="1"/>
    <xf numFmtId="44" fontId="25" fillId="0" borderId="0" xfId="0" applyNumberFormat="1" applyFont="1"/>
    <xf numFmtId="0" fontId="26" fillId="0" borderId="0" xfId="0" applyFont="1"/>
    <xf numFmtId="44" fontId="26" fillId="0" borderId="0" xfId="1" applyFont="1"/>
    <xf numFmtId="0" fontId="27" fillId="0" borderId="0" xfId="0" applyFont="1"/>
    <xf numFmtId="44" fontId="27" fillId="0" borderId="0" xfId="0" applyNumberFormat="1" applyFont="1"/>
    <xf numFmtId="0" fontId="26" fillId="5" borderId="0" xfId="0" applyFont="1" applyFill="1"/>
    <xf numFmtId="44" fontId="26" fillId="5" borderId="0" xfId="1" applyFont="1" applyFill="1"/>
    <xf numFmtId="0" fontId="27" fillId="5" borderId="0" xfId="0" applyFont="1" applyFill="1"/>
    <xf numFmtId="1" fontId="5" fillId="0" borderId="0" xfId="1" applyNumberFormat="1" applyFont="1"/>
    <xf numFmtId="1" fontId="0" fillId="0" borderId="0" xfId="0" applyNumberFormat="1"/>
    <xf numFmtId="0" fontId="13" fillId="0" borderId="0" xfId="0" applyFont="1"/>
    <xf numFmtId="0" fontId="12" fillId="0" borderId="0" xfId="0" applyFont="1"/>
    <xf numFmtId="0" fontId="13" fillId="0" borderId="0" xfId="0" applyFont="1" applyAlignment="1">
      <alignment horizontal="center"/>
    </xf>
    <xf numFmtId="1" fontId="0" fillId="0" borderId="0" xfId="1" applyNumberFormat="1" applyFont="1"/>
    <xf numFmtId="0" fontId="28" fillId="0" borderId="0" xfId="0" applyFont="1" applyAlignment="1">
      <alignment horizontal="center"/>
    </xf>
    <xf numFmtId="1" fontId="15" fillId="0" borderId="0" xfId="0" applyNumberFormat="1" applyFont="1"/>
    <xf numFmtId="1" fontId="17" fillId="0" borderId="0" xfId="0" applyNumberFormat="1" applyFont="1"/>
    <xf numFmtId="1" fontId="20" fillId="0" borderId="0" xfId="0" applyNumberFormat="1" applyFont="1"/>
    <xf numFmtId="0" fontId="25" fillId="0" borderId="0" xfId="1" applyNumberFormat="1" applyFont="1"/>
    <xf numFmtId="0" fontId="0" fillId="0" borderId="0" xfId="1" applyNumberFormat="1" applyFont="1"/>
    <xf numFmtId="0" fontId="22" fillId="0" borderId="0" xfId="1" applyNumberFormat="1" applyFont="1"/>
    <xf numFmtId="0" fontId="16" fillId="0" borderId="0" xfId="1" applyNumberFormat="1" applyFont="1"/>
    <xf numFmtId="0" fontId="23" fillId="0" borderId="0" xfId="1" applyNumberFormat="1" applyFont="1"/>
    <xf numFmtId="0" fontId="24" fillId="0" borderId="0" xfId="1" applyNumberFormat="1" applyFont="1"/>
    <xf numFmtId="0" fontId="26" fillId="0" borderId="0" xfId="1" applyNumberFormat="1" applyFont="1"/>
    <xf numFmtId="1" fontId="5" fillId="0" borderId="0" xfId="0" applyNumberFormat="1" applyFont="1" applyAlignment="1">
      <alignment horizontal="center"/>
    </xf>
    <xf numFmtId="0" fontId="0" fillId="6" borderId="6" xfId="0" applyFill="1" applyBorder="1"/>
    <xf numFmtId="0" fontId="5" fillId="6" borderId="7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44" fontId="0" fillId="6" borderId="1" xfId="0" applyNumberFormat="1" applyFill="1" applyBorder="1"/>
    <xf numFmtId="0" fontId="0" fillId="6" borderId="1" xfId="0" applyFill="1" applyBorder="1"/>
    <xf numFmtId="0" fontId="0" fillId="6" borderId="8" xfId="0" applyFill="1" applyBorder="1"/>
    <xf numFmtId="0" fontId="0" fillId="6" borderId="9" xfId="0" applyFill="1" applyBorder="1"/>
    <xf numFmtId="0" fontId="0" fillId="6" borderId="10" xfId="0" applyFill="1" applyBorder="1"/>
    <xf numFmtId="0" fontId="29" fillId="6" borderId="6" xfId="0" applyFont="1" applyFill="1" applyBorder="1" applyAlignment="1">
      <alignment horizontal="center"/>
    </xf>
    <xf numFmtId="0" fontId="29" fillId="6" borderId="7" xfId="0" applyFont="1" applyFill="1" applyBorder="1" applyAlignment="1">
      <alignment horizontal="center"/>
    </xf>
    <xf numFmtId="168" fontId="0" fillId="6" borderId="1" xfId="1734" applyNumberFormat="1" applyFont="1" applyFill="1" applyBorder="1"/>
    <xf numFmtId="168" fontId="0" fillId="6" borderId="10" xfId="1734" applyNumberFormat="1" applyFont="1" applyFill="1" applyBorder="1"/>
    <xf numFmtId="0" fontId="29" fillId="6" borderId="7" xfId="0" applyFont="1" applyFill="1" applyBorder="1" applyAlignment="1">
      <alignment horizontal="right"/>
    </xf>
    <xf numFmtId="1" fontId="23" fillId="0" borderId="0" xfId="1" applyNumberFormat="1" applyFont="1"/>
    <xf numFmtId="166" fontId="5" fillId="7" borderId="0" xfId="0" applyNumberFormat="1" applyFont="1" applyFill="1"/>
    <xf numFmtId="44" fontId="5" fillId="7" borderId="0" xfId="1" applyFont="1" applyFill="1"/>
    <xf numFmtId="1" fontId="5" fillId="7" borderId="0" xfId="1" applyNumberFormat="1" applyFont="1" applyFill="1"/>
    <xf numFmtId="44" fontId="22" fillId="7" borderId="0" xfId="1" applyFont="1" applyFill="1"/>
    <xf numFmtId="0" fontId="22" fillId="7" borderId="0" xfId="1" applyNumberFormat="1" applyFont="1" applyFill="1"/>
    <xf numFmtId="44" fontId="16" fillId="7" borderId="0" xfId="1" applyFont="1" applyFill="1"/>
    <xf numFmtId="0" fontId="16" fillId="7" borderId="0" xfId="1" applyNumberFormat="1" applyFont="1" applyFill="1"/>
    <xf numFmtId="44" fontId="23" fillId="7" borderId="0" xfId="1" applyFont="1" applyFill="1"/>
    <xf numFmtId="0" fontId="23" fillId="7" borderId="0" xfId="1" applyNumberFormat="1" applyFont="1" applyFill="1"/>
    <xf numFmtId="44" fontId="24" fillId="7" borderId="0" xfId="1" applyFont="1" applyFill="1"/>
    <xf numFmtId="0" fontId="24" fillId="7" borderId="0" xfId="1" applyNumberFormat="1" applyFont="1" applyFill="1"/>
    <xf numFmtId="44" fontId="26" fillId="7" borderId="0" xfId="1" applyFont="1" applyFill="1"/>
    <xf numFmtId="0" fontId="26" fillId="7" borderId="0" xfId="1" applyNumberFormat="1" applyFont="1" applyFill="1"/>
    <xf numFmtId="44" fontId="15" fillId="7" borderId="0" xfId="0" applyNumberFormat="1" applyFont="1" applyFill="1"/>
    <xf numFmtId="1" fontId="15" fillId="7" borderId="0" xfId="0" applyNumberFormat="1" applyFont="1" applyFill="1"/>
    <xf numFmtId="0" fontId="17" fillId="7" borderId="0" xfId="0" applyFont="1" applyFill="1"/>
    <xf numFmtId="1" fontId="17" fillId="7" borderId="0" xfId="0" applyNumberFormat="1" applyFont="1" applyFill="1"/>
    <xf numFmtId="0" fontId="20" fillId="7" borderId="0" xfId="0" applyFont="1" applyFill="1"/>
    <xf numFmtId="0" fontId="25" fillId="7" borderId="0" xfId="0" applyFont="1" applyFill="1"/>
    <xf numFmtId="44" fontId="25" fillId="7" borderId="0" xfId="1" applyFont="1" applyFill="1"/>
    <xf numFmtId="0" fontId="25" fillId="7" borderId="0" xfId="1" applyNumberFormat="1" applyFont="1" applyFill="1"/>
    <xf numFmtId="0" fontId="15" fillId="7" borderId="0" xfId="0" applyFont="1" applyFill="1"/>
    <xf numFmtId="44" fontId="27" fillId="7" borderId="0" xfId="0" applyNumberFormat="1" applyFont="1" applyFill="1"/>
    <xf numFmtId="0" fontId="27" fillId="7" borderId="0" xfId="0" applyFont="1" applyFill="1"/>
    <xf numFmtId="0" fontId="0" fillId="7" borderId="0" xfId="0" applyFill="1"/>
    <xf numFmtId="44" fontId="25" fillId="7" borderId="0" xfId="0" applyNumberFormat="1" applyFont="1" applyFill="1"/>
    <xf numFmtId="44" fontId="17" fillId="7" borderId="0" xfId="0" applyNumberFormat="1" applyFont="1" applyFill="1"/>
    <xf numFmtId="1" fontId="16" fillId="7" borderId="0" xfId="0" applyNumberFormat="1" applyFont="1" applyFill="1"/>
    <xf numFmtId="0" fontId="23" fillId="7" borderId="0" xfId="0" applyFont="1" applyFill="1"/>
    <xf numFmtId="1" fontId="23" fillId="7" borderId="0" xfId="0" applyNumberFormat="1" applyFont="1" applyFill="1"/>
    <xf numFmtId="0" fontId="5" fillId="7" borderId="0" xfId="0" applyFont="1" applyFill="1"/>
    <xf numFmtId="44" fontId="20" fillId="7" borderId="0" xfId="0" applyNumberFormat="1" applyFont="1" applyFill="1"/>
    <xf numFmtId="1" fontId="20" fillId="7" borderId="0" xfId="0" applyNumberFormat="1" applyFont="1" applyFill="1"/>
    <xf numFmtId="1" fontId="23" fillId="7" borderId="0" xfId="1" applyNumberFormat="1" applyFont="1" applyFill="1"/>
    <xf numFmtId="0" fontId="0" fillId="0" borderId="0" xfId="320" applyNumberFormat="1" applyFont="1"/>
    <xf numFmtId="44" fontId="0" fillId="0" borderId="0" xfId="1" applyFont="1" applyAlignment="1">
      <alignment horizontal="center"/>
    </xf>
    <xf numFmtId="170" fontId="30" fillId="0" borderId="0" xfId="0" applyNumberFormat="1" applyFont="1" applyAlignment="1">
      <alignment horizontal="right" vertical="center"/>
    </xf>
    <xf numFmtId="1" fontId="22" fillId="0" borderId="0" xfId="1" applyNumberFormat="1" applyFont="1"/>
    <xf numFmtId="1" fontId="22" fillId="7" borderId="0" xfId="1" applyNumberFormat="1" applyFont="1" applyFill="1"/>
    <xf numFmtId="0" fontId="28" fillId="0" borderId="0" xfId="0" applyFont="1" applyAlignment="1">
      <alignment vertical="top" wrapText="1"/>
    </xf>
    <xf numFmtId="1" fontId="27" fillId="0" borderId="0" xfId="0" applyNumberFormat="1" applyFont="1"/>
    <xf numFmtId="1" fontId="26" fillId="0" borderId="0" xfId="1" applyNumberFormat="1" applyFont="1"/>
    <xf numFmtId="0" fontId="31" fillId="0" borderId="0" xfId="0" applyFont="1"/>
    <xf numFmtId="0" fontId="0" fillId="0" borderId="8" xfId="0" applyBorder="1"/>
    <xf numFmtId="0" fontId="5" fillId="0" borderId="8" xfId="0" applyFont="1" applyBorder="1" applyAlignment="1">
      <alignment horizontal="center"/>
    </xf>
    <xf numFmtId="44" fontId="0" fillId="0" borderId="8" xfId="1" applyFont="1" applyBorder="1"/>
    <xf numFmtId="0" fontId="0" fillId="0" borderId="0" xfId="1" applyNumberFormat="1" applyFont="1" applyAlignment="1">
      <alignment horizontal="center"/>
    </xf>
    <xf numFmtId="0" fontId="5" fillId="0" borderId="8" xfId="1" applyNumberFormat="1" applyFont="1" applyBorder="1" applyAlignment="1">
      <alignment horizontal="center"/>
    </xf>
    <xf numFmtId="44" fontId="1" fillId="0" borderId="8" xfId="1" applyFont="1" applyBorder="1" applyAlignment="1">
      <alignment horizontal="center"/>
    </xf>
    <xf numFmtId="44" fontId="0" fillId="0" borderId="8" xfId="0" applyNumberFormat="1" applyBorder="1"/>
    <xf numFmtId="17" fontId="5" fillId="0" borderId="8" xfId="0" applyNumberFormat="1" applyFont="1" applyBorder="1"/>
    <xf numFmtId="164" fontId="0" fillId="0" borderId="8" xfId="0" applyNumberFormat="1" applyBorder="1"/>
    <xf numFmtId="0" fontId="13" fillId="0" borderId="0" xfId="1" applyNumberFormat="1" applyFont="1"/>
    <xf numFmtId="1" fontId="12" fillId="0" borderId="0" xfId="0" applyNumberFormat="1" applyFont="1"/>
    <xf numFmtId="1" fontId="16" fillId="0" borderId="0" xfId="1" applyNumberFormat="1" applyFont="1"/>
    <xf numFmtId="0" fontId="0" fillId="7" borderId="0" xfId="0" applyFill="1" applyAlignment="1">
      <alignment horizontal="center"/>
    </xf>
    <xf numFmtId="0" fontId="32" fillId="0" borderId="0" xfId="0" applyFont="1"/>
    <xf numFmtId="0" fontId="33" fillId="0" borderId="0" xfId="0" applyFont="1"/>
    <xf numFmtId="0" fontId="34" fillId="7" borderId="0" xfId="0" applyFont="1" applyFill="1"/>
    <xf numFmtId="44" fontId="34" fillId="7" borderId="0" xfId="1" applyFont="1" applyFill="1"/>
    <xf numFmtId="0" fontId="34" fillId="0" borderId="0" xfId="0" applyFont="1"/>
    <xf numFmtId="44" fontId="34" fillId="0" borderId="0" xfId="1" applyFont="1"/>
    <xf numFmtId="0" fontId="34" fillId="0" borderId="0" xfId="1" applyNumberFormat="1" applyFont="1"/>
    <xf numFmtId="44" fontId="34" fillId="0" borderId="0" xfId="0" applyNumberFormat="1" applyFont="1"/>
    <xf numFmtId="44" fontId="34" fillId="7" borderId="0" xfId="0" applyNumberFormat="1" applyFont="1" applyFill="1"/>
    <xf numFmtId="0" fontId="34" fillId="7" borderId="0" xfId="1" applyNumberFormat="1" applyFont="1" applyFill="1"/>
    <xf numFmtId="1" fontId="34" fillId="0" borderId="0" xfId="0" applyNumberFormat="1" applyFont="1"/>
    <xf numFmtId="1" fontId="27" fillId="7" borderId="0" xfId="0" applyNumberFormat="1" applyFont="1" applyFill="1"/>
    <xf numFmtId="1" fontId="16" fillId="7" borderId="0" xfId="1" applyNumberFormat="1" applyFont="1" applyFill="1"/>
    <xf numFmtId="1" fontId="26" fillId="7" borderId="0" xfId="1" applyNumberFormat="1" applyFont="1" applyFill="1"/>
    <xf numFmtId="44" fontId="12" fillId="0" borderId="0" xfId="1" applyFont="1" applyAlignment="1">
      <alignment horizontal="right"/>
    </xf>
    <xf numFmtId="169" fontId="12" fillId="0" borderId="0" xfId="1" applyNumberFormat="1" applyFont="1" applyAlignment="1">
      <alignment horizontal="right"/>
    </xf>
    <xf numFmtId="170" fontId="35" fillId="0" borderId="0" xfId="0" applyNumberFormat="1" applyFont="1" applyAlignment="1">
      <alignment horizontal="right" vertical="center"/>
    </xf>
    <xf numFmtId="10" fontId="12" fillId="0" borderId="0" xfId="320" applyNumberFormat="1" applyFont="1"/>
    <xf numFmtId="44" fontId="0" fillId="0" borderId="0" xfId="1" applyFont="1" applyBorder="1"/>
    <xf numFmtId="4" fontId="0" fillId="0" borderId="0" xfId="0" applyNumberFormat="1"/>
    <xf numFmtId="44" fontId="0" fillId="7" borderId="0" xfId="1" applyFont="1" applyFill="1"/>
    <xf numFmtId="0" fontId="8" fillId="0" borderId="0" xfId="0" applyFont="1" applyAlignment="1">
      <alignment horizontal="center"/>
    </xf>
    <xf numFmtId="44" fontId="25" fillId="8" borderId="0" xfId="1" applyFont="1" applyFill="1"/>
    <xf numFmtId="44" fontId="27" fillId="8" borderId="0" xfId="0" applyNumberFormat="1" applyFont="1" applyFill="1"/>
    <xf numFmtId="44" fontId="15" fillId="8" borderId="0" xfId="0" applyNumberFormat="1" applyFont="1" applyFill="1"/>
    <xf numFmtId="0" fontId="36" fillId="0" borderId="0" xfId="0" applyFont="1"/>
    <xf numFmtId="0" fontId="37" fillId="7" borderId="0" xfId="0" applyFont="1" applyFill="1"/>
    <xf numFmtId="0" fontId="37" fillId="0" borderId="0" xfId="0" applyFont="1"/>
    <xf numFmtId="44" fontId="37" fillId="0" borderId="0" xfId="1" applyFont="1"/>
    <xf numFmtId="44" fontId="37" fillId="7" borderId="0" xfId="1" applyFont="1" applyFill="1"/>
    <xf numFmtId="44" fontId="23" fillId="0" borderId="0" xfId="1" applyFont="1" applyFill="1"/>
    <xf numFmtId="1" fontId="23" fillId="0" borderId="0" xfId="1" applyNumberFormat="1" applyFont="1" applyFill="1"/>
    <xf numFmtId="171" fontId="0" fillId="0" borderId="0" xfId="0" applyNumberFormat="1"/>
    <xf numFmtId="44" fontId="37" fillId="0" borderId="0" xfId="0" applyNumberFormat="1" applyFont="1"/>
    <xf numFmtId="44" fontId="0" fillId="0" borderId="0" xfId="0" quotePrefix="1" applyNumberFormat="1"/>
    <xf numFmtId="0" fontId="0" fillId="0" borderId="0" xfId="0" applyAlignment="1">
      <alignment horizontal="left"/>
    </xf>
    <xf numFmtId="44" fontId="38" fillId="0" borderId="0" xfId="0" applyNumberFormat="1" applyFont="1"/>
    <xf numFmtId="44" fontId="39" fillId="0" borderId="0" xfId="0" applyNumberFormat="1" applyFont="1"/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6069">
    <cellStyle name="Comma" xfId="1734" builtinId="3"/>
    <cellStyle name="Currency" xfId="1" builtinId="4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1" builtinId="9" hidden="1"/>
    <cellStyle name="Followed Hyperlink" xfId="1202" builtinId="9" hidden="1"/>
    <cellStyle name="Followed Hyperlink" xfId="1203" builtinId="9" hidden="1"/>
    <cellStyle name="Followed Hyperlink" xfId="1204" builtinId="9" hidden="1"/>
    <cellStyle name="Followed Hyperlink" xfId="1205" builtinId="9" hidden="1"/>
    <cellStyle name="Followed Hyperlink" xfId="1206" builtinId="9" hidden="1"/>
    <cellStyle name="Followed Hyperlink" xfId="1207" builtinId="9" hidden="1"/>
    <cellStyle name="Followed Hyperlink" xfId="1208" builtinId="9" hidden="1"/>
    <cellStyle name="Followed Hyperlink" xfId="1209" builtinId="9" hidden="1"/>
    <cellStyle name="Followed Hyperlink" xfId="1210" builtinId="9" hidden="1"/>
    <cellStyle name="Followed Hyperlink" xfId="1211" builtinId="9" hidden="1"/>
    <cellStyle name="Followed Hyperlink" xfId="1213" builtinId="9" hidden="1"/>
    <cellStyle name="Followed Hyperlink" xfId="1215" builtinId="9" hidden="1"/>
    <cellStyle name="Followed Hyperlink" xfId="1217" builtinId="9" hidden="1"/>
    <cellStyle name="Followed Hyperlink" xfId="1219" builtinId="9" hidden="1"/>
    <cellStyle name="Followed Hyperlink" xfId="1221" builtinId="9" hidden="1"/>
    <cellStyle name="Followed Hyperlink" xfId="1223" builtinId="9" hidden="1"/>
    <cellStyle name="Followed Hyperlink" xfId="1225" builtinId="9" hidden="1"/>
    <cellStyle name="Followed Hyperlink" xfId="1227" builtinId="9" hidden="1"/>
    <cellStyle name="Followed Hyperlink" xfId="1229" builtinId="9" hidden="1"/>
    <cellStyle name="Followed Hyperlink" xfId="1231" builtinId="9" hidden="1"/>
    <cellStyle name="Followed Hyperlink" xfId="1233" builtinId="9" hidden="1"/>
    <cellStyle name="Followed Hyperlink" xfId="1235" builtinId="9" hidden="1"/>
    <cellStyle name="Followed Hyperlink" xfId="1237" builtinId="9" hidden="1"/>
    <cellStyle name="Followed Hyperlink" xfId="1239" builtinId="9" hidden="1"/>
    <cellStyle name="Followed Hyperlink" xfId="1241" builtinId="9" hidden="1"/>
    <cellStyle name="Followed Hyperlink" xfId="1243" builtinId="9" hidden="1"/>
    <cellStyle name="Followed Hyperlink" xfId="1245" builtinId="9" hidden="1"/>
    <cellStyle name="Followed Hyperlink" xfId="1247" builtinId="9" hidden="1"/>
    <cellStyle name="Followed Hyperlink" xfId="1249" builtinId="9" hidden="1"/>
    <cellStyle name="Followed Hyperlink" xfId="1251" builtinId="9" hidden="1"/>
    <cellStyle name="Followed Hyperlink" xfId="1253" builtinId="9" hidden="1"/>
    <cellStyle name="Followed Hyperlink" xfId="1255" builtinId="9" hidden="1"/>
    <cellStyle name="Followed Hyperlink" xfId="1257" builtinId="9" hidden="1"/>
    <cellStyle name="Followed Hyperlink" xfId="1259" builtinId="9" hidden="1"/>
    <cellStyle name="Followed Hyperlink" xfId="1261" builtinId="9" hidden="1"/>
    <cellStyle name="Followed Hyperlink" xfId="1263" builtinId="9" hidden="1"/>
    <cellStyle name="Followed Hyperlink" xfId="1265" builtinId="9" hidden="1"/>
    <cellStyle name="Followed Hyperlink" xfId="1267" builtinId="9" hidden="1"/>
    <cellStyle name="Followed Hyperlink" xfId="1269" builtinId="9" hidden="1"/>
    <cellStyle name="Followed Hyperlink" xfId="1271" builtinId="9" hidden="1"/>
    <cellStyle name="Followed Hyperlink" xfId="1273" builtinId="9" hidden="1"/>
    <cellStyle name="Followed Hyperlink" xfId="1275" builtinId="9" hidden="1"/>
    <cellStyle name="Followed Hyperlink" xfId="1277" builtinId="9" hidden="1"/>
    <cellStyle name="Followed Hyperlink" xfId="1279" builtinId="9" hidden="1"/>
    <cellStyle name="Followed Hyperlink" xfId="1281" builtinId="9" hidden="1"/>
    <cellStyle name="Followed Hyperlink" xfId="1283" builtinId="9" hidden="1"/>
    <cellStyle name="Followed Hyperlink" xfId="1285" builtinId="9" hidden="1"/>
    <cellStyle name="Followed Hyperlink" xfId="1287" builtinId="9" hidden="1"/>
    <cellStyle name="Followed Hyperlink" xfId="1289" builtinId="9" hidden="1"/>
    <cellStyle name="Followed Hyperlink" xfId="1291" builtinId="9" hidden="1"/>
    <cellStyle name="Followed Hyperlink" xfId="1293" builtinId="9" hidden="1"/>
    <cellStyle name="Followed Hyperlink" xfId="1295" builtinId="9" hidden="1"/>
    <cellStyle name="Followed Hyperlink" xfId="1297" builtinId="9" hidden="1"/>
    <cellStyle name="Followed Hyperlink" xfId="1299" builtinId="9" hidden="1"/>
    <cellStyle name="Followed Hyperlink" xfId="1301" builtinId="9" hidden="1"/>
    <cellStyle name="Followed Hyperlink" xfId="1303" builtinId="9" hidden="1"/>
    <cellStyle name="Followed Hyperlink" xfId="1305" builtinId="9" hidden="1"/>
    <cellStyle name="Followed Hyperlink" xfId="1307" builtinId="9" hidden="1"/>
    <cellStyle name="Followed Hyperlink" xfId="1309" builtinId="9" hidden="1"/>
    <cellStyle name="Followed Hyperlink" xfId="1311" builtinId="9" hidden="1"/>
    <cellStyle name="Followed Hyperlink" xfId="1313" builtinId="9" hidden="1"/>
    <cellStyle name="Followed Hyperlink" xfId="1315" builtinId="9" hidden="1"/>
    <cellStyle name="Followed Hyperlink" xfId="1317" builtinId="9" hidden="1"/>
    <cellStyle name="Followed Hyperlink" xfId="1319" builtinId="9" hidden="1"/>
    <cellStyle name="Followed Hyperlink" xfId="1321" builtinId="9" hidden="1"/>
    <cellStyle name="Followed Hyperlink" xfId="1323" builtinId="9" hidden="1"/>
    <cellStyle name="Followed Hyperlink" xfId="1325" builtinId="9" hidden="1"/>
    <cellStyle name="Followed Hyperlink" xfId="1327" builtinId="9" hidden="1"/>
    <cellStyle name="Followed Hyperlink" xfId="1329" builtinId="9" hidden="1"/>
    <cellStyle name="Followed Hyperlink" xfId="1331" builtinId="9" hidden="1"/>
    <cellStyle name="Followed Hyperlink" xfId="1333" builtinId="9" hidden="1"/>
    <cellStyle name="Followed Hyperlink" xfId="1335" builtinId="9" hidden="1"/>
    <cellStyle name="Followed Hyperlink" xfId="1337" builtinId="9" hidden="1"/>
    <cellStyle name="Followed Hyperlink" xfId="1339" builtinId="9" hidden="1"/>
    <cellStyle name="Followed Hyperlink" xfId="1341" builtinId="9" hidden="1"/>
    <cellStyle name="Followed Hyperlink" xfId="1343" builtinId="9" hidden="1"/>
    <cellStyle name="Followed Hyperlink" xfId="1345" builtinId="9" hidden="1"/>
    <cellStyle name="Followed Hyperlink" xfId="1347" builtinId="9" hidden="1"/>
    <cellStyle name="Followed Hyperlink" xfId="1349" builtinId="9" hidden="1"/>
    <cellStyle name="Followed Hyperlink" xfId="1351" builtinId="9" hidden="1"/>
    <cellStyle name="Followed Hyperlink" xfId="1353" builtinId="9" hidden="1"/>
    <cellStyle name="Followed Hyperlink" xfId="1355" builtinId="9" hidden="1"/>
    <cellStyle name="Followed Hyperlink" xfId="1357" builtinId="9" hidden="1"/>
    <cellStyle name="Followed Hyperlink" xfId="1359" builtinId="9" hidden="1"/>
    <cellStyle name="Followed Hyperlink" xfId="1361" builtinId="9" hidden="1"/>
    <cellStyle name="Followed Hyperlink" xfId="1363" builtinId="9" hidden="1"/>
    <cellStyle name="Followed Hyperlink" xfId="1365" builtinId="9" hidden="1"/>
    <cellStyle name="Followed Hyperlink" xfId="1367" builtinId="9" hidden="1"/>
    <cellStyle name="Followed Hyperlink" xfId="1369" builtinId="9" hidden="1"/>
    <cellStyle name="Followed Hyperlink" xfId="1371" builtinId="9" hidden="1"/>
    <cellStyle name="Followed Hyperlink" xfId="1373" builtinId="9" hidden="1"/>
    <cellStyle name="Followed Hyperlink" xfId="1375" builtinId="9" hidden="1"/>
    <cellStyle name="Followed Hyperlink" xfId="1377" builtinId="9" hidden="1"/>
    <cellStyle name="Followed Hyperlink" xfId="1379" builtinId="9" hidden="1"/>
    <cellStyle name="Followed Hyperlink" xfId="1381" builtinId="9" hidden="1"/>
    <cellStyle name="Followed Hyperlink" xfId="1383" builtinId="9" hidden="1"/>
    <cellStyle name="Followed Hyperlink" xfId="1385" builtinId="9" hidden="1"/>
    <cellStyle name="Followed Hyperlink" xfId="1387" builtinId="9" hidden="1"/>
    <cellStyle name="Followed Hyperlink" xfId="1389" builtinId="9" hidden="1"/>
    <cellStyle name="Followed Hyperlink" xfId="1391" builtinId="9" hidden="1"/>
    <cellStyle name="Followed Hyperlink" xfId="1393" builtinId="9" hidden="1"/>
    <cellStyle name="Followed Hyperlink" xfId="1395" builtinId="9" hidden="1"/>
    <cellStyle name="Followed Hyperlink" xfId="1397" builtinId="9" hidden="1"/>
    <cellStyle name="Followed Hyperlink" xfId="1399" builtinId="9" hidden="1"/>
    <cellStyle name="Followed Hyperlink" xfId="1401" builtinId="9" hidden="1"/>
    <cellStyle name="Followed Hyperlink" xfId="1403" builtinId="9" hidden="1"/>
    <cellStyle name="Followed Hyperlink" xfId="1405" builtinId="9" hidden="1"/>
    <cellStyle name="Followed Hyperlink" xfId="1407" builtinId="9" hidden="1"/>
    <cellStyle name="Followed Hyperlink" xfId="1409" builtinId="9" hidden="1"/>
    <cellStyle name="Followed Hyperlink" xfId="1411" builtinId="9" hidden="1"/>
    <cellStyle name="Followed Hyperlink" xfId="1413" builtinId="9" hidden="1"/>
    <cellStyle name="Followed Hyperlink" xfId="1415" builtinId="9" hidden="1"/>
    <cellStyle name="Followed Hyperlink" xfId="1417" builtinId="9" hidden="1"/>
    <cellStyle name="Followed Hyperlink" xfId="1419" builtinId="9" hidden="1"/>
    <cellStyle name="Followed Hyperlink" xfId="1421" builtinId="9" hidden="1"/>
    <cellStyle name="Followed Hyperlink" xfId="1423" builtinId="9" hidden="1"/>
    <cellStyle name="Followed Hyperlink" xfId="1425" builtinId="9" hidden="1"/>
    <cellStyle name="Followed Hyperlink" xfId="1427" builtinId="9" hidden="1"/>
    <cellStyle name="Followed Hyperlink" xfId="1429" builtinId="9" hidden="1"/>
    <cellStyle name="Followed Hyperlink" xfId="1431" builtinId="9" hidden="1"/>
    <cellStyle name="Followed Hyperlink" xfId="1433" builtinId="9" hidden="1"/>
    <cellStyle name="Followed Hyperlink" xfId="1435" builtinId="9" hidden="1"/>
    <cellStyle name="Followed Hyperlink" xfId="1437" builtinId="9" hidden="1"/>
    <cellStyle name="Followed Hyperlink" xfId="1439" builtinId="9" hidden="1"/>
    <cellStyle name="Followed Hyperlink" xfId="1441" builtinId="9" hidden="1"/>
    <cellStyle name="Followed Hyperlink" xfId="1443" builtinId="9" hidden="1"/>
    <cellStyle name="Followed Hyperlink" xfId="1445" builtinId="9" hidden="1"/>
    <cellStyle name="Followed Hyperlink" xfId="1447" builtinId="9" hidden="1"/>
    <cellStyle name="Followed Hyperlink" xfId="1449" builtinId="9" hidden="1"/>
    <cellStyle name="Followed Hyperlink" xfId="1451" builtinId="9" hidden="1"/>
    <cellStyle name="Followed Hyperlink" xfId="1453" builtinId="9" hidden="1"/>
    <cellStyle name="Followed Hyperlink" xfId="1455" builtinId="9" hidden="1"/>
    <cellStyle name="Followed Hyperlink" xfId="1457" builtinId="9" hidden="1"/>
    <cellStyle name="Followed Hyperlink" xfId="1459" builtinId="9" hidden="1"/>
    <cellStyle name="Followed Hyperlink" xfId="1461" builtinId="9" hidden="1"/>
    <cellStyle name="Followed Hyperlink" xfId="1463" builtinId="9" hidden="1"/>
    <cellStyle name="Followed Hyperlink" xfId="1465" builtinId="9" hidden="1"/>
    <cellStyle name="Followed Hyperlink" xfId="1467" builtinId="9" hidden="1"/>
    <cellStyle name="Followed Hyperlink" xfId="1469" builtinId="9" hidden="1"/>
    <cellStyle name="Followed Hyperlink" xfId="1471" builtinId="9" hidden="1"/>
    <cellStyle name="Followed Hyperlink" xfId="1473" builtinId="9" hidden="1"/>
    <cellStyle name="Followed Hyperlink" xfId="1475" builtinId="9" hidden="1"/>
    <cellStyle name="Followed Hyperlink" xfId="1477" builtinId="9" hidden="1"/>
    <cellStyle name="Followed Hyperlink" xfId="1479" builtinId="9" hidden="1"/>
    <cellStyle name="Followed Hyperlink" xfId="1481" builtinId="9" hidden="1"/>
    <cellStyle name="Followed Hyperlink" xfId="1483" builtinId="9" hidden="1"/>
    <cellStyle name="Followed Hyperlink" xfId="1485" builtinId="9" hidden="1"/>
    <cellStyle name="Followed Hyperlink" xfId="1487" builtinId="9" hidden="1"/>
    <cellStyle name="Followed Hyperlink" xfId="1489" builtinId="9" hidden="1"/>
    <cellStyle name="Followed Hyperlink" xfId="1491" builtinId="9" hidden="1"/>
    <cellStyle name="Followed Hyperlink" xfId="1493" builtinId="9" hidden="1"/>
    <cellStyle name="Followed Hyperlink" xfId="1495" builtinId="9" hidden="1"/>
    <cellStyle name="Followed Hyperlink" xfId="1497" builtinId="9" hidden="1"/>
    <cellStyle name="Followed Hyperlink" xfId="1499" builtinId="9" hidden="1"/>
    <cellStyle name="Followed Hyperlink" xfId="1501" builtinId="9" hidden="1"/>
    <cellStyle name="Followed Hyperlink" xfId="1503" builtinId="9" hidden="1"/>
    <cellStyle name="Followed Hyperlink" xfId="1505" builtinId="9" hidden="1"/>
    <cellStyle name="Followed Hyperlink" xfId="1507" builtinId="9" hidden="1"/>
    <cellStyle name="Followed Hyperlink" xfId="1509" builtinId="9" hidden="1"/>
    <cellStyle name="Followed Hyperlink" xfId="1511" builtinId="9" hidden="1"/>
    <cellStyle name="Followed Hyperlink" xfId="1513" builtinId="9" hidden="1"/>
    <cellStyle name="Followed Hyperlink" xfId="1515" builtinId="9" hidden="1"/>
    <cellStyle name="Followed Hyperlink" xfId="1517" builtinId="9" hidden="1"/>
    <cellStyle name="Followed Hyperlink" xfId="1519" builtinId="9" hidden="1"/>
    <cellStyle name="Followed Hyperlink" xfId="1521" builtinId="9" hidden="1"/>
    <cellStyle name="Followed Hyperlink" xfId="1523" builtinId="9" hidden="1"/>
    <cellStyle name="Followed Hyperlink" xfId="1525" builtinId="9" hidden="1"/>
    <cellStyle name="Followed Hyperlink" xfId="1527" builtinId="9" hidden="1"/>
    <cellStyle name="Followed Hyperlink" xfId="1529" builtinId="9" hidden="1"/>
    <cellStyle name="Followed Hyperlink" xfId="1531" builtinId="9" hidden="1"/>
    <cellStyle name="Followed Hyperlink" xfId="1533" builtinId="9" hidden="1"/>
    <cellStyle name="Followed Hyperlink" xfId="1535" builtinId="9" hidden="1"/>
    <cellStyle name="Followed Hyperlink" xfId="1537" builtinId="9" hidden="1"/>
    <cellStyle name="Followed Hyperlink" xfId="1539" builtinId="9" hidden="1"/>
    <cellStyle name="Followed Hyperlink" xfId="1541" builtinId="9" hidden="1"/>
    <cellStyle name="Followed Hyperlink" xfId="1543" builtinId="9" hidden="1"/>
    <cellStyle name="Followed Hyperlink" xfId="1545" builtinId="9" hidden="1"/>
    <cellStyle name="Followed Hyperlink" xfId="1547" builtinId="9" hidden="1"/>
    <cellStyle name="Followed Hyperlink" xfId="1549" builtinId="9" hidden="1"/>
    <cellStyle name="Followed Hyperlink" xfId="1551" builtinId="9" hidden="1"/>
    <cellStyle name="Followed Hyperlink" xfId="1553" builtinId="9" hidden="1"/>
    <cellStyle name="Followed Hyperlink" xfId="1555" builtinId="9" hidden="1"/>
    <cellStyle name="Followed Hyperlink" xfId="1557" builtinId="9" hidden="1"/>
    <cellStyle name="Followed Hyperlink" xfId="1559" builtinId="9" hidden="1"/>
    <cellStyle name="Followed Hyperlink" xfId="1561" builtinId="9" hidden="1"/>
    <cellStyle name="Followed Hyperlink" xfId="1563" builtinId="9" hidden="1"/>
    <cellStyle name="Followed Hyperlink" xfId="1565" builtinId="9" hidden="1"/>
    <cellStyle name="Followed Hyperlink" xfId="1567" builtinId="9" hidden="1"/>
    <cellStyle name="Followed Hyperlink" xfId="1569" builtinId="9" hidden="1"/>
    <cellStyle name="Followed Hyperlink" xfId="1571" builtinId="9" hidden="1"/>
    <cellStyle name="Followed Hyperlink" xfId="1573" builtinId="9" hidden="1"/>
    <cellStyle name="Followed Hyperlink" xfId="1575" builtinId="9" hidden="1"/>
    <cellStyle name="Followed Hyperlink" xfId="1577" builtinId="9" hidden="1"/>
    <cellStyle name="Followed Hyperlink" xfId="1579" builtinId="9" hidden="1"/>
    <cellStyle name="Followed Hyperlink" xfId="1581" builtinId="9" hidden="1"/>
    <cellStyle name="Followed Hyperlink" xfId="1583" builtinId="9" hidden="1"/>
    <cellStyle name="Followed Hyperlink" xfId="1585" builtinId="9" hidden="1"/>
    <cellStyle name="Followed Hyperlink" xfId="1587" builtinId="9" hidden="1"/>
    <cellStyle name="Followed Hyperlink" xfId="1589" builtinId="9" hidden="1"/>
    <cellStyle name="Followed Hyperlink" xfId="1591" builtinId="9" hidden="1"/>
    <cellStyle name="Followed Hyperlink" xfId="1593" builtinId="9" hidden="1"/>
    <cellStyle name="Followed Hyperlink" xfId="1595" builtinId="9" hidden="1"/>
    <cellStyle name="Followed Hyperlink" xfId="1597" builtinId="9" hidden="1"/>
    <cellStyle name="Followed Hyperlink" xfId="1599" builtinId="9" hidden="1"/>
    <cellStyle name="Followed Hyperlink" xfId="1601" builtinId="9" hidden="1"/>
    <cellStyle name="Followed Hyperlink" xfId="1603" builtinId="9" hidden="1"/>
    <cellStyle name="Followed Hyperlink" xfId="1605" builtinId="9" hidden="1"/>
    <cellStyle name="Followed Hyperlink" xfId="1607" builtinId="9" hidden="1"/>
    <cellStyle name="Followed Hyperlink" xfId="1609" builtinId="9" hidden="1"/>
    <cellStyle name="Followed Hyperlink" xfId="1611" builtinId="9" hidden="1"/>
    <cellStyle name="Followed Hyperlink" xfId="1613" builtinId="9" hidden="1"/>
    <cellStyle name="Followed Hyperlink" xfId="1615" builtinId="9" hidden="1"/>
    <cellStyle name="Followed Hyperlink" xfId="1617" builtinId="9" hidden="1"/>
    <cellStyle name="Followed Hyperlink" xfId="1619" builtinId="9" hidden="1"/>
    <cellStyle name="Followed Hyperlink" xfId="1621" builtinId="9" hidden="1"/>
    <cellStyle name="Followed Hyperlink" xfId="1623" builtinId="9" hidden="1"/>
    <cellStyle name="Followed Hyperlink" xfId="1625" builtinId="9" hidden="1"/>
    <cellStyle name="Followed Hyperlink" xfId="1627" builtinId="9" hidden="1"/>
    <cellStyle name="Followed Hyperlink" xfId="1629" builtinId="9" hidden="1"/>
    <cellStyle name="Followed Hyperlink" xfId="1631" builtinId="9" hidden="1"/>
    <cellStyle name="Followed Hyperlink" xfId="1633" builtinId="9" hidden="1"/>
    <cellStyle name="Followed Hyperlink" xfId="1635" builtinId="9" hidden="1"/>
    <cellStyle name="Followed Hyperlink" xfId="1637" builtinId="9" hidden="1"/>
    <cellStyle name="Followed Hyperlink" xfId="1639" builtinId="9" hidden="1"/>
    <cellStyle name="Followed Hyperlink" xfId="1641" builtinId="9" hidden="1"/>
    <cellStyle name="Followed Hyperlink" xfId="1643" builtinId="9" hidden="1"/>
    <cellStyle name="Followed Hyperlink" xfId="1645" builtinId="9" hidden="1"/>
    <cellStyle name="Followed Hyperlink" xfId="1647" builtinId="9" hidden="1"/>
    <cellStyle name="Followed Hyperlink" xfId="1649" builtinId="9" hidden="1"/>
    <cellStyle name="Followed Hyperlink" xfId="1651" builtinId="9" hidden="1"/>
    <cellStyle name="Followed Hyperlink" xfId="1653" builtinId="9" hidden="1"/>
    <cellStyle name="Followed Hyperlink" xfId="1655" builtinId="9" hidden="1"/>
    <cellStyle name="Followed Hyperlink" xfId="1657" builtinId="9" hidden="1"/>
    <cellStyle name="Followed Hyperlink" xfId="1659" builtinId="9" hidden="1"/>
    <cellStyle name="Followed Hyperlink" xfId="1661" builtinId="9" hidden="1"/>
    <cellStyle name="Followed Hyperlink" xfId="1663" builtinId="9" hidden="1"/>
    <cellStyle name="Followed Hyperlink" xfId="1665" builtinId="9" hidden="1"/>
    <cellStyle name="Followed Hyperlink" xfId="1667" builtinId="9" hidden="1"/>
    <cellStyle name="Followed Hyperlink" xfId="1669" builtinId="9" hidden="1"/>
    <cellStyle name="Followed Hyperlink" xfId="1671" builtinId="9" hidden="1"/>
    <cellStyle name="Followed Hyperlink" xfId="1673" builtinId="9" hidden="1"/>
    <cellStyle name="Followed Hyperlink" xfId="1675" builtinId="9" hidden="1"/>
    <cellStyle name="Followed Hyperlink" xfId="1677" builtinId="9" hidden="1"/>
    <cellStyle name="Followed Hyperlink" xfId="1679" builtinId="9" hidden="1"/>
    <cellStyle name="Followed Hyperlink" xfId="1681" builtinId="9" hidden="1"/>
    <cellStyle name="Followed Hyperlink" xfId="1683" builtinId="9" hidden="1"/>
    <cellStyle name="Followed Hyperlink" xfId="1685" builtinId="9" hidden="1"/>
    <cellStyle name="Followed Hyperlink" xfId="1687" builtinId="9" hidden="1"/>
    <cellStyle name="Followed Hyperlink" xfId="1689" builtinId="9" hidden="1"/>
    <cellStyle name="Followed Hyperlink" xfId="1691" builtinId="9" hidden="1"/>
    <cellStyle name="Followed Hyperlink" xfId="1693" builtinId="9" hidden="1"/>
    <cellStyle name="Followed Hyperlink" xfId="1695" builtinId="9" hidden="1"/>
    <cellStyle name="Followed Hyperlink" xfId="1697" builtinId="9" hidden="1"/>
    <cellStyle name="Followed Hyperlink" xfId="1699" builtinId="9" hidden="1"/>
    <cellStyle name="Followed Hyperlink" xfId="1701" builtinId="9" hidden="1"/>
    <cellStyle name="Followed Hyperlink" xfId="1703" builtinId="9" hidden="1"/>
    <cellStyle name="Followed Hyperlink" xfId="1705" builtinId="9" hidden="1"/>
    <cellStyle name="Followed Hyperlink" xfId="1707" builtinId="9" hidden="1"/>
    <cellStyle name="Followed Hyperlink" xfId="1709" builtinId="9" hidden="1"/>
    <cellStyle name="Followed Hyperlink" xfId="1711" builtinId="9" hidden="1"/>
    <cellStyle name="Followed Hyperlink" xfId="1713" builtinId="9" hidden="1"/>
    <cellStyle name="Followed Hyperlink" xfId="1715" builtinId="9" hidden="1"/>
    <cellStyle name="Followed Hyperlink" xfId="1717" builtinId="9" hidden="1"/>
    <cellStyle name="Followed Hyperlink" xfId="1719" builtinId="9" hidden="1"/>
    <cellStyle name="Followed Hyperlink" xfId="1721" builtinId="9" hidden="1"/>
    <cellStyle name="Followed Hyperlink" xfId="1723" builtinId="9" hidden="1"/>
    <cellStyle name="Followed Hyperlink" xfId="1725" builtinId="9" hidden="1"/>
    <cellStyle name="Followed Hyperlink" xfId="1727" builtinId="9" hidden="1"/>
    <cellStyle name="Followed Hyperlink" xfId="1729" builtinId="9" hidden="1"/>
    <cellStyle name="Followed Hyperlink" xfId="1731" builtinId="9" hidden="1"/>
    <cellStyle name="Followed Hyperlink" xfId="1733" builtinId="9" hidden="1"/>
    <cellStyle name="Followed Hyperlink" xfId="1736" builtinId="9" hidden="1"/>
    <cellStyle name="Followed Hyperlink" xfId="1738" builtinId="9" hidden="1"/>
    <cellStyle name="Followed Hyperlink" xfId="1740" builtinId="9" hidden="1"/>
    <cellStyle name="Followed Hyperlink" xfId="1742" builtinId="9" hidden="1"/>
    <cellStyle name="Followed Hyperlink" xfId="1744" builtinId="9" hidden="1"/>
    <cellStyle name="Followed Hyperlink" xfId="1746" builtinId="9" hidden="1"/>
    <cellStyle name="Followed Hyperlink" xfId="1748" builtinId="9" hidden="1"/>
    <cellStyle name="Followed Hyperlink" xfId="1750" builtinId="9" hidden="1"/>
    <cellStyle name="Followed Hyperlink" xfId="1752" builtinId="9" hidden="1"/>
    <cellStyle name="Followed Hyperlink" xfId="1754" builtinId="9" hidden="1"/>
    <cellStyle name="Followed Hyperlink" xfId="1756" builtinId="9" hidden="1"/>
    <cellStyle name="Followed Hyperlink" xfId="1758" builtinId="9" hidden="1"/>
    <cellStyle name="Followed Hyperlink" xfId="1760" builtinId="9" hidden="1"/>
    <cellStyle name="Followed Hyperlink" xfId="1762" builtinId="9" hidden="1"/>
    <cellStyle name="Followed Hyperlink" xfId="1764" builtinId="9" hidden="1"/>
    <cellStyle name="Followed Hyperlink" xfId="1766" builtinId="9" hidden="1"/>
    <cellStyle name="Followed Hyperlink" xfId="1768" builtinId="9" hidden="1"/>
    <cellStyle name="Followed Hyperlink" xfId="1770" builtinId="9" hidden="1"/>
    <cellStyle name="Followed Hyperlink" xfId="1772" builtinId="9" hidden="1"/>
    <cellStyle name="Followed Hyperlink" xfId="1774" builtinId="9" hidden="1"/>
    <cellStyle name="Followed Hyperlink" xfId="1776" builtinId="9" hidden="1"/>
    <cellStyle name="Followed Hyperlink" xfId="1778" builtinId="9" hidden="1"/>
    <cellStyle name="Followed Hyperlink" xfId="1780" builtinId="9" hidden="1"/>
    <cellStyle name="Followed Hyperlink" xfId="1782" builtinId="9" hidden="1"/>
    <cellStyle name="Followed Hyperlink" xfId="1784" builtinId="9" hidden="1"/>
    <cellStyle name="Followed Hyperlink" xfId="1786" builtinId="9" hidden="1"/>
    <cellStyle name="Followed Hyperlink" xfId="1788" builtinId="9" hidden="1"/>
    <cellStyle name="Followed Hyperlink" xfId="1790" builtinId="9" hidden="1"/>
    <cellStyle name="Followed Hyperlink" xfId="1792" builtinId="9" hidden="1"/>
    <cellStyle name="Followed Hyperlink" xfId="1794" builtinId="9" hidden="1"/>
    <cellStyle name="Followed Hyperlink" xfId="1796" builtinId="9" hidden="1"/>
    <cellStyle name="Followed Hyperlink" xfId="1798" builtinId="9" hidden="1"/>
    <cellStyle name="Followed Hyperlink" xfId="1800" builtinId="9" hidden="1"/>
    <cellStyle name="Followed Hyperlink" xfId="1802" builtinId="9" hidden="1"/>
    <cellStyle name="Followed Hyperlink" xfId="1804" builtinId="9" hidden="1"/>
    <cellStyle name="Followed Hyperlink" xfId="1806" builtinId="9" hidden="1"/>
    <cellStyle name="Followed Hyperlink" xfId="1808" builtinId="9" hidden="1"/>
    <cellStyle name="Followed Hyperlink" xfId="1810" builtinId="9" hidden="1"/>
    <cellStyle name="Followed Hyperlink" xfId="1812" builtinId="9" hidden="1"/>
    <cellStyle name="Followed Hyperlink" xfId="1814" builtinId="9" hidden="1"/>
    <cellStyle name="Followed Hyperlink" xfId="1816" builtinId="9" hidden="1"/>
    <cellStyle name="Followed Hyperlink" xfId="1818" builtinId="9" hidden="1"/>
    <cellStyle name="Followed Hyperlink" xfId="1820" builtinId="9" hidden="1"/>
    <cellStyle name="Followed Hyperlink" xfId="1822" builtinId="9" hidden="1"/>
    <cellStyle name="Followed Hyperlink" xfId="1824" builtinId="9" hidden="1"/>
    <cellStyle name="Followed Hyperlink" xfId="1826" builtinId="9" hidden="1"/>
    <cellStyle name="Followed Hyperlink" xfId="1828" builtinId="9" hidden="1"/>
    <cellStyle name="Followed Hyperlink" xfId="1830" builtinId="9" hidden="1"/>
    <cellStyle name="Followed Hyperlink" xfId="1832" builtinId="9" hidden="1"/>
    <cellStyle name="Followed Hyperlink" xfId="1834" builtinId="9" hidden="1"/>
    <cellStyle name="Followed Hyperlink" xfId="1836" builtinId="9" hidden="1"/>
    <cellStyle name="Followed Hyperlink" xfId="1838" builtinId="9" hidden="1"/>
    <cellStyle name="Followed Hyperlink" xfId="1840" builtinId="9" hidden="1"/>
    <cellStyle name="Followed Hyperlink" xfId="1842" builtinId="9" hidden="1"/>
    <cellStyle name="Followed Hyperlink" xfId="1844" builtinId="9" hidden="1"/>
    <cellStyle name="Followed Hyperlink" xfId="1846" builtinId="9" hidden="1"/>
    <cellStyle name="Followed Hyperlink" xfId="1848" builtinId="9" hidden="1"/>
    <cellStyle name="Followed Hyperlink" xfId="1850" builtinId="9" hidden="1"/>
    <cellStyle name="Followed Hyperlink" xfId="1852" builtinId="9" hidden="1"/>
    <cellStyle name="Followed Hyperlink" xfId="1854" builtinId="9" hidden="1"/>
    <cellStyle name="Followed Hyperlink" xfId="1856" builtinId="9" hidden="1"/>
    <cellStyle name="Followed Hyperlink" xfId="1858" builtinId="9" hidden="1"/>
    <cellStyle name="Followed Hyperlink" xfId="1860" builtinId="9" hidden="1"/>
    <cellStyle name="Followed Hyperlink" xfId="1862" builtinId="9" hidden="1"/>
    <cellStyle name="Followed Hyperlink" xfId="1864" builtinId="9" hidden="1"/>
    <cellStyle name="Followed Hyperlink" xfId="1866" builtinId="9" hidden="1"/>
    <cellStyle name="Followed Hyperlink" xfId="1868" builtinId="9" hidden="1"/>
    <cellStyle name="Followed Hyperlink" xfId="1870" builtinId="9" hidden="1"/>
    <cellStyle name="Followed Hyperlink" xfId="1872" builtinId="9" hidden="1"/>
    <cellStyle name="Followed Hyperlink" xfId="1874" builtinId="9" hidden="1"/>
    <cellStyle name="Followed Hyperlink" xfId="1876" builtinId="9" hidden="1"/>
    <cellStyle name="Followed Hyperlink" xfId="1878" builtinId="9" hidden="1"/>
    <cellStyle name="Followed Hyperlink" xfId="1880" builtinId="9" hidden="1"/>
    <cellStyle name="Followed Hyperlink" xfId="1882" builtinId="9" hidden="1"/>
    <cellStyle name="Followed Hyperlink" xfId="1884" builtinId="9" hidden="1"/>
    <cellStyle name="Followed Hyperlink" xfId="1886" builtinId="9" hidden="1"/>
    <cellStyle name="Followed Hyperlink" xfId="1888" builtinId="9" hidden="1"/>
    <cellStyle name="Followed Hyperlink" xfId="1890" builtinId="9" hidden="1"/>
    <cellStyle name="Followed Hyperlink" xfId="1892" builtinId="9" hidden="1"/>
    <cellStyle name="Followed Hyperlink" xfId="1894" builtinId="9" hidden="1"/>
    <cellStyle name="Followed Hyperlink" xfId="1896" builtinId="9" hidden="1"/>
    <cellStyle name="Followed Hyperlink" xfId="1898" builtinId="9" hidden="1"/>
    <cellStyle name="Followed Hyperlink" xfId="1900" builtinId="9" hidden="1"/>
    <cellStyle name="Followed Hyperlink" xfId="1902" builtinId="9" hidden="1"/>
    <cellStyle name="Followed Hyperlink" xfId="1904" builtinId="9" hidden="1"/>
    <cellStyle name="Followed Hyperlink" xfId="1906" builtinId="9" hidden="1"/>
    <cellStyle name="Followed Hyperlink" xfId="1908" builtinId="9" hidden="1"/>
    <cellStyle name="Followed Hyperlink" xfId="1910" builtinId="9" hidden="1"/>
    <cellStyle name="Followed Hyperlink" xfId="1912" builtinId="9" hidden="1"/>
    <cellStyle name="Followed Hyperlink" xfId="1914" builtinId="9" hidden="1"/>
    <cellStyle name="Followed Hyperlink" xfId="1916" builtinId="9" hidden="1"/>
    <cellStyle name="Followed Hyperlink" xfId="1918" builtinId="9" hidden="1"/>
    <cellStyle name="Followed Hyperlink" xfId="1920" builtinId="9" hidden="1"/>
    <cellStyle name="Followed Hyperlink" xfId="1922" builtinId="9" hidden="1"/>
    <cellStyle name="Followed Hyperlink" xfId="1924" builtinId="9" hidden="1"/>
    <cellStyle name="Followed Hyperlink" xfId="1926" builtinId="9" hidden="1"/>
    <cellStyle name="Followed Hyperlink" xfId="1928" builtinId="9" hidden="1"/>
    <cellStyle name="Followed Hyperlink" xfId="1930" builtinId="9" hidden="1"/>
    <cellStyle name="Followed Hyperlink" xfId="1932" builtinId="9" hidden="1"/>
    <cellStyle name="Followed Hyperlink" xfId="1934" builtinId="9" hidden="1"/>
    <cellStyle name="Followed Hyperlink" xfId="1936" builtinId="9" hidden="1"/>
    <cellStyle name="Followed Hyperlink" xfId="1938" builtinId="9" hidden="1"/>
    <cellStyle name="Followed Hyperlink" xfId="1940" builtinId="9" hidden="1"/>
    <cellStyle name="Followed Hyperlink" xfId="1942" builtinId="9" hidden="1"/>
    <cellStyle name="Followed Hyperlink" xfId="1944" builtinId="9" hidden="1"/>
    <cellStyle name="Followed Hyperlink" xfId="1946" builtinId="9" hidden="1"/>
    <cellStyle name="Followed Hyperlink" xfId="1948" builtinId="9" hidden="1"/>
    <cellStyle name="Followed Hyperlink" xfId="1950" builtinId="9" hidden="1"/>
    <cellStyle name="Followed Hyperlink" xfId="1952" builtinId="9" hidden="1"/>
    <cellStyle name="Followed Hyperlink" xfId="1954" builtinId="9" hidden="1"/>
    <cellStyle name="Followed Hyperlink" xfId="1956" builtinId="9" hidden="1"/>
    <cellStyle name="Followed Hyperlink" xfId="1958" builtinId="9" hidden="1"/>
    <cellStyle name="Followed Hyperlink" xfId="1960" builtinId="9" hidden="1"/>
    <cellStyle name="Followed Hyperlink" xfId="1962" builtinId="9" hidden="1"/>
    <cellStyle name="Followed Hyperlink" xfId="1964" builtinId="9" hidden="1"/>
    <cellStyle name="Followed Hyperlink" xfId="1966" builtinId="9" hidden="1"/>
    <cellStyle name="Followed Hyperlink" xfId="1968" builtinId="9" hidden="1"/>
    <cellStyle name="Followed Hyperlink" xfId="1970" builtinId="9" hidden="1"/>
    <cellStyle name="Followed Hyperlink" xfId="1972" builtinId="9" hidden="1"/>
    <cellStyle name="Followed Hyperlink" xfId="1974" builtinId="9" hidden="1"/>
    <cellStyle name="Followed Hyperlink" xfId="1976" builtinId="9" hidden="1"/>
    <cellStyle name="Followed Hyperlink" xfId="1978" builtinId="9" hidden="1"/>
    <cellStyle name="Followed Hyperlink" xfId="1980" builtinId="9" hidden="1"/>
    <cellStyle name="Followed Hyperlink" xfId="1982" builtinId="9" hidden="1"/>
    <cellStyle name="Followed Hyperlink" xfId="1984" builtinId="9" hidden="1"/>
    <cellStyle name="Followed Hyperlink" xfId="1986" builtinId="9" hidden="1"/>
    <cellStyle name="Followed Hyperlink" xfId="1988" builtinId="9" hidden="1"/>
    <cellStyle name="Followed Hyperlink" xfId="1990" builtinId="9" hidden="1"/>
    <cellStyle name="Followed Hyperlink" xfId="1992" builtinId="9" hidden="1"/>
    <cellStyle name="Followed Hyperlink" xfId="1994" builtinId="9" hidden="1"/>
    <cellStyle name="Followed Hyperlink" xfId="1996" builtinId="9" hidden="1"/>
    <cellStyle name="Followed Hyperlink" xfId="1998" builtinId="9" hidden="1"/>
    <cellStyle name="Followed Hyperlink" xfId="2000" builtinId="9" hidden="1"/>
    <cellStyle name="Followed Hyperlink" xfId="2002" builtinId="9" hidden="1"/>
    <cellStyle name="Followed Hyperlink" xfId="2004" builtinId="9" hidden="1"/>
    <cellStyle name="Followed Hyperlink" xfId="2006" builtinId="9" hidden="1"/>
    <cellStyle name="Followed Hyperlink" xfId="2008" builtinId="9" hidden="1"/>
    <cellStyle name="Followed Hyperlink" xfId="2010" builtinId="9" hidden="1"/>
    <cellStyle name="Followed Hyperlink" xfId="2012" builtinId="9" hidden="1"/>
    <cellStyle name="Followed Hyperlink" xfId="2014" builtinId="9" hidden="1"/>
    <cellStyle name="Followed Hyperlink" xfId="2016" builtinId="9" hidden="1"/>
    <cellStyle name="Followed Hyperlink" xfId="2018" builtinId="9" hidden="1"/>
    <cellStyle name="Followed Hyperlink" xfId="2020" builtinId="9" hidden="1"/>
    <cellStyle name="Followed Hyperlink" xfId="2022" builtinId="9" hidden="1"/>
    <cellStyle name="Followed Hyperlink" xfId="2024" builtinId="9" hidden="1"/>
    <cellStyle name="Followed Hyperlink" xfId="2026" builtinId="9" hidden="1"/>
    <cellStyle name="Followed Hyperlink" xfId="2028" builtinId="9" hidden="1"/>
    <cellStyle name="Followed Hyperlink" xfId="2030" builtinId="9" hidden="1"/>
    <cellStyle name="Followed Hyperlink" xfId="2032" builtinId="9" hidden="1"/>
    <cellStyle name="Followed Hyperlink" xfId="2034" builtinId="9" hidden="1"/>
    <cellStyle name="Followed Hyperlink" xfId="2036" builtinId="9" hidden="1"/>
    <cellStyle name="Followed Hyperlink" xfId="2038" builtinId="9" hidden="1"/>
    <cellStyle name="Followed Hyperlink" xfId="2040" builtinId="9" hidden="1"/>
    <cellStyle name="Followed Hyperlink" xfId="2042" builtinId="9" hidden="1"/>
    <cellStyle name="Followed Hyperlink" xfId="2044" builtinId="9" hidden="1"/>
    <cellStyle name="Followed Hyperlink" xfId="2046" builtinId="9" hidden="1"/>
    <cellStyle name="Followed Hyperlink" xfId="2048" builtinId="9" hidden="1"/>
    <cellStyle name="Followed Hyperlink" xfId="2050" builtinId="9" hidden="1"/>
    <cellStyle name="Followed Hyperlink" xfId="2052" builtinId="9" hidden="1"/>
    <cellStyle name="Followed Hyperlink" xfId="2054" builtinId="9" hidden="1"/>
    <cellStyle name="Followed Hyperlink" xfId="2056" builtinId="9" hidden="1"/>
    <cellStyle name="Followed Hyperlink" xfId="2058" builtinId="9" hidden="1"/>
    <cellStyle name="Followed Hyperlink" xfId="2060" builtinId="9" hidden="1"/>
    <cellStyle name="Followed Hyperlink" xfId="2062" builtinId="9" hidden="1"/>
    <cellStyle name="Followed Hyperlink" xfId="2064" builtinId="9" hidden="1"/>
    <cellStyle name="Followed Hyperlink" xfId="2066" builtinId="9" hidden="1"/>
    <cellStyle name="Followed Hyperlink" xfId="2068" builtinId="9" hidden="1"/>
    <cellStyle name="Followed Hyperlink" xfId="2070" builtinId="9" hidden="1"/>
    <cellStyle name="Followed Hyperlink" xfId="2072" builtinId="9" hidden="1"/>
    <cellStyle name="Followed Hyperlink" xfId="2074" builtinId="9" hidden="1"/>
    <cellStyle name="Followed Hyperlink" xfId="2076" builtinId="9" hidden="1"/>
    <cellStyle name="Followed Hyperlink" xfId="2078" builtinId="9" hidden="1"/>
    <cellStyle name="Followed Hyperlink" xfId="2080" builtinId="9" hidden="1"/>
    <cellStyle name="Followed Hyperlink" xfId="2082" builtinId="9" hidden="1"/>
    <cellStyle name="Followed Hyperlink" xfId="2084" builtinId="9" hidden="1"/>
    <cellStyle name="Followed Hyperlink" xfId="2086" builtinId="9" hidden="1"/>
    <cellStyle name="Followed Hyperlink" xfId="2088" builtinId="9" hidden="1"/>
    <cellStyle name="Followed Hyperlink" xfId="2090" builtinId="9" hidden="1"/>
    <cellStyle name="Followed Hyperlink" xfId="2092" builtinId="9" hidden="1"/>
    <cellStyle name="Followed Hyperlink" xfId="2094" builtinId="9" hidden="1"/>
    <cellStyle name="Followed Hyperlink" xfId="2096" builtinId="9" hidden="1"/>
    <cellStyle name="Followed Hyperlink" xfId="2098" builtinId="9" hidden="1"/>
    <cellStyle name="Followed Hyperlink" xfId="2100" builtinId="9" hidden="1"/>
    <cellStyle name="Followed Hyperlink" xfId="2102" builtinId="9" hidden="1"/>
    <cellStyle name="Followed Hyperlink" xfId="2104" builtinId="9" hidden="1"/>
    <cellStyle name="Followed Hyperlink" xfId="2106" builtinId="9" hidden="1"/>
    <cellStyle name="Followed Hyperlink" xfId="2108" builtinId="9" hidden="1"/>
    <cellStyle name="Followed Hyperlink" xfId="2110" builtinId="9" hidden="1"/>
    <cellStyle name="Followed Hyperlink" xfId="2112" builtinId="9" hidden="1"/>
    <cellStyle name="Followed Hyperlink" xfId="2114" builtinId="9" hidden="1"/>
    <cellStyle name="Followed Hyperlink" xfId="2116" builtinId="9" hidden="1"/>
    <cellStyle name="Followed Hyperlink" xfId="2118" builtinId="9" hidden="1"/>
    <cellStyle name="Followed Hyperlink" xfId="2120" builtinId="9" hidden="1"/>
    <cellStyle name="Followed Hyperlink" xfId="2122" builtinId="9" hidden="1"/>
    <cellStyle name="Followed Hyperlink" xfId="2124" builtinId="9" hidden="1"/>
    <cellStyle name="Followed Hyperlink" xfId="2126" builtinId="9" hidden="1"/>
    <cellStyle name="Followed Hyperlink" xfId="2128" builtinId="9" hidden="1"/>
    <cellStyle name="Followed Hyperlink" xfId="2130" builtinId="9" hidden="1"/>
    <cellStyle name="Followed Hyperlink" xfId="2132" builtinId="9" hidden="1"/>
    <cellStyle name="Followed Hyperlink" xfId="2134" builtinId="9" hidden="1"/>
    <cellStyle name="Followed Hyperlink" xfId="2136" builtinId="9" hidden="1"/>
    <cellStyle name="Followed Hyperlink" xfId="2138" builtinId="9" hidden="1"/>
    <cellStyle name="Followed Hyperlink" xfId="2140" builtinId="9" hidden="1"/>
    <cellStyle name="Followed Hyperlink" xfId="2142" builtinId="9" hidden="1"/>
    <cellStyle name="Followed Hyperlink" xfId="2144" builtinId="9" hidden="1"/>
    <cellStyle name="Followed Hyperlink" xfId="2146" builtinId="9" hidden="1"/>
    <cellStyle name="Followed Hyperlink" xfId="2148" builtinId="9" hidden="1"/>
    <cellStyle name="Followed Hyperlink" xfId="2150" builtinId="9" hidden="1"/>
    <cellStyle name="Followed Hyperlink" xfId="2152" builtinId="9" hidden="1"/>
    <cellStyle name="Followed Hyperlink" xfId="2154" builtinId="9" hidden="1"/>
    <cellStyle name="Followed Hyperlink" xfId="2156" builtinId="9" hidden="1"/>
    <cellStyle name="Followed Hyperlink" xfId="2158" builtinId="9" hidden="1"/>
    <cellStyle name="Followed Hyperlink" xfId="2160" builtinId="9" hidden="1"/>
    <cellStyle name="Followed Hyperlink" xfId="2162" builtinId="9" hidden="1"/>
    <cellStyle name="Followed Hyperlink" xfId="2164" builtinId="9" hidden="1"/>
    <cellStyle name="Followed Hyperlink" xfId="2166" builtinId="9" hidden="1"/>
    <cellStyle name="Followed Hyperlink" xfId="2168" builtinId="9" hidden="1"/>
    <cellStyle name="Followed Hyperlink" xfId="2170" builtinId="9" hidden="1"/>
    <cellStyle name="Followed Hyperlink" xfId="2172" builtinId="9" hidden="1"/>
    <cellStyle name="Followed Hyperlink" xfId="2174" builtinId="9" hidden="1"/>
    <cellStyle name="Followed Hyperlink" xfId="2176" builtinId="9" hidden="1"/>
    <cellStyle name="Followed Hyperlink" xfId="2178" builtinId="9" hidden="1"/>
    <cellStyle name="Followed Hyperlink" xfId="2180" builtinId="9" hidden="1"/>
    <cellStyle name="Followed Hyperlink" xfId="2182" builtinId="9" hidden="1"/>
    <cellStyle name="Followed Hyperlink" xfId="2184" builtinId="9" hidden="1"/>
    <cellStyle name="Followed Hyperlink" xfId="2186" builtinId="9" hidden="1"/>
    <cellStyle name="Followed Hyperlink" xfId="2188" builtinId="9" hidden="1"/>
    <cellStyle name="Followed Hyperlink" xfId="2190" builtinId="9" hidden="1"/>
    <cellStyle name="Followed Hyperlink" xfId="2192" builtinId="9" hidden="1"/>
    <cellStyle name="Followed Hyperlink" xfId="2194" builtinId="9" hidden="1"/>
    <cellStyle name="Followed Hyperlink" xfId="2196" builtinId="9" hidden="1"/>
    <cellStyle name="Followed Hyperlink" xfId="2198" builtinId="9" hidden="1"/>
    <cellStyle name="Followed Hyperlink" xfId="2200" builtinId="9" hidden="1"/>
    <cellStyle name="Followed Hyperlink" xfId="2202" builtinId="9" hidden="1"/>
    <cellStyle name="Followed Hyperlink" xfId="2204" builtinId="9" hidden="1"/>
    <cellStyle name="Followed Hyperlink" xfId="2206" builtinId="9" hidden="1"/>
    <cellStyle name="Followed Hyperlink" xfId="2208" builtinId="9" hidden="1"/>
    <cellStyle name="Followed Hyperlink" xfId="2210" builtinId="9" hidden="1"/>
    <cellStyle name="Followed Hyperlink" xfId="2212" builtinId="9" hidden="1"/>
    <cellStyle name="Followed Hyperlink" xfId="2214" builtinId="9" hidden="1"/>
    <cellStyle name="Followed Hyperlink" xfId="2216" builtinId="9" hidden="1"/>
    <cellStyle name="Followed Hyperlink" xfId="2218" builtinId="9" hidden="1"/>
    <cellStyle name="Followed Hyperlink" xfId="2220" builtinId="9" hidden="1"/>
    <cellStyle name="Followed Hyperlink" xfId="2222" builtinId="9" hidden="1"/>
    <cellStyle name="Followed Hyperlink" xfId="2224" builtinId="9" hidden="1"/>
    <cellStyle name="Followed Hyperlink" xfId="2226" builtinId="9" hidden="1"/>
    <cellStyle name="Followed Hyperlink" xfId="2228" builtinId="9" hidden="1"/>
    <cellStyle name="Followed Hyperlink" xfId="2230" builtinId="9" hidden="1"/>
    <cellStyle name="Followed Hyperlink" xfId="2232" builtinId="9" hidden="1"/>
    <cellStyle name="Followed Hyperlink" xfId="2234" builtinId="9" hidden="1"/>
    <cellStyle name="Followed Hyperlink" xfId="2236" builtinId="9" hidden="1"/>
    <cellStyle name="Followed Hyperlink" xfId="2238" builtinId="9" hidden="1"/>
    <cellStyle name="Followed Hyperlink" xfId="2240" builtinId="9" hidden="1"/>
    <cellStyle name="Followed Hyperlink" xfId="2242" builtinId="9" hidden="1"/>
    <cellStyle name="Followed Hyperlink" xfId="2244" builtinId="9" hidden="1"/>
    <cellStyle name="Followed Hyperlink" xfId="2246" builtinId="9" hidden="1"/>
    <cellStyle name="Followed Hyperlink" xfId="2248" builtinId="9" hidden="1"/>
    <cellStyle name="Followed Hyperlink" xfId="2250" builtinId="9" hidden="1"/>
    <cellStyle name="Followed Hyperlink" xfId="2252" builtinId="9" hidden="1"/>
    <cellStyle name="Followed Hyperlink" xfId="2254" builtinId="9" hidden="1"/>
    <cellStyle name="Followed Hyperlink" xfId="2256" builtinId="9" hidden="1"/>
    <cellStyle name="Followed Hyperlink" xfId="2258" builtinId="9" hidden="1"/>
    <cellStyle name="Followed Hyperlink" xfId="2260" builtinId="9" hidden="1"/>
    <cellStyle name="Followed Hyperlink" xfId="2262" builtinId="9" hidden="1"/>
    <cellStyle name="Followed Hyperlink" xfId="2264" builtinId="9" hidden="1"/>
    <cellStyle name="Followed Hyperlink" xfId="2266" builtinId="9" hidden="1"/>
    <cellStyle name="Followed Hyperlink" xfId="2268" builtinId="9" hidden="1"/>
    <cellStyle name="Followed Hyperlink" xfId="2270" builtinId="9" hidden="1"/>
    <cellStyle name="Followed Hyperlink" xfId="2272" builtinId="9" hidden="1"/>
    <cellStyle name="Followed Hyperlink" xfId="2274" builtinId="9" hidden="1"/>
    <cellStyle name="Followed Hyperlink" xfId="2276" builtinId="9" hidden="1"/>
    <cellStyle name="Followed Hyperlink" xfId="2278" builtinId="9" hidden="1"/>
    <cellStyle name="Followed Hyperlink" xfId="2280" builtinId="9" hidden="1"/>
    <cellStyle name="Followed Hyperlink" xfId="2282" builtinId="9" hidden="1"/>
    <cellStyle name="Followed Hyperlink" xfId="2284" builtinId="9" hidden="1"/>
    <cellStyle name="Followed Hyperlink" xfId="2286" builtinId="9" hidden="1"/>
    <cellStyle name="Followed Hyperlink" xfId="2288" builtinId="9" hidden="1"/>
    <cellStyle name="Followed Hyperlink" xfId="2290" builtinId="9" hidden="1"/>
    <cellStyle name="Followed Hyperlink" xfId="2292" builtinId="9" hidden="1"/>
    <cellStyle name="Followed Hyperlink" xfId="2294" builtinId="9" hidden="1"/>
    <cellStyle name="Followed Hyperlink" xfId="2296" builtinId="9" hidden="1"/>
    <cellStyle name="Followed Hyperlink" xfId="2298" builtinId="9" hidden="1"/>
    <cellStyle name="Followed Hyperlink" xfId="2300" builtinId="9" hidden="1"/>
    <cellStyle name="Followed Hyperlink" xfId="2302" builtinId="9" hidden="1"/>
    <cellStyle name="Followed Hyperlink" xfId="2304" builtinId="9" hidden="1"/>
    <cellStyle name="Followed Hyperlink" xfId="2306" builtinId="9" hidden="1"/>
    <cellStyle name="Followed Hyperlink" xfId="2308" builtinId="9" hidden="1"/>
    <cellStyle name="Followed Hyperlink" xfId="2310" builtinId="9" hidden="1"/>
    <cellStyle name="Followed Hyperlink" xfId="2312" builtinId="9" hidden="1"/>
    <cellStyle name="Followed Hyperlink" xfId="2314" builtinId="9" hidden="1"/>
    <cellStyle name="Followed Hyperlink" xfId="2316" builtinId="9" hidden="1"/>
    <cellStyle name="Followed Hyperlink" xfId="2318" builtinId="9" hidden="1"/>
    <cellStyle name="Followed Hyperlink" xfId="2320" builtinId="9" hidden="1"/>
    <cellStyle name="Followed Hyperlink" xfId="2322" builtinId="9" hidden="1"/>
    <cellStyle name="Followed Hyperlink" xfId="2324" builtinId="9" hidden="1"/>
    <cellStyle name="Followed Hyperlink" xfId="2326" builtinId="9" hidden="1"/>
    <cellStyle name="Followed Hyperlink" xfId="2328" builtinId="9" hidden="1"/>
    <cellStyle name="Followed Hyperlink" xfId="2330" builtinId="9" hidden="1"/>
    <cellStyle name="Followed Hyperlink" xfId="2332" builtinId="9" hidden="1"/>
    <cellStyle name="Followed Hyperlink" xfId="2334" builtinId="9" hidden="1"/>
    <cellStyle name="Followed Hyperlink" xfId="2336" builtinId="9" hidden="1"/>
    <cellStyle name="Followed Hyperlink" xfId="2338" builtinId="9" hidden="1"/>
    <cellStyle name="Followed Hyperlink" xfId="2340" builtinId="9" hidden="1"/>
    <cellStyle name="Followed Hyperlink" xfId="2342" builtinId="9" hidden="1"/>
    <cellStyle name="Followed Hyperlink" xfId="2344" builtinId="9" hidden="1"/>
    <cellStyle name="Followed Hyperlink" xfId="2346" builtinId="9" hidden="1"/>
    <cellStyle name="Followed Hyperlink" xfId="2348" builtinId="9" hidden="1"/>
    <cellStyle name="Followed Hyperlink" xfId="2350" builtinId="9" hidden="1"/>
    <cellStyle name="Followed Hyperlink" xfId="2352" builtinId="9" hidden="1"/>
    <cellStyle name="Followed Hyperlink" xfId="2354" builtinId="9" hidden="1"/>
    <cellStyle name="Followed Hyperlink" xfId="2356" builtinId="9" hidden="1"/>
    <cellStyle name="Followed Hyperlink" xfId="2358" builtinId="9" hidden="1"/>
    <cellStyle name="Followed Hyperlink" xfId="2360" builtinId="9" hidden="1"/>
    <cellStyle name="Followed Hyperlink" xfId="2362" builtinId="9" hidden="1"/>
    <cellStyle name="Followed Hyperlink" xfId="2364" builtinId="9" hidden="1"/>
    <cellStyle name="Followed Hyperlink" xfId="2366" builtinId="9" hidden="1"/>
    <cellStyle name="Followed Hyperlink" xfId="2368" builtinId="9" hidden="1"/>
    <cellStyle name="Followed Hyperlink" xfId="2370" builtinId="9" hidden="1"/>
    <cellStyle name="Followed Hyperlink" xfId="2372" builtinId="9" hidden="1"/>
    <cellStyle name="Followed Hyperlink" xfId="2374" builtinId="9" hidden="1"/>
    <cellStyle name="Followed Hyperlink" xfId="2376" builtinId="9" hidden="1"/>
    <cellStyle name="Followed Hyperlink" xfId="2378" builtinId="9" hidden="1"/>
    <cellStyle name="Followed Hyperlink" xfId="2380" builtinId="9" hidden="1"/>
    <cellStyle name="Followed Hyperlink" xfId="2382" builtinId="9" hidden="1"/>
    <cellStyle name="Followed Hyperlink" xfId="2384" builtinId="9" hidden="1"/>
    <cellStyle name="Followed Hyperlink" xfId="2386" builtinId="9" hidden="1"/>
    <cellStyle name="Followed Hyperlink" xfId="2388" builtinId="9" hidden="1"/>
    <cellStyle name="Followed Hyperlink" xfId="2390" builtinId="9" hidden="1"/>
    <cellStyle name="Followed Hyperlink" xfId="2392" builtinId="9" hidden="1"/>
    <cellStyle name="Followed Hyperlink" xfId="2394" builtinId="9" hidden="1"/>
    <cellStyle name="Followed Hyperlink" xfId="2396" builtinId="9" hidden="1"/>
    <cellStyle name="Followed Hyperlink" xfId="2398" builtinId="9" hidden="1"/>
    <cellStyle name="Followed Hyperlink" xfId="2400" builtinId="9" hidden="1"/>
    <cellStyle name="Followed Hyperlink" xfId="2402" builtinId="9" hidden="1"/>
    <cellStyle name="Followed Hyperlink" xfId="2404" builtinId="9" hidden="1"/>
    <cellStyle name="Followed Hyperlink" xfId="2406" builtinId="9" hidden="1"/>
    <cellStyle name="Followed Hyperlink" xfId="2408" builtinId="9" hidden="1"/>
    <cellStyle name="Followed Hyperlink" xfId="2410" builtinId="9" hidden="1"/>
    <cellStyle name="Followed Hyperlink" xfId="2412" builtinId="9" hidden="1"/>
    <cellStyle name="Followed Hyperlink" xfId="2414" builtinId="9" hidden="1"/>
    <cellStyle name="Followed Hyperlink" xfId="2416" builtinId="9" hidden="1"/>
    <cellStyle name="Followed Hyperlink" xfId="2418" builtinId="9" hidden="1"/>
    <cellStyle name="Followed Hyperlink" xfId="2420" builtinId="9" hidden="1"/>
    <cellStyle name="Followed Hyperlink" xfId="2422" builtinId="9" hidden="1"/>
    <cellStyle name="Followed Hyperlink" xfId="2424" builtinId="9" hidden="1"/>
    <cellStyle name="Followed Hyperlink" xfId="2426" builtinId="9" hidden="1"/>
    <cellStyle name="Followed Hyperlink" xfId="2428" builtinId="9" hidden="1"/>
    <cellStyle name="Followed Hyperlink" xfId="2430" builtinId="9" hidden="1"/>
    <cellStyle name="Followed Hyperlink" xfId="2432" builtinId="9" hidden="1"/>
    <cellStyle name="Followed Hyperlink" xfId="2434" builtinId="9" hidden="1"/>
    <cellStyle name="Followed Hyperlink" xfId="2436" builtinId="9" hidden="1"/>
    <cellStyle name="Followed Hyperlink" xfId="2438" builtinId="9" hidden="1"/>
    <cellStyle name="Followed Hyperlink" xfId="2440" builtinId="9" hidden="1"/>
    <cellStyle name="Followed Hyperlink" xfId="2442" builtinId="9" hidden="1"/>
    <cellStyle name="Followed Hyperlink" xfId="2444" builtinId="9" hidden="1"/>
    <cellStyle name="Followed Hyperlink" xfId="2446" builtinId="9" hidden="1"/>
    <cellStyle name="Followed Hyperlink" xfId="2448" builtinId="9" hidden="1"/>
    <cellStyle name="Followed Hyperlink" xfId="2450" builtinId="9" hidden="1"/>
    <cellStyle name="Followed Hyperlink" xfId="2452" builtinId="9" hidden="1"/>
    <cellStyle name="Followed Hyperlink" xfId="2454" builtinId="9" hidden="1"/>
    <cellStyle name="Followed Hyperlink" xfId="2456" builtinId="9" hidden="1"/>
    <cellStyle name="Followed Hyperlink" xfId="2458" builtinId="9" hidden="1"/>
    <cellStyle name="Followed Hyperlink" xfId="2460" builtinId="9" hidden="1"/>
    <cellStyle name="Followed Hyperlink" xfId="2462" builtinId="9" hidden="1"/>
    <cellStyle name="Followed Hyperlink" xfId="2464" builtinId="9" hidden="1"/>
    <cellStyle name="Followed Hyperlink" xfId="2466" builtinId="9" hidden="1"/>
    <cellStyle name="Followed Hyperlink" xfId="2468" builtinId="9" hidden="1"/>
    <cellStyle name="Followed Hyperlink" xfId="2470" builtinId="9" hidden="1"/>
    <cellStyle name="Followed Hyperlink" xfId="2472" builtinId="9" hidden="1"/>
    <cellStyle name="Followed Hyperlink" xfId="2474" builtinId="9" hidden="1"/>
    <cellStyle name="Followed Hyperlink" xfId="2476" builtinId="9" hidden="1"/>
    <cellStyle name="Followed Hyperlink" xfId="2478" builtinId="9" hidden="1"/>
    <cellStyle name="Followed Hyperlink" xfId="2480" builtinId="9" hidden="1"/>
    <cellStyle name="Followed Hyperlink" xfId="2482" builtinId="9" hidden="1"/>
    <cellStyle name="Followed Hyperlink" xfId="2484" builtinId="9" hidden="1"/>
    <cellStyle name="Followed Hyperlink" xfId="2486" builtinId="9" hidden="1"/>
    <cellStyle name="Followed Hyperlink" xfId="2488" builtinId="9" hidden="1"/>
    <cellStyle name="Followed Hyperlink" xfId="2490" builtinId="9" hidden="1"/>
    <cellStyle name="Followed Hyperlink" xfId="2492" builtinId="9" hidden="1"/>
    <cellStyle name="Followed Hyperlink" xfId="2494" builtinId="9" hidden="1"/>
    <cellStyle name="Followed Hyperlink" xfId="2496" builtinId="9" hidden="1"/>
    <cellStyle name="Followed Hyperlink" xfId="2498" builtinId="9" hidden="1"/>
    <cellStyle name="Followed Hyperlink" xfId="2500" builtinId="9" hidden="1"/>
    <cellStyle name="Followed Hyperlink" xfId="2502" builtinId="9" hidden="1"/>
    <cellStyle name="Followed Hyperlink" xfId="2504" builtinId="9" hidden="1"/>
    <cellStyle name="Followed Hyperlink" xfId="2506" builtinId="9" hidden="1"/>
    <cellStyle name="Followed Hyperlink" xfId="2508" builtinId="9" hidden="1"/>
    <cellStyle name="Followed Hyperlink" xfId="2510" builtinId="9" hidden="1"/>
    <cellStyle name="Followed Hyperlink" xfId="2512" builtinId="9" hidden="1"/>
    <cellStyle name="Followed Hyperlink" xfId="2514" builtinId="9" hidden="1"/>
    <cellStyle name="Followed Hyperlink" xfId="2516" builtinId="9" hidden="1"/>
    <cellStyle name="Followed Hyperlink" xfId="2518" builtinId="9" hidden="1"/>
    <cellStyle name="Followed Hyperlink" xfId="2520" builtinId="9" hidden="1"/>
    <cellStyle name="Followed Hyperlink" xfId="2522" builtinId="9" hidden="1"/>
    <cellStyle name="Followed Hyperlink" xfId="2524" builtinId="9" hidden="1"/>
    <cellStyle name="Followed Hyperlink" xfId="2526" builtinId="9" hidden="1"/>
    <cellStyle name="Followed Hyperlink" xfId="2528" builtinId="9" hidden="1"/>
    <cellStyle name="Followed Hyperlink" xfId="2530" builtinId="9" hidden="1"/>
    <cellStyle name="Followed Hyperlink" xfId="2532" builtinId="9" hidden="1"/>
    <cellStyle name="Followed Hyperlink" xfId="2534" builtinId="9" hidden="1"/>
    <cellStyle name="Followed Hyperlink" xfId="2536" builtinId="9" hidden="1"/>
    <cellStyle name="Followed Hyperlink" xfId="2538" builtinId="9" hidden="1"/>
    <cellStyle name="Followed Hyperlink" xfId="2540" builtinId="9" hidden="1"/>
    <cellStyle name="Followed Hyperlink" xfId="2542" builtinId="9" hidden="1"/>
    <cellStyle name="Followed Hyperlink" xfId="2544" builtinId="9" hidden="1"/>
    <cellStyle name="Followed Hyperlink" xfId="2546" builtinId="9" hidden="1"/>
    <cellStyle name="Followed Hyperlink" xfId="2548" builtinId="9" hidden="1"/>
    <cellStyle name="Followed Hyperlink" xfId="2550" builtinId="9" hidden="1"/>
    <cellStyle name="Followed Hyperlink" xfId="2552" builtinId="9" hidden="1"/>
    <cellStyle name="Followed Hyperlink" xfId="2554" builtinId="9" hidden="1"/>
    <cellStyle name="Followed Hyperlink" xfId="2556" builtinId="9" hidden="1"/>
    <cellStyle name="Followed Hyperlink" xfId="2558" builtinId="9" hidden="1"/>
    <cellStyle name="Followed Hyperlink" xfId="2560" builtinId="9" hidden="1"/>
    <cellStyle name="Followed Hyperlink" xfId="2562" builtinId="9" hidden="1"/>
    <cellStyle name="Followed Hyperlink" xfId="2564" builtinId="9" hidden="1"/>
    <cellStyle name="Followed Hyperlink" xfId="2566" builtinId="9" hidden="1"/>
    <cellStyle name="Followed Hyperlink" xfId="2568" builtinId="9" hidden="1"/>
    <cellStyle name="Followed Hyperlink" xfId="2570" builtinId="9" hidden="1"/>
    <cellStyle name="Followed Hyperlink" xfId="2572" builtinId="9" hidden="1"/>
    <cellStyle name="Followed Hyperlink" xfId="2574" builtinId="9" hidden="1"/>
    <cellStyle name="Followed Hyperlink" xfId="2576" builtinId="9" hidden="1"/>
    <cellStyle name="Followed Hyperlink" xfId="2578" builtinId="9" hidden="1"/>
    <cellStyle name="Followed Hyperlink" xfId="2580" builtinId="9" hidden="1"/>
    <cellStyle name="Followed Hyperlink" xfId="2582" builtinId="9" hidden="1"/>
    <cellStyle name="Followed Hyperlink" xfId="2584" builtinId="9" hidden="1"/>
    <cellStyle name="Followed Hyperlink" xfId="2586" builtinId="9" hidden="1"/>
    <cellStyle name="Followed Hyperlink" xfId="2588" builtinId="9" hidden="1"/>
    <cellStyle name="Followed Hyperlink" xfId="2590" builtinId="9" hidden="1"/>
    <cellStyle name="Followed Hyperlink" xfId="2592" builtinId="9" hidden="1"/>
    <cellStyle name="Followed Hyperlink" xfId="2594" builtinId="9" hidden="1"/>
    <cellStyle name="Followed Hyperlink" xfId="2596" builtinId="9" hidden="1"/>
    <cellStyle name="Followed Hyperlink" xfId="2598" builtinId="9" hidden="1"/>
    <cellStyle name="Followed Hyperlink" xfId="2600" builtinId="9" hidden="1"/>
    <cellStyle name="Followed Hyperlink" xfId="2602" builtinId="9" hidden="1"/>
    <cellStyle name="Followed Hyperlink" xfId="2604" builtinId="9" hidden="1"/>
    <cellStyle name="Followed Hyperlink" xfId="2606" builtinId="9" hidden="1"/>
    <cellStyle name="Followed Hyperlink" xfId="2608" builtinId="9" hidden="1"/>
    <cellStyle name="Followed Hyperlink" xfId="2610" builtinId="9" hidden="1"/>
    <cellStyle name="Followed Hyperlink" xfId="2612" builtinId="9" hidden="1"/>
    <cellStyle name="Followed Hyperlink" xfId="2614" builtinId="9" hidden="1"/>
    <cellStyle name="Followed Hyperlink" xfId="2616" builtinId="9" hidden="1"/>
    <cellStyle name="Followed Hyperlink" xfId="2618" builtinId="9" hidden="1"/>
    <cellStyle name="Followed Hyperlink" xfId="2620" builtinId="9" hidden="1"/>
    <cellStyle name="Followed Hyperlink" xfId="2622" builtinId="9" hidden="1"/>
    <cellStyle name="Followed Hyperlink" xfId="2624" builtinId="9" hidden="1"/>
    <cellStyle name="Followed Hyperlink" xfId="2626" builtinId="9" hidden="1"/>
    <cellStyle name="Followed Hyperlink" xfId="2628" builtinId="9" hidden="1"/>
    <cellStyle name="Followed Hyperlink" xfId="2630" builtinId="9" hidden="1"/>
    <cellStyle name="Followed Hyperlink" xfId="2632" builtinId="9" hidden="1"/>
    <cellStyle name="Followed Hyperlink" xfId="2634" builtinId="9" hidden="1"/>
    <cellStyle name="Followed Hyperlink" xfId="2636" builtinId="9" hidden="1"/>
    <cellStyle name="Followed Hyperlink" xfId="2638" builtinId="9" hidden="1"/>
    <cellStyle name="Followed Hyperlink" xfId="2640" builtinId="9" hidden="1"/>
    <cellStyle name="Followed Hyperlink" xfId="2642" builtinId="9" hidden="1"/>
    <cellStyle name="Followed Hyperlink" xfId="2644" builtinId="9" hidden="1"/>
    <cellStyle name="Followed Hyperlink" xfId="2646" builtinId="9" hidden="1"/>
    <cellStyle name="Followed Hyperlink" xfId="2648" builtinId="9" hidden="1"/>
    <cellStyle name="Followed Hyperlink" xfId="2650" builtinId="9" hidden="1"/>
    <cellStyle name="Followed Hyperlink" xfId="2652" builtinId="9" hidden="1"/>
    <cellStyle name="Followed Hyperlink" xfId="2654" builtinId="9" hidden="1"/>
    <cellStyle name="Followed Hyperlink" xfId="2656" builtinId="9" hidden="1"/>
    <cellStyle name="Followed Hyperlink" xfId="2658" builtinId="9" hidden="1"/>
    <cellStyle name="Followed Hyperlink" xfId="2660" builtinId="9" hidden="1"/>
    <cellStyle name="Followed Hyperlink" xfId="2662" builtinId="9" hidden="1"/>
    <cellStyle name="Followed Hyperlink" xfId="2664" builtinId="9" hidden="1"/>
    <cellStyle name="Followed Hyperlink" xfId="2666" builtinId="9" hidden="1"/>
    <cellStyle name="Followed Hyperlink" xfId="2668" builtinId="9" hidden="1"/>
    <cellStyle name="Followed Hyperlink" xfId="2670" builtinId="9" hidden="1"/>
    <cellStyle name="Followed Hyperlink" xfId="2672" builtinId="9" hidden="1"/>
    <cellStyle name="Followed Hyperlink" xfId="2674" builtinId="9" hidden="1"/>
    <cellStyle name="Followed Hyperlink" xfId="2676" builtinId="9" hidden="1"/>
    <cellStyle name="Followed Hyperlink" xfId="2678" builtinId="9" hidden="1"/>
    <cellStyle name="Followed Hyperlink" xfId="2680" builtinId="9" hidden="1"/>
    <cellStyle name="Followed Hyperlink" xfId="2682" builtinId="9" hidden="1"/>
    <cellStyle name="Followed Hyperlink" xfId="2684" builtinId="9" hidden="1"/>
    <cellStyle name="Followed Hyperlink" xfId="2686" builtinId="9" hidden="1"/>
    <cellStyle name="Followed Hyperlink" xfId="2688" builtinId="9" hidden="1"/>
    <cellStyle name="Followed Hyperlink" xfId="2690" builtinId="9" hidden="1"/>
    <cellStyle name="Followed Hyperlink" xfId="2692" builtinId="9" hidden="1"/>
    <cellStyle name="Followed Hyperlink" xfId="2694" builtinId="9" hidden="1"/>
    <cellStyle name="Followed Hyperlink" xfId="2696" builtinId="9" hidden="1"/>
    <cellStyle name="Followed Hyperlink" xfId="2698" builtinId="9" hidden="1"/>
    <cellStyle name="Followed Hyperlink" xfId="2700" builtinId="9" hidden="1"/>
    <cellStyle name="Followed Hyperlink" xfId="2702" builtinId="9" hidden="1"/>
    <cellStyle name="Followed Hyperlink" xfId="2704" builtinId="9" hidden="1"/>
    <cellStyle name="Followed Hyperlink" xfId="2706" builtinId="9" hidden="1"/>
    <cellStyle name="Followed Hyperlink" xfId="2708" builtinId="9" hidden="1"/>
    <cellStyle name="Followed Hyperlink" xfId="2710" builtinId="9" hidden="1"/>
    <cellStyle name="Followed Hyperlink" xfId="2712" builtinId="9" hidden="1"/>
    <cellStyle name="Followed Hyperlink" xfId="2714" builtinId="9" hidden="1"/>
    <cellStyle name="Followed Hyperlink" xfId="2716" builtinId="9" hidden="1"/>
    <cellStyle name="Followed Hyperlink" xfId="2718" builtinId="9" hidden="1"/>
    <cellStyle name="Followed Hyperlink" xfId="2720" builtinId="9" hidden="1"/>
    <cellStyle name="Followed Hyperlink" xfId="2722" builtinId="9" hidden="1"/>
    <cellStyle name="Followed Hyperlink" xfId="2724" builtinId="9" hidden="1"/>
    <cellStyle name="Followed Hyperlink" xfId="2726" builtinId="9" hidden="1"/>
    <cellStyle name="Followed Hyperlink" xfId="2728" builtinId="9" hidden="1"/>
    <cellStyle name="Followed Hyperlink" xfId="2730" builtinId="9" hidden="1"/>
    <cellStyle name="Followed Hyperlink" xfId="2732" builtinId="9" hidden="1"/>
    <cellStyle name="Followed Hyperlink" xfId="2734" builtinId="9" hidden="1"/>
    <cellStyle name="Followed Hyperlink" xfId="2736" builtinId="9" hidden="1"/>
    <cellStyle name="Followed Hyperlink" xfId="2738" builtinId="9" hidden="1"/>
    <cellStyle name="Followed Hyperlink" xfId="2740" builtinId="9" hidden="1"/>
    <cellStyle name="Followed Hyperlink" xfId="2742" builtinId="9" hidden="1"/>
    <cellStyle name="Followed Hyperlink" xfId="2744" builtinId="9" hidden="1"/>
    <cellStyle name="Followed Hyperlink" xfId="2746" builtinId="9" hidden="1"/>
    <cellStyle name="Followed Hyperlink" xfId="2748" builtinId="9" hidden="1"/>
    <cellStyle name="Followed Hyperlink" xfId="2750" builtinId="9" hidden="1"/>
    <cellStyle name="Followed Hyperlink" xfId="2752" builtinId="9" hidden="1"/>
    <cellStyle name="Followed Hyperlink" xfId="2754" builtinId="9" hidden="1"/>
    <cellStyle name="Followed Hyperlink" xfId="2756" builtinId="9" hidden="1"/>
    <cellStyle name="Followed Hyperlink" xfId="2758" builtinId="9" hidden="1"/>
    <cellStyle name="Followed Hyperlink" xfId="2760" builtinId="9" hidden="1"/>
    <cellStyle name="Followed Hyperlink" xfId="2762" builtinId="9" hidden="1"/>
    <cellStyle name="Followed Hyperlink" xfId="2764" builtinId="9" hidden="1"/>
    <cellStyle name="Followed Hyperlink" xfId="2766" builtinId="9" hidden="1"/>
    <cellStyle name="Followed Hyperlink" xfId="2768" builtinId="9" hidden="1"/>
    <cellStyle name="Followed Hyperlink" xfId="2770" builtinId="9" hidden="1"/>
    <cellStyle name="Followed Hyperlink" xfId="2772" builtinId="9" hidden="1"/>
    <cellStyle name="Followed Hyperlink" xfId="2774" builtinId="9" hidden="1"/>
    <cellStyle name="Followed Hyperlink" xfId="2776" builtinId="9" hidden="1"/>
    <cellStyle name="Followed Hyperlink" xfId="2778" builtinId="9" hidden="1"/>
    <cellStyle name="Followed Hyperlink" xfId="2780" builtinId="9" hidden="1"/>
    <cellStyle name="Followed Hyperlink" xfId="2782" builtinId="9" hidden="1"/>
    <cellStyle name="Followed Hyperlink" xfId="2784" builtinId="9" hidden="1"/>
    <cellStyle name="Followed Hyperlink" xfId="2786" builtinId="9" hidden="1"/>
    <cellStyle name="Followed Hyperlink" xfId="2788" builtinId="9" hidden="1"/>
    <cellStyle name="Followed Hyperlink" xfId="2790" builtinId="9" hidden="1"/>
    <cellStyle name="Followed Hyperlink" xfId="2792" builtinId="9" hidden="1"/>
    <cellStyle name="Followed Hyperlink" xfId="2794" builtinId="9" hidden="1"/>
    <cellStyle name="Followed Hyperlink" xfId="2796" builtinId="9" hidden="1"/>
    <cellStyle name="Followed Hyperlink" xfId="2798" builtinId="9" hidden="1"/>
    <cellStyle name="Followed Hyperlink" xfId="2800" builtinId="9" hidden="1"/>
    <cellStyle name="Followed Hyperlink" xfId="2802" builtinId="9" hidden="1"/>
    <cellStyle name="Followed Hyperlink" xfId="2804" builtinId="9" hidden="1"/>
    <cellStyle name="Followed Hyperlink" xfId="2806" builtinId="9" hidden="1"/>
    <cellStyle name="Followed Hyperlink" xfId="2808" builtinId="9" hidden="1"/>
    <cellStyle name="Followed Hyperlink" xfId="2810" builtinId="9" hidden="1"/>
    <cellStyle name="Followed Hyperlink" xfId="2812" builtinId="9" hidden="1"/>
    <cellStyle name="Followed Hyperlink" xfId="2814" builtinId="9" hidden="1"/>
    <cellStyle name="Followed Hyperlink" xfId="2816" builtinId="9" hidden="1"/>
    <cellStyle name="Followed Hyperlink" xfId="2818" builtinId="9" hidden="1"/>
    <cellStyle name="Followed Hyperlink" xfId="2820" builtinId="9" hidden="1"/>
    <cellStyle name="Followed Hyperlink" xfId="2822" builtinId="9" hidden="1"/>
    <cellStyle name="Followed Hyperlink" xfId="2824" builtinId="9" hidden="1"/>
    <cellStyle name="Followed Hyperlink" xfId="2826" builtinId="9" hidden="1"/>
    <cellStyle name="Followed Hyperlink" xfId="2828" builtinId="9" hidden="1"/>
    <cellStyle name="Followed Hyperlink" xfId="2830" builtinId="9" hidden="1"/>
    <cellStyle name="Followed Hyperlink" xfId="2832" builtinId="9" hidden="1"/>
    <cellStyle name="Followed Hyperlink" xfId="2834" builtinId="9" hidden="1"/>
    <cellStyle name="Followed Hyperlink" xfId="2836" builtinId="9" hidden="1"/>
    <cellStyle name="Followed Hyperlink" xfId="2838" builtinId="9" hidden="1"/>
    <cellStyle name="Followed Hyperlink" xfId="2840" builtinId="9" hidden="1"/>
    <cellStyle name="Followed Hyperlink" xfId="2842" builtinId="9" hidden="1"/>
    <cellStyle name="Followed Hyperlink" xfId="2844" builtinId="9" hidden="1"/>
    <cellStyle name="Followed Hyperlink" xfId="2846" builtinId="9" hidden="1"/>
    <cellStyle name="Followed Hyperlink" xfId="2848" builtinId="9" hidden="1"/>
    <cellStyle name="Followed Hyperlink" xfId="2850" builtinId="9" hidden="1"/>
    <cellStyle name="Followed Hyperlink" xfId="2852" builtinId="9" hidden="1"/>
    <cellStyle name="Followed Hyperlink" xfId="2854" builtinId="9" hidden="1"/>
    <cellStyle name="Followed Hyperlink" xfId="2856" builtinId="9" hidden="1"/>
    <cellStyle name="Followed Hyperlink" xfId="2858" builtinId="9" hidden="1"/>
    <cellStyle name="Followed Hyperlink" xfId="2860" builtinId="9" hidden="1"/>
    <cellStyle name="Followed Hyperlink" xfId="2862" builtinId="9" hidden="1"/>
    <cellStyle name="Followed Hyperlink" xfId="2864" builtinId="9" hidden="1"/>
    <cellStyle name="Followed Hyperlink" xfId="2866" builtinId="9" hidden="1"/>
    <cellStyle name="Followed Hyperlink" xfId="2868" builtinId="9" hidden="1"/>
    <cellStyle name="Followed Hyperlink" xfId="2870" builtinId="9" hidden="1"/>
    <cellStyle name="Followed Hyperlink" xfId="2872" builtinId="9" hidden="1"/>
    <cellStyle name="Followed Hyperlink" xfId="2874" builtinId="9" hidden="1"/>
    <cellStyle name="Followed Hyperlink" xfId="2876" builtinId="9" hidden="1"/>
    <cellStyle name="Followed Hyperlink" xfId="2878" builtinId="9" hidden="1"/>
    <cellStyle name="Followed Hyperlink" xfId="2880" builtinId="9" hidden="1"/>
    <cellStyle name="Followed Hyperlink" xfId="2882" builtinId="9" hidden="1"/>
    <cellStyle name="Followed Hyperlink" xfId="2884" builtinId="9" hidden="1"/>
    <cellStyle name="Followed Hyperlink" xfId="2886" builtinId="9" hidden="1"/>
    <cellStyle name="Followed Hyperlink" xfId="2888" builtinId="9" hidden="1"/>
    <cellStyle name="Followed Hyperlink" xfId="2890" builtinId="9" hidden="1"/>
    <cellStyle name="Followed Hyperlink" xfId="2892" builtinId="9" hidden="1"/>
    <cellStyle name="Followed Hyperlink" xfId="2894" builtinId="9" hidden="1"/>
    <cellStyle name="Followed Hyperlink" xfId="2896" builtinId="9" hidden="1"/>
    <cellStyle name="Followed Hyperlink" xfId="2898" builtinId="9" hidden="1"/>
    <cellStyle name="Followed Hyperlink" xfId="2900" builtinId="9" hidden="1"/>
    <cellStyle name="Followed Hyperlink" xfId="2902" builtinId="9" hidden="1"/>
    <cellStyle name="Followed Hyperlink" xfId="2904" builtinId="9" hidden="1"/>
    <cellStyle name="Followed Hyperlink" xfId="2906" builtinId="9" hidden="1"/>
    <cellStyle name="Followed Hyperlink" xfId="2908" builtinId="9" hidden="1"/>
    <cellStyle name="Followed Hyperlink" xfId="2910" builtinId="9" hidden="1"/>
    <cellStyle name="Followed Hyperlink" xfId="2912" builtinId="9" hidden="1"/>
    <cellStyle name="Followed Hyperlink" xfId="2914" builtinId="9" hidden="1"/>
    <cellStyle name="Followed Hyperlink" xfId="2916" builtinId="9" hidden="1"/>
    <cellStyle name="Followed Hyperlink" xfId="2918" builtinId="9" hidden="1"/>
    <cellStyle name="Followed Hyperlink" xfId="2920" builtinId="9" hidden="1"/>
    <cellStyle name="Followed Hyperlink" xfId="2922" builtinId="9" hidden="1"/>
    <cellStyle name="Followed Hyperlink" xfId="2924" builtinId="9" hidden="1"/>
    <cellStyle name="Followed Hyperlink" xfId="2926" builtinId="9" hidden="1"/>
    <cellStyle name="Followed Hyperlink" xfId="2928" builtinId="9" hidden="1"/>
    <cellStyle name="Followed Hyperlink" xfId="2930" builtinId="9" hidden="1"/>
    <cellStyle name="Followed Hyperlink" xfId="2932" builtinId="9" hidden="1"/>
    <cellStyle name="Followed Hyperlink" xfId="2934" builtinId="9" hidden="1"/>
    <cellStyle name="Followed Hyperlink" xfId="2936" builtinId="9" hidden="1"/>
    <cellStyle name="Followed Hyperlink" xfId="2938" builtinId="9" hidden="1"/>
    <cellStyle name="Followed Hyperlink" xfId="2940" builtinId="9" hidden="1"/>
    <cellStyle name="Followed Hyperlink" xfId="2942" builtinId="9" hidden="1"/>
    <cellStyle name="Followed Hyperlink" xfId="2944" builtinId="9" hidden="1"/>
    <cellStyle name="Followed Hyperlink" xfId="2946" builtinId="9" hidden="1"/>
    <cellStyle name="Followed Hyperlink" xfId="2948" builtinId="9" hidden="1"/>
    <cellStyle name="Followed Hyperlink" xfId="2950" builtinId="9" hidden="1"/>
    <cellStyle name="Followed Hyperlink" xfId="2952" builtinId="9" hidden="1"/>
    <cellStyle name="Followed Hyperlink" xfId="2954" builtinId="9" hidden="1"/>
    <cellStyle name="Followed Hyperlink" xfId="2956" builtinId="9" hidden="1"/>
    <cellStyle name="Followed Hyperlink" xfId="2958" builtinId="9" hidden="1"/>
    <cellStyle name="Followed Hyperlink" xfId="2960" builtinId="9" hidden="1"/>
    <cellStyle name="Followed Hyperlink" xfId="2962" builtinId="9" hidden="1"/>
    <cellStyle name="Followed Hyperlink" xfId="2964" builtinId="9" hidden="1"/>
    <cellStyle name="Followed Hyperlink" xfId="2966" builtinId="9" hidden="1"/>
    <cellStyle name="Followed Hyperlink" xfId="2968" builtinId="9" hidden="1"/>
    <cellStyle name="Followed Hyperlink" xfId="2970" builtinId="9" hidden="1"/>
    <cellStyle name="Followed Hyperlink" xfId="2972" builtinId="9" hidden="1"/>
    <cellStyle name="Followed Hyperlink" xfId="2974" builtinId="9" hidden="1"/>
    <cellStyle name="Followed Hyperlink" xfId="2976" builtinId="9" hidden="1"/>
    <cellStyle name="Followed Hyperlink" xfId="2978" builtinId="9" hidden="1"/>
    <cellStyle name="Followed Hyperlink" xfId="2980" builtinId="9" hidden="1"/>
    <cellStyle name="Followed Hyperlink" xfId="2982" builtinId="9" hidden="1"/>
    <cellStyle name="Followed Hyperlink" xfId="2984" builtinId="9" hidden="1"/>
    <cellStyle name="Followed Hyperlink" xfId="2986" builtinId="9" hidden="1"/>
    <cellStyle name="Followed Hyperlink" xfId="2988" builtinId="9" hidden="1"/>
    <cellStyle name="Followed Hyperlink" xfId="2990" builtinId="9" hidden="1"/>
    <cellStyle name="Followed Hyperlink" xfId="2992" builtinId="9" hidden="1"/>
    <cellStyle name="Followed Hyperlink" xfId="2994" builtinId="9" hidden="1"/>
    <cellStyle name="Followed Hyperlink" xfId="2996" builtinId="9" hidden="1"/>
    <cellStyle name="Followed Hyperlink" xfId="2998" builtinId="9" hidden="1"/>
    <cellStyle name="Followed Hyperlink" xfId="3000" builtinId="9" hidden="1"/>
    <cellStyle name="Followed Hyperlink" xfId="3002" builtinId="9" hidden="1"/>
    <cellStyle name="Followed Hyperlink" xfId="3004" builtinId="9" hidden="1"/>
    <cellStyle name="Followed Hyperlink" xfId="3006" builtinId="9" hidden="1"/>
    <cellStyle name="Followed Hyperlink" xfId="3008" builtinId="9" hidden="1"/>
    <cellStyle name="Followed Hyperlink" xfId="3010" builtinId="9" hidden="1"/>
    <cellStyle name="Followed Hyperlink" xfId="3012" builtinId="9" hidden="1"/>
    <cellStyle name="Followed Hyperlink" xfId="3014" builtinId="9" hidden="1"/>
    <cellStyle name="Followed Hyperlink" xfId="3016" builtinId="9" hidden="1"/>
    <cellStyle name="Followed Hyperlink" xfId="3018" builtinId="9" hidden="1"/>
    <cellStyle name="Followed Hyperlink" xfId="3020" builtinId="9" hidden="1"/>
    <cellStyle name="Followed Hyperlink" xfId="3022" builtinId="9" hidden="1"/>
    <cellStyle name="Followed Hyperlink" xfId="3024" builtinId="9" hidden="1"/>
    <cellStyle name="Followed Hyperlink" xfId="3026" builtinId="9" hidden="1"/>
    <cellStyle name="Followed Hyperlink" xfId="3028" builtinId="9" hidden="1"/>
    <cellStyle name="Followed Hyperlink" xfId="3030" builtinId="9" hidden="1"/>
    <cellStyle name="Followed Hyperlink" xfId="3032" builtinId="9" hidden="1"/>
    <cellStyle name="Followed Hyperlink" xfId="3034" builtinId="9" hidden="1"/>
    <cellStyle name="Followed Hyperlink" xfId="3036" builtinId="9" hidden="1"/>
    <cellStyle name="Followed Hyperlink" xfId="3038" builtinId="9" hidden="1"/>
    <cellStyle name="Followed Hyperlink" xfId="3040" builtinId="9" hidden="1"/>
    <cellStyle name="Followed Hyperlink" xfId="3042" builtinId="9" hidden="1"/>
    <cellStyle name="Followed Hyperlink" xfId="3044" builtinId="9" hidden="1"/>
    <cellStyle name="Followed Hyperlink" xfId="3046" builtinId="9" hidden="1"/>
    <cellStyle name="Followed Hyperlink" xfId="3048" builtinId="9" hidden="1"/>
    <cellStyle name="Followed Hyperlink" xfId="3050" builtinId="9" hidden="1"/>
    <cellStyle name="Followed Hyperlink" xfId="3052" builtinId="9" hidden="1"/>
    <cellStyle name="Followed Hyperlink" xfId="3054" builtinId="9" hidden="1"/>
    <cellStyle name="Followed Hyperlink" xfId="3056" builtinId="9" hidden="1"/>
    <cellStyle name="Followed Hyperlink" xfId="3058" builtinId="9" hidden="1"/>
    <cellStyle name="Followed Hyperlink" xfId="3060" builtinId="9" hidden="1"/>
    <cellStyle name="Followed Hyperlink" xfId="3062" builtinId="9" hidden="1"/>
    <cellStyle name="Followed Hyperlink" xfId="3064" builtinId="9" hidden="1"/>
    <cellStyle name="Followed Hyperlink" xfId="3066" builtinId="9" hidden="1"/>
    <cellStyle name="Followed Hyperlink" xfId="3068" builtinId="9" hidden="1"/>
    <cellStyle name="Followed Hyperlink" xfId="3070" builtinId="9" hidden="1"/>
    <cellStyle name="Followed Hyperlink" xfId="3072" builtinId="9" hidden="1"/>
    <cellStyle name="Followed Hyperlink" xfId="3074" builtinId="9" hidden="1"/>
    <cellStyle name="Followed Hyperlink" xfId="3076" builtinId="9" hidden="1"/>
    <cellStyle name="Followed Hyperlink" xfId="3078" builtinId="9" hidden="1"/>
    <cellStyle name="Followed Hyperlink" xfId="3080" builtinId="9" hidden="1"/>
    <cellStyle name="Followed Hyperlink" xfId="3082" builtinId="9" hidden="1"/>
    <cellStyle name="Followed Hyperlink" xfId="3084" builtinId="9" hidden="1"/>
    <cellStyle name="Followed Hyperlink" xfId="3086" builtinId="9" hidden="1"/>
    <cellStyle name="Followed Hyperlink" xfId="3088" builtinId="9" hidden="1"/>
    <cellStyle name="Followed Hyperlink" xfId="3090" builtinId="9" hidden="1"/>
    <cellStyle name="Followed Hyperlink" xfId="3092" builtinId="9" hidden="1"/>
    <cellStyle name="Followed Hyperlink" xfId="3094" builtinId="9" hidden="1"/>
    <cellStyle name="Followed Hyperlink" xfId="3096" builtinId="9" hidden="1"/>
    <cellStyle name="Followed Hyperlink" xfId="3098" builtinId="9" hidden="1"/>
    <cellStyle name="Followed Hyperlink" xfId="3100" builtinId="9" hidden="1"/>
    <cellStyle name="Followed Hyperlink" xfId="3102" builtinId="9" hidden="1"/>
    <cellStyle name="Followed Hyperlink" xfId="3104" builtinId="9" hidden="1"/>
    <cellStyle name="Followed Hyperlink" xfId="3106" builtinId="9" hidden="1"/>
    <cellStyle name="Followed Hyperlink" xfId="3108" builtinId="9" hidden="1"/>
    <cellStyle name="Followed Hyperlink" xfId="3110" builtinId="9" hidden="1"/>
    <cellStyle name="Followed Hyperlink" xfId="3112" builtinId="9" hidden="1"/>
    <cellStyle name="Followed Hyperlink" xfId="3114" builtinId="9" hidden="1"/>
    <cellStyle name="Followed Hyperlink" xfId="3116" builtinId="9" hidden="1"/>
    <cellStyle name="Followed Hyperlink" xfId="3118" builtinId="9" hidden="1"/>
    <cellStyle name="Followed Hyperlink" xfId="3120" builtinId="9" hidden="1"/>
    <cellStyle name="Followed Hyperlink" xfId="3122" builtinId="9" hidden="1"/>
    <cellStyle name="Followed Hyperlink" xfId="3124" builtinId="9" hidden="1"/>
    <cellStyle name="Followed Hyperlink" xfId="3126" builtinId="9" hidden="1"/>
    <cellStyle name="Followed Hyperlink" xfId="3128" builtinId="9" hidden="1"/>
    <cellStyle name="Followed Hyperlink" xfId="3130" builtinId="9" hidden="1"/>
    <cellStyle name="Followed Hyperlink" xfId="3132" builtinId="9" hidden="1"/>
    <cellStyle name="Followed Hyperlink" xfId="3134" builtinId="9" hidden="1"/>
    <cellStyle name="Followed Hyperlink" xfId="3136" builtinId="9" hidden="1"/>
    <cellStyle name="Followed Hyperlink" xfId="3138" builtinId="9" hidden="1"/>
    <cellStyle name="Followed Hyperlink" xfId="3140" builtinId="9" hidden="1"/>
    <cellStyle name="Followed Hyperlink" xfId="3142" builtinId="9" hidden="1"/>
    <cellStyle name="Followed Hyperlink" xfId="3144" builtinId="9" hidden="1"/>
    <cellStyle name="Followed Hyperlink" xfId="3146" builtinId="9" hidden="1"/>
    <cellStyle name="Followed Hyperlink" xfId="3148" builtinId="9" hidden="1"/>
    <cellStyle name="Followed Hyperlink" xfId="3150" builtinId="9" hidden="1"/>
    <cellStyle name="Followed Hyperlink" xfId="3152" builtinId="9" hidden="1"/>
    <cellStyle name="Followed Hyperlink" xfId="3154" builtinId="9" hidden="1"/>
    <cellStyle name="Followed Hyperlink" xfId="3156" builtinId="9" hidden="1"/>
    <cellStyle name="Followed Hyperlink" xfId="3158" builtinId="9" hidden="1"/>
    <cellStyle name="Followed Hyperlink" xfId="3160" builtinId="9" hidden="1"/>
    <cellStyle name="Followed Hyperlink" xfId="3162" builtinId="9" hidden="1"/>
    <cellStyle name="Followed Hyperlink" xfId="3164" builtinId="9" hidden="1"/>
    <cellStyle name="Followed Hyperlink" xfId="3166" builtinId="9" hidden="1"/>
    <cellStyle name="Followed Hyperlink" xfId="3168" builtinId="9" hidden="1"/>
    <cellStyle name="Followed Hyperlink" xfId="3170" builtinId="9" hidden="1"/>
    <cellStyle name="Followed Hyperlink" xfId="3172" builtinId="9" hidden="1"/>
    <cellStyle name="Followed Hyperlink" xfId="3174" builtinId="9" hidden="1"/>
    <cellStyle name="Followed Hyperlink" xfId="3176" builtinId="9" hidden="1"/>
    <cellStyle name="Followed Hyperlink" xfId="3178" builtinId="9" hidden="1"/>
    <cellStyle name="Followed Hyperlink" xfId="3180" builtinId="9" hidden="1"/>
    <cellStyle name="Followed Hyperlink" xfId="3182" builtinId="9" hidden="1"/>
    <cellStyle name="Followed Hyperlink" xfId="3184" builtinId="9" hidden="1"/>
    <cellStyle name="Followed Hyperlink" xfId="3186" builtinId="9" hidden="1"/>
    <cellStyle name="Followed Hyperlink" xfId="3188" builtinId="9" hidden="1"/>
    <cellStyle name="Followed Hyperlink" xfId="3190" builtinId="9" hidden="1"/>
    <cellStyle name="Followed Hyperlink" xfId="3192" builtinId="9" hidden="1"/>
    <cellStyle name="Followed Hyperlink" xfId="3194" builtinId="9" hidden="1"/>
    <cellStyle name="Followed Hyperlink" xfId="3196" builtinId="9" hidden="1"/>
    <cellStyle name="Followed Hyperlink" xfId="3198" builtinId="9" hidden="1"/>
    <cellStyle name="Followed Hyperlink" xfId="3200" builtinId="9" hidden="1"/>
    <cellStyle name="Followed Hyperlink" xfId="3202" builtinId="9" hidden="1"/>
    <cellStyle name="Followed Hyperlink" xfId="3204" builtinId="9" hidden="1"/>
    <cellStyle name="Followed Hyperlink" xfId="3206" builtinId="9" hidden="1"/>
    <cellStyle name="Followed Hyperlink" xfId="3208" builtinId="9" hidden="1"/>
    <cellStyle name="Followed Hyperlink" xfId="3210" builtinId="9" hidden="1"/>
    <cellStyle name="Followed Hyperlink" xfId="3212" builtinId="9" hidden="1"/>
    <cellStyle name="Followed Hyperlink" xfId="3214" builtinId="9" hidden="1"/>
    <cellStyle name="Followed Hyperlink" xfId="3216" builtinId="9" hidden="1"/>
    <cellStyle name="Followed Hyperlink" xfId="3218" builtinId="9" hidden="1"/>
    <cellStyle name="Followed Hyperlink" xfId="3220" builtinId="9" hidden="1"/>
    <cellStyle name="Followed Hyperlink" xfId="3222" builtinId="9" hidden="1"/>
    <cellStyle name="Followed Hyperlink" xfId="3224" builtinId="9" hidden="1"/>
    <cellStyle name="Followed Hyperlink" xfId="3226" builtinId="9" hidden="1"/>
    <cellStyle name="Followed Hyperlink" xfId="3228" builtinId="9" hidden="1"/>
    <cellStyle name="Followed Hyperlink" xfId="3230" builtinId="9" hidden="1"/>
    <cellStyle name="Followed Hyperlink" xfId="3232" builtinId="9" hidden="1"/>
    <cellStyle name="Followed Hyperlink" xfId="3234" builtinId="9" hidden="1"/>
    <cellStyle name="Followed Hyperlink" xfId="3236" builtinId="9" hidden="1"/>
    <cellStyle name="Followed Hyperlink" xfId="3238" builtinId="9" hidden="1"/>
    <cellStyle name="Followed Hyperlink" xfId="3240" builtinId="9" hidden="1"/>
    <cellStyle name="Followed Hyperlink" xfId="3242" builtinId="9" hidden="1"/>
    <cellStyle name="Followed Hyperlink" xfId="3244" builtinId="9" hidden="1"/>
    <cellStyle name="Followed Hyperlink" xfId="3246" builtinId="9" hidden="1"/>
    <cellStyle name="Followed Hyperlink" xfId="3248" builtinId="9" hidden="1"/>
    <cellStyle name="Followed Hyperlink" xfId="3250" builtinId="9" hidden="1"/>
    <cellStyle name="Followed Hyperlink" xfId="3252" builtinId="9" hidden="1"/>
    <cellStyle name="Followed Hyperlink" xfId="3254" builtinId="9" hidden="1"/>
    <cellStyle name="Followed Hyperlink" xfId="3256" builtinId="9" hidden="1"/>
    <cellStyle name="Followed Hyperlink" xfId="3258" builtinId="9" hidden="1"/>
    <cellStyle name="Followed Hyperlink" xfId="3260" builtinId="9" hidden="1"/>
    <cellStyle name="Followed Hyperlink" xfId="3262" builtinId="9" hidden="1"/>
    <cellStyle name="Followed Hyperlink" xfId="3264" builtinId="9" hidden="1"/>
    <cellStyle name="Followed Hyperlink" xfId="3266" builtinId="9" hidden="1"/>
    <cellStyle name="Followed Hyperlink" xfId="3268" builtinId="9" hidden="1"/>
    <cellStyle name="Followed Hyperlink" xfId="3270" builtinId="9" hidden="1"/>
    <cellStyle name="Followed Hyperlink" xfId="3272" builtinId="9" hidden="1"/>
    <cellStyle name="Followed Hyperlink" xfId="3274" builtinId="9" hidden="1"/>
    <cellStyle name="Followed Hyperlink" xfId="3276" builtinId="9" hidden="1"/>
    <cellStyle name="Followed Hyperlink" xfId="3278" builtinId="9" hidden="1"/>
    <cellStyle name="Followed Hyperlink" xfId="3280" builtinId="9" hidden="1"/>
    <cellStyle name="Followed Hyperlink" xfId="3282" builtinId="9" hidden="1"/>
    <cellStyle name="Followed Hyperlink" xfId="3284" builtinId="9" hidden="1"/>
    <cellStyle name="Followed Hyperlink" xfId="3286" builtinId="9" hidden="1"/>
    <cellStyle name="Followed Hyperlink" xfId="3288" builtinId="9" hidden="1"/>
    <cellStyle name="Followed Hyperlink" xfId="3290" builtinId="9" hidden="1"/>
    <cellStyle name="Followed Hyperlink" xfId="3292" builtinId="9" hidden="1"/>
    <cellStyle name="Followed Hyperlink" xfId="3294" builtinId="9" hidden="1"/>
    <cellStyle name="Followed Hyperlink" xfId="3296" builtinId="9" hidden="1"/>
    <cellStyle name="Followed Hyperlink" xfId="3298" builtinId="9" hidden="1"/>
    <cellStyle name="Followed Hyperlink" xfId="3300" builtinId="9" hidden="1"/>
    <cellStyle name="Followed Hyperlink" xfId="3302" builtinId="9" hidden="1"/>
    <cellStyle name="Followed Hyperlink" xfId="3304" builtinId="9" hidden="1"/>
    <cellStyle name="Followed Hyperlink" xfId="3306" builtinId="9" hidden="1"/>
    <cellStyle name="Followed Hyperlink" xfId="3308" builtinId="9" hidden="1"/>
    <cellStyle name="Followed Hyperlink" xfId="3310" builtinId="9" hidden="1"/>
    <cellStyle name="Followed Hyperlink" xfId="3312" builtinId="9" hidden="1"/>
    <cellStyle name="Followed Hyperlink" xfId="3314" builtinId="9" hidden="1"/>
    <cellStyle name="Followed Hyperlink" xfId="3316" builtinId="9" hidden="1"/>
    <cellStyle name="Followed Hyperlink" xfId="3318" builtinId="9" hidden="1"/>
    <cellStyle name="Followed Hyperlink" xfId="3320" builtinId="9" hidden="1"/>
    <cellStyle name="Followed Hyperlink" xfId="3322" builtinId="9" hidden="1"/>
    <cellStyle name="Followed Hyperlink" xfId="3324" builtinId="9" hidden="1"/>
    <cellStyle name="Followed Hyperlink" xfId="3326" builtinId="9" hidden="1"/>
    <cellStyle name="Followed Hyperlink" xfId="3328" builtinId="9" hidden="1"/>
    <cellStyle name="Followed Hyperlink" xfId="3330" builtinId="9" hidden="1"/>
    <cellStyle name="Followed Hyperlink" xfId="3332" builtinId="9" hidden="1"/>
    <cellStyle name="Followed Hyperlink" xfId="3334" builtinId="9" hidden="1"/>
    <cellStyle name="Followed Hyperlink" xfId="3336" builtinId="9" hidden="1"/>
    <cellStyle name="Followed Hyperlink" xfId="3338" builtinId="9" hidden="1"/>
    <cellStyle name="Followed Hyperlink" xfId="3340" builtinId="9" hidden="1"/>
    <cellStyle name="Followed Hyperlink" xfId="3342" builtinId="9" hidden="1"/>
    <cellStyle name="Followed Hyperlink" xfId="3344" builtinId="9" hidden="1"/>
    <cellStyle name="Followed Hyperlink" xfId="3346" builtinId="9" hidden="1"/>
    <cellStyle name="Followed Hyperlink" xfId="3348" builtinId="9" hidden="1"/>
    <cellStyle name="Followed Hyperlink" xfId="3350" builtinId="9" hidden="1"/>
    <cellStyle name="Followed Hyperlink" xfId="3352" builtinId="9" hidden="1"/>
    <cellStyle name="Followed Hyperlink" xfId="3354" builtinId="9" hidden="1"/>
    <cellStyle name="Followed Hyperlink" xfId="3356" builtinId="9" hidden="1"/>
    <cellStyle name="Followed Hyperlink" xfId="3358" builtinId="9" hidden="1"/>
    <cellStyle name="Followed Hyperlink" xfId="3360" builtinId="9" hidden="1"/>
    <cellStyle name="Followed Hyperlink" xfId="3362" builtinId="9" hidden="1"/>
    <cellStyle name="Followed Hyperlink" xfId="3364" builtinId="9" hidden="1"/>
    <cellStyle name="Followed Hyperlink" xfId="3366" builtinId="9" hidden="1"/>
    <cellStyle name="Followed Hyperlink" xfId="3368" builtinId="9" hidden="1"/>
    <cellStyle name="Followed Hyperlink" xfId="3370" builtinId="9" hidden="1"/>
    <cellStyle name="Followed Hyperlink" xfId="3372" builtinId="9" hidden="1"/>
    <cellStyle name="Followed Hyperlink" xfId="3374" builtinId="9" hidden="1"/>
    <cellStyle name="Followed Hyperlink" xfId="3376" builtinId="9" hidden="1"/>
    <cellStyle name="Followed Hyperlink" xfId="3378" builtinId="9" hidden="1"/>
    <cellStyle name="Followed Hyperlink" xfId="3380" builtinId="9" hidden="1"/>
    <cellStyle name="Followed Hyperlink" xfId="3382" builtinId="9" hidden="1"/>
    <cellStyle name="Followed Hyperlink" xfId="3384" builtinId="9" hidden="1"/>
    <cellStyle name="Followed Hyperlink" xfId="3386" builtinId="9" hidden="1"/>
    <cellStyle name="Followed Hyperlink" xfId="3388" builtinId="9" hidden="1"/>
    <cellStyle name="Followed Hyperlink" xfId="3390" builtinId="9" hidden="1"/>
    <cellStyle name="Followed Hyperlink" xfId="3392" builtinId="9" hidden="1"/>
    <cellStyle name="Followed Hyperlink" xfId="3394" builtinId="9" hidden="1"/>
    <cellStyle name="Followed Hyperlink" xfId="3396" builtinId="9" hidden="1"/>
    <cellStyle name="Followed Hyperlink" xfId="3398" builtinId="9" hidden="1"/>
    <cellStyle name="Followed Hyperlink" xfId="3400" builtinId="9" hidden="1"/>
    <cellStyle name="Followed Hyperlink" xfId="3402" builtinId="9" hidden="1"/>
    <cellStyle name="Followed Hyperlink" xfId="3404" builtinId="9" hidden="1"/>
    <cellStyle name="Followed Hyperlink" xfId="3406" builtinId="9" hidden="1"/>
    <cellStyle name="Followed Hyperlink" xfId="3408" builtinId="9" hidden="1"/>
    <cellStyle name="Followed Hyperlink" xfId="3410" builtinId="9" hidden="1"/>
    <cellStyle name="Followed Hyperlink" xfId="3412" builtinId="9" hidden="1"/>
    <cellStyle name="Followed Hyperlink" xfId="3414" builtinId="9" hidden="1"/>
    <cellStyle name="Followed Hyperlink" xfId="3416" builtinId="9" hidden="1"/>
    <cellStyle name="Followed Hyperlink" xfId="3418" builtinId="9" hidden="1"/>
    <cellStyle name="Followed Hyperlink" xfId="3420" builtinId="9" hidden="1"/>
    <cellStyle name="Followed Hyperlink" xfId="3422" builtinId="9" hidden="1"/>
    <cellStyle name="Followed Hyperlink" xfId="3424" builtinId="9" hidden="1"/>
    <cellStyle name="Followed Hyperlink" xfId="3426" builtinId="9" hidden="1"/>
    <cellStyle name="Followed Hyperlink" xfId="3428" builtinId="9" hidden="1"/>
    <cellStyle name="Followed Hyperlink" xfId="3430" builtinId="9" hidden="1"/>
    <cellStyle name="Followed Hyperlink" xfId="3432" builtinId="9" hidden="1"/>
    <cellStyle name="Followed Hyperlink" xfId="3434" builtinId="9" hidden="1"/>
    <cellStyle name="Followed Hyperlink" xfId="3436" builtinId="9" hidden="1"/>
    <cellStyle name="Followed Hyperlink" xfId="3438" builtinId="9" hidden="1"/>
    <cellStyle name="Followed Hyperlink" xfId="3440" builtinId="9" hidden="1"/>
    <cellStyle name="Followed Hyperlink" xfId="3442" builtinId="9" hidden="1"/>
    <cellStyle name="Followed Hyperlink" xfId="3444" builtinId="9" hidden="1"/>
    <cellStyle name="Followed Hyperlink" xfId="3446" builtinId="9" hidden="1"/>
    <cellStyle name="Followed Hyperlink" xfId="3448" builtinId="9" hidden="1"/>
    <cellStyle name="Followed Hyperlink" xfId="3450" builtinId="9" hidden="1"/>
    <cellStyle name="Followed Hyperlink" xfId="3452" builtinId="9" hidden="1"/>
    <cellStyle name="Followed Hyperlink" xfId="3454" builtinId="9" hidden="1"/>
    <cellStyle name="Followed Hyperlink" xfId="3456" builtinId="9" hidden="1"/>
    <cellStyle name="Followed Hyperlink" xfId="3458" builtinId="9" hidden="1"/>
    <cellStyle name="Followed Hyperlink" xfId="3460" builtinId="9" hidden="1"/>
    <cellStyle name="Followed Hyperlink" xfId="3462" builtinId="9" hidden="1"/>
    <cellStyle name="Followed Hyperlink" xfId="3464" builtinId="9" hidden="1"/>
    <cellStyle name="Followed Hyperlink" xfId="3466" builtinId="9" hidden="1"/>
    <cellStyle name="Followed Hyperlink" xfId="3468" builtinId="9" hidden="1"/>
    <cellStyle name="Followed Hyperlink" xfId="3470" builtinId="9" hidden="1"/>
    <cellStyle name="Followed Hyperlink" xfId="3472" builtinId="9" hidden="1"/>
    <cellStyle name="Followed Hyperlink" xfId="3474" builtinId="9" hidden="1"/>
    <cellStyle name="Followed Hyperlink" xfId="3476" builtinId="9" hidden="1"/>
    <cellStyle name="Followed Hyperlink" xfId="3478" builtinId="9" hidden="1"/>
    <cellStyle name="Followed Hyperlink" xfId="3480" builtinId="9" hidden="1"/>
    <cellStyle name="Followed Hyperlink" xfId="3482" builtinId="9" hidden="1"/>
    <cellStyle name="Followed Hyperlink" xfId="3484" builtinId="9" hidden="1"/>
    <cellStyle name="Followed Hyperlink" xfId="3486" builtinId="9" hidden="1"/>
    <cellStyle name="Followed Hyperlink" xfId="3488" builtinId="9" hidden="1"/>
    <cellStyle name="Followed Hyperlink" xfId="3490" builtinId="9" hidden="1"/>
    <cellStyle name="Followed Hyperlink" xfId="3492" builtinId="9" hidden="1"/>
    <cellStyle name="Followed Hyperlink" xfId="3494" builtinId="9" hidden="1"/>
    <cellStyle name="Followed Hyperlink" xfId="3496" builtinId="9" hidden="1"/>
    <cellStyle name="Followed Hyperlink" xfId="3498" builtinId="9" hidden="1"/>
    <cellStyle name="Followed Hyperlink" xfId="3500" builtinId="9" hidden="1"/>
    <cellStyle name="Followed Hyperlink" xfId="3502" builtinId="9" hidden="1"/>
    <cellStyle name="Followed Hyperlink" xfId="3504" builtinId="9" hidden="1"/>
    <cellStyle name="Followed Hyperlink" xfId="3506" builtinId="9" hidden="1"/>
    <cellStyle name="Followed Hyperlink" xfId="3508" builtinId="9" hidden="1"/>
    <cellStyle name="Followed Hyperlink" xfId="3510" builtinId="9" hidden="1"/>
    <cellStyle name="Followed Hyperlink" xfId="3512" builtinId="9" hidden="1"/>
    <cellStyle name="Followed Hyperlink" xfId="3514" builtinId="9" hidden="1"/>
    <cellStyle name="Followed Hyperlink" xfId="3516" builtinId="9" hidden="1"/>
    <cellStyle name="Followed Hyperlink" xfId="3518" builtinId="9" hidden="1"/>
    <cellStyle name="Followed Hyperlink" xfId="3520" builtinId="9" hidden="1"/>
    <cellStyle name="Followed Hyperlink" xfId="3522" builtinId="9" hidden="1"/>
    <cellStyle name="Followed Hyperlink" xfId="3524" builtinId="9" hidden="1"/>
    <cellStyle name="Followed Hyperlink" xfId="3526" builtinId="9" hidden="1"/>
    <cellStyle name="Followed Hyperlink" xfId="3528" builtinId="9" hidden="1"/>
    <cellStyle name="Followed Hyperlink" xfId="3530" builtinId="9" hidden="1"/>
    <cellStyle name="Followed Hyperlink" xfId="3532" builtinId="9" hidden="1"/>
    <cellStyle name="Followed Hyperlink" xfId="3534" builtinId="9" hidden="1"/>
    <cellStyle name="Followed Hyperlink" xfId="3536" builtinId="9" hidden="1"/>
    <cellStyle name="Followed Hyperlink" xfId="3538" builtinId="9" hidden="1"/>
    <cellStyle name="Followed Hyperlink" xfId="3540" builtinId="9" hidden="1"/>
    <cellStyle name="Followed Hyperlink" xfId="3542" builtinId="9" hidden="1"/>
    <cellStyle name="Followed Hyperlink" xfId="3544" builtinId="9" hidden="1"/>
    <cellStyle name="Followed Hyperlink" xfId="3546" builtinId="9" hidden="1"/>
    <cellStyle name="Followed Hyperlink" xfId="3548" builtinId="9" hidden="1"/>
    <cellStyle name="Followed Hyperlink" xfId="3550" builtinId="9" hidden="1"/>
    <cellStyle name="Followed Hyperlink" xfId="3552" builtinId="9" hidden="1"/>
    <cellStyle name="Followed Hyperlink" xfId="3554" builtinId="9" hidden="1"/>
    <cellStyle name="Followed Hyperlink" xfId="3556" builtinId="9" hidden="1"/>
    <cellStyle name="Followed Hyperlink" xfId="3558" builtinId="9" hidden="1"/>
    <cellStyle name="Followed Hyperlink" xfId="3560" builtinId="9" hidden="1"/>
    <cellStyle name="Followed Hyperlink" xfId="3562" builtinId="9" hidden="1"/>
    <cellStyle name="Followed Hyperlink" xfId="3564" builtinId="9" hidden="1"/>
    <cellStyle name="Followed Hyperlink" xfId="3566" builtinId="9" hidden="1"/>
    <cellStyle name="Followed Hyperlink" xfId="3568" builtinId="9" hidden="1"/>
    <cellStyle name="Followed Hyperlink" xfId="3570" builtinId="9" hidden="1"/>
    <cellStyle name="Followed Hyperlink" xfId="3572" builtinId="9" hidden="1"/>
    <cellStyle name="Followed Hyperlink" xfId="3574" builtinId="9" hidden="1"/>
    <cellStyle name="Followed Hyperlink" xfId="3576" builtinId="9" hidden="1"/>
    <cellStyle name="Followed Hyperlink" xfId="3578" builtinId="9" hidden="1"/>
    <cellStyle name="Followed Hyperlink" xfId="3580" builtinId="9" hidden="1"/>
    <cellStyle name="Followed Hyperlink" xfId="3582" builtinId="9" hidden="1"/>
    <cellStyle name="Followed Hyperlink" xfId="3584" builtinId="9" hidden="1"/>
    <cellStyle name="Followed Hyperlink" xfId="3586" builtinId="9" hidden="1"/>
    <cellStyle name="Followed Hyperlink" xfId="3588" builtinId="9" hidden="1"/>
    <cellStyle name="Followed Hyperlink" xfId="3590" builtinId="9" hidden="1"/>
    <cellStyle name="Followed Hyperlink" xfId="3592" builtinId="9" hidden="1"/>
    <cellStyle name="Followed Hyperlink" xfId="3594" builtinId="9" hidden="1"/>
    <cellStyle name="Followed Hyperlink" xfId="3596" builtinId="9" hidden="1"/>
    <cellStyle name="Followed Hyperlink" xfId="3598" builtinId="9" hidden="1"/>
    <cellStyle name="Followed Hyperlink" xfId="3600" builtinId="9" hidden="1"/>
    <cellStyle name="Followed Hyperlink" xfId="3602" builtinId="9" hidden="1"/>
    <cellStyle name="Followed Hyperlink" xfId="3604" builtinId="9" hidden="1"/>
    <cellStyle name="Followed Hyperlink" xfId="3606" builtinId="9" hidden="1"/>
    <cellStyle name="Followed Hyperlink" xfId="3608" builtinId="9" hidden="1"/>
    <cellStyle name="Followed Hyperlink" xfId="3610" builtinId="9" hidden="1"/>
    <cellStyle name="Followed Hyperlink" xfId="3612" builtinId="9" hidden="1"/>
    <cellStyle name="Followed Hyperlink" xfId="3614" builtinId="9" hidden="1"/>
    <cellStyle name="Followed Hyperlink" xfId="3616" builtinId="9" hidden="1"/>
    <cellStyle name="Followed Hyperlink" xfId="3618" builtinId="9" hidden="1"/>
    <cellStyle name="Followed Hyperlink" xfId="3620" builtinId="9" hidden="1"/>
    <cellStyle name="Followed Hyperlink" xfId="3622" builtinId="9" hidden="1"/>
    <cellStyle name="Followed Hyperlink" xfId="3624" builtinId="9" hidden="1"/>
    <cellStyle name="Followed Hyperlink" xfId="3626" builtinId="9" hidden="1"/>
    <cellStyle name="Followed Hyperlink" xfId="3628" builtinId="9" hidden="1"/>
    <cellStyle name="Followed Hyperlink" xfId="3630" builtinId="9" hidden="1"/>
    <cellStyle name="Followed Hyperlink" xfId="3632" builtinId="9" hidden="1"/>
    <cellStyle name="Followed Hyperlink" xfId="3634" builtinId="9" hidden="1"/>
    <cellStyle name="Followed Hyperlink" xfId="3636" builtinId="9" hidden="1"/>
    <cellStyle name="Followed Hyperlink" xfId="3638" builtinId="9" hidden="1"/>
    <cellStyle name="Followed Hyperlink" xfId="3640" builtinId="9" hidden="1"/>
    <cellStyle name="Followed Hyperlink" xfId="3642" builtinId="9" hidden="1"/>
    <cellStyle name="Followed Hyperlink" xfId="3644" builtinId="9" hidden="1"/>
    <cellStyle name="Followed Hyperlink" xfId="3646" builtinId="9" hidden="1"/>
    <cellStyle name="Followed Hyperlink" xfId="3648" builtinId="9" hidden="1"/>
    <cellStyle name="Followed Hyperlink" xfId="3650" builtinId="9" hidden="1"/>
    <cellStyle name="Followed Hyperlink" xfId="3652" builtinId="9" hidden="1"/>
    <cellStyle name="Followed Hyperlink" xfId="3654" builtinId="9" hidden="1"/>
    <cellStyle name="Followed Hyperlink" xfId="3656" builtinId="9" hidden="1"/>
    <cellStyle name="Followed Hyperlink" xfId="3658" builtinId="9" hidden="1"/>
    <cellStyle name="Followed Hyperlink" xfId="3660" builtinId="9" hidden="1"/>
    <cellStyle name="Followed Hyperlink" xfId="3662" builtinId="9" hidden="1"/>
    <cellStyle name="Followed Hyperlink" xfId="3664" builtinId="9" hidden="1"/>
    <cellStyle name="Followed Hyperlink" xfId="3666" builtinId="9" hidden="1"/>
    <cellStyle name="Followed Hyperlink" xfId="3668" builtinId="9" hidden="1"/>
    <cellStyle name="Followed Hyperlink" xfId="3670" builtinId="9" hidden="1"/>
    <cellStyle name="Followed Hyperlink" xfId="3672" builtinId="9" hidden="1"/>
    <cellStyle name="Followed Hyperlink" xfId="3674" builtinId="9" hidden="1"/>
    <cellStyle name="Followed Hyperlink" xfId="3676" builtinId="9" hidden="1"/>
    <cellStyle name="Followed Hyperlink" xfId="3678" builtinId="9" hidden="1"/>
    <cellStyle name="Followed Hyperlink" xfId="3680" builtinId="9" hidden="1"/>
    <cellStyle name="Followed Hyperlink" xfId="3682" builtinId="9" hidden="1"/>
    <cellStyle name="Followed Hyperlink" xfId="3684" builtinId="9" hidden="1"/>
    <cellStyle name="Followed Hyperlink" xfId="3686" builtinId="9" hidden="1"/>
    <cellStyle name="Followed Hyperlink" xfId="3688" builtinId="9" hidden="1"/>
    <cellStyle name="Followed Hyperlink" xfId="3690" builtinId="9" hidden="1"/>
    <cellStyle name="Followed Hyperlink" xfId="3692" builtinId="9" hidden="1"/>
    <cellStyle name="Followed Hyperlink" xfId="3694" builtinId="9" hidden="1"/>
    <cellStyle name="Followed Hyperlink" xfId="3696" builtinId="9" hidden="1"/>
    <cellStyle name="Followed Hyperlink" xfId="3698" builtinId="9" hidden="1"/>
    <cellStyle name="Followed Hyperlink" xfId="3700" builtinId="9" hidden="1"/>
    <cellStyle name="Followed Hyperlink" xfId="3702" builtinId="9" hidden="1"/>
    <cellStyle name="Followed Hyperlink" xfId="3704" builtinId="9" hidden="1"/>
    <cellStyle name="Followed Hyperlink" xfId="3706" builtinId="9" hidden="1"/>
    <cellStyle name="Followed Hyperlink" xfId="3708" builtinId="9" hidden="1"/>
    <cellStyle name="Followed Hyperlink" xfId="3710" builtinId="9" hidden="1"/>
    <cellStyle name="Followed Hyperlink" xfId="3712" builtinId="9" hidden="1"/>
    <cellStyle name="Followed Hyperlink" xfId="3714" builtinId="9" hidden="1"/>
    <cellStyle name="Followed Hyperlink" xfId="3716" builtinId="9" hidden="1"/>
    <cellStyle name="Followed Hyperlink" xfId="3718" builtinId="9" hidden="1"/>
    <cellStyle name="Followed Hyperlink" xfId="3720" builtinId="9" hidden="1"/>
    <cellStyle name="Followed Hyperlink" xfId="3722" builtinId="9" hidden="1"/>
    <cellStyle name="Followed Hyperlink" xfId="3724" builtinId="9" hidden="1"/>
    <cellStyle name="Followed Hyperlink" xfId="3726" builtinId="9" hidden="1"/>
    <cellStyle name="Followed Hyperlink" xfId="3728" builtinId="9" hidden="1"/>
    <cellStyle name="Followed Hyperlink" xfId="3730" builtinId="9" hidden="1"/>
    <cellStyle name="Followed Hyperlink" xfId="3732" builtinId="9" hidden="1"/>
    <cellStyle name="Followed Hyperlink" xfId="3734" builtinId="9" hidden="1"/>
    <cellStyle name="Followed Hyperlink" xfId="3736" builtinId="9" hidden="1"/>
    <cellStyle name="Followed Hyperlink" xfId="3738" builtinId="9" hidden="1"/>
    <cellStyle name="Followed Hyperlink" xfId="3740" builtinId="9" hidden="1"/>
    <cellStyle name="Followed Hyperlink" xfId="3742" builtinId="9" hidden="1"/>
    <cellStyle name="Followed Hyperlink" xfId="3744" builtinId="9" hidden="1"/>
    <cellStyle name="Followed Hyperlink" xfId="3746" builtinId="9" hidden="1"/>
    <cellStyle name="Followed Hyperlink" xfId="3748" builtinId="9" hidden="1"/>
    <cellStyle name="Followed Hyperlink" xfId="3750" builtinId="9" hidden="1"/>
    <cellStyle name="Followed Hyperlink" xfId="3752" builtinId="9" hidden="1"/>
    <cellStyle name="Followed Hyperlink" xfId="3754" builtinId="9" hidden="1"/>
    <cellStyle name="Followed Hyperlink" xfId="3756" builtinId="9" hidden="1"/>
    <cellStyle name="Followed Hyperlink" xfId="3758" builtinId="9" hidden="1"/>
    <cellStyle name="Followed Hyperlink" xfId="3760" builtinId="9" hidden="1"/>
    <cellStyle name="Followed Hyperlink" xfId="3762" builtinId="9" hidden="1"/>
    <cellStyle name="Followed Hyperlink" xfId="3764" builtinId="9" hidden="1"/>
    <cellStyle name="Followed Hyperlink" xfId="3766" builtinId="9" hidden="1"/>
    <cellStyle name="Followed Hyperlink" xfId="3768" builtinId="9" hidden="1"/>
    <cellStyle name="Followed Hyperlink" xfId="3770" builtinId="9" hidden="1"/>
    <cellStyle name="Followed Hyperlink" xfId="3772" builtinId="9" hidden="1"/>
    <cellStyle name="Followed Hyperlink" xfId="3774" builtinId="9" hidden="1"/>
    <cellStyle name="Followed Hyperlink" xfId="3776" builtinId="9" hidden="1"/>
    <cellStyle name="Followed Hyperlink" xfId="3778" builtinId="9" hidden="1"/>
    <cellStyle name="Followed Hyperlink" xfId="3780" builtinId="9" hidden="1"/>
    <cellStyle name="Followed Hyperlink" xfId="3782" builtinId="9" hidden="1"/>
    <cellStyle name="Followed Hyperlink" xfId="3784" builtinId="9" hidden="1"/>
    <cellStyle name="Followed Hyperlink" xfId="3786" builtinId="9" hidden="1"/>
    <cellStyle name="Followed Hyperlink" xfId="3788" builtinId="9" hidden="1"/>
    <cellStyle name="Followed Hyperlink" xfId="3790" builtinId="9" hidden="1"/>
    <cellStyle name="Followed Hyperlink" xfId="3792" builtinId="9" hidden="1"/>
    <cellStyle name="Followed Hyperlink" xfId="3794" builtinId="9" hidden="1"/>
    <cellStyle name="Followed Hyperlink" xfId="3796" builtinId="9" hidden="1"/>
    <cellStyle name="Followed Hyperlink" xfId="3798" builtinId="9" hidden="1"/>
    <cellStyle name="Followed Hyperlink" xfId="3800" builtinId="9" hidden="1"/>
    <cellStyle name="Followed Hyperlink" xfId="3802" builtinId="9" hidden="1"/>
    <cellStyle name="Followed Hyperlink" xfId="3804" builtinId="9" hidden="1"/>
    <cellStyle name="Followed Hyperlink" xfId="3806" builtinId="9" hidden="1"/>
    <cellStyle name="Followed Hyperlink" xfId="3808" builtinId="9" hidden="1"/>
    <cellStyle name="Followed Hyperlink" xfId="3810" builtinId="9" hidden="1"/>
    <cellStyle name="Followed Hyperlink" xfId="3812" builtinId="9" hidden="1"/>
    <cellStyle name="Followed Hyperlink" xfId="3814" builtinId="9" hidden="1"/>
    <cellStyle name="Followed Hyperlink" xfId="3816" builtinId="9" hidden="1"/>
    <cellStyle name="Followed Hyperlink" xfId="3818" builtinId="9" hidden="1"/>
    <cellStyle name="Followed Hyperlink" xfId="3820" builtinId="9" hidden="1"/>
    <cellStyle name="Followed Hyperlink" xfId="3822" builtinId="9" hidden="1"/>
    <cellStyle name="Followed Hyperlink" xfId="3824" builtinId="9" hidden="1"/>
    <cellStyle name="Followed Hyperlink" xfId="3826" builtinId="9" hidden="1"/>
    <cellStyle name="Followed Hyperlink" xfId="3828" builtinId="9" hidden="1"/>
    <cellStyle name="Followed Hyperlink" xfId="3830" builtinId="9" hidden="1"/>
    <cellStyle name="Followed Hyperlink" xfId="3832" builtinId="9" hidden="1"/>
    <cellStyle name="Followed Hyperlink" xfId="3834" builtinId="9" hidden="1"/>
    <cellStyle name="Followed Hyperlink" xfId="3836" builtinId="9" hidden="1"/>
    <cellStyle name="Followed Hyperlink" xfId="3838" builtinId="9" hidden="1"/>
    <cellStyle name="Followed Hyperlink" xfId="3840" builtinId="9" hidden="1"/>
    <cellStyle name="Followed Hyperlink" xfId="3842" builtinId="9" hidden="1"/>
    <cellStyle name="Followed Hyperlink" xfId="3844" builtinId="9" hidden="1"/>
    <cellStyle name="Followed Hyperlink" xfId="3846" builtinId="9" hidden="1"/>
    <cellStyle name="Followed Hyperlink" xfId="3848" builtinId="9" hidden="1"/>
    <cellStyle name="Followed Hyperlink" xfId="3850" builtinId="9" hidden="1"/>
    <cellStyle name="Followed Hyperlink" xfId="3852" builtinId="9" hidden="1"/>
    <cellStyle name="Followed Hyperlink" xfId="3854" builtinId="9" hidden="1"/>
    <cellStyle name="Followed Hyperlink" xfId="3856" builtinId="9" hidden="1"/>
    <cellStyle name="Followed Hyperlink" xfId="3858" builtinId="9" hidden="1"/>
    <cellStyle name="Followed Hyperlink" xfId="3860" builtinId="9" hidden="1"/>
    <cellStyle name="Followed Hyperlink" xfId="3862" builtinId="9" hidden="1"/>
    <cellStyle name="Followed Hyperlink" xfId="3864" builtinId="9" hidden="1"/>
    <cellStyle name="Followed Hyperlink" xfId="3866" builtinId="9" hidden="1"/>
    <cellStyle name="Followed Hyperlink" xfId="3868" builtinId="9" hidden="1"/>
    <cellStyle name="Followed Hyperlink" xfId="3870" builtinId="9" hidden="1"/>
    <cellStyle name="Followed Hyperlink" xfId="3872" builtinId="9" hidden="1"/>
    <cellStyle name="Followed Hyperlink" xfId="3874" builtinId="9" hidden="1"/>
    <cellStyle name="Followed Hyperlink" xfId="3876" builtinId="9" hidden="1"/>
    <cellStyle name="Followed Hyperlink" xfId="3878" builtinId="9" hidden="1"/>
    <cellStyle name="Followed Hyperlink" xfId="3880" builtinId="9" hidden="1"/>
    <cellStyle name="Followed Hyperlink" xfId="3882" builtinId="9" hidden="1"/>
    <cellStyle name="Followed Hyperlink" xfId="3884" builtinId="9" hidden="1"/>
    <cellStyle name="Followed Hyperlink" xfId="3886" builtinId="9" hidden="1"/>
    <cellStyle name="Followed Hyperlink" xfId="3888" builtinId="9" hidden="1"/>
    <cellStyle name="Followed Hyperlink" xfId="3890" builtinId="9" hidden="1"/>
    <cellStyle name="Followed Hyperlink" xfId="3892" builtinId="9" hidden="1"/>
    <cellStyle name="Followed Hyperlink" xfId="3894" builtinId="9" hidden="1"/>
    <cellStyle name="Followed Hyperlink" xfId="3896" builtinId="9" hidden="1"/>
    <cellStyle name="Followed Hyperlink" xfId="3898" builtinId="9" hidden="1"/>
    <cellStyle name="Followed Hyperlink" xfId="3900" builtinId="9" hidden="1"/>
    <cellStyle name="Followed Hyperlink" xfId="3902" builtinId="9" hidden="1"/>
    <cellStyle name="Followed Hyperlink" xfId="3904" builtinId="9" hidden="1"/>
    <cellStyle name="Followed Hyperlink" xfId="3906" builtinId="9" hidden="1"/>
    <cellStyle name="Followed Hyperlink" xfId="3908" builtinId="9" hidden="1"/>
    <cellStyle name="Followed Hyperlink" xfId="3910" builtinId="9" hidden="1"/>
    <cellStyle name="Followed Hyperlink" xfId="3912" builtinId="9" hidden="1"/>
    <cellStyle name="Followed Hyperlink" xfId="3914" builtinId="9" hidden="1"/>
    <cellStyle name="Followed Hyperlink" xfId="3916" builtinId="9" hidden="1"/>
    <cellStyle name="Followed Hyperlink" xfId="3918" builtinId="9" hidden="1"/>
    <cellStyle name="Followed Hyperlink" xfId="3920" builtinId="9" hidden="1"/>
    <cellStyle name="Followed Hyperlink" xfId="3922" builtinId="9" hidden="1"/>
    <cellStyle name="Followed Hyperlink" xfId="3924" builtinId="9" hidden="1"/>
    <cellStyle name="Followed Hyperlink" xfId="3926" builtinId="9" hidden="1"/>
    <cellStyle name="Followed Hyperlink" xfId="3928" builtinId="9" hidden="1"/>
    <cellStyle name="Followed Hyperlink" xfId="3930" builtinId="9" hidden="1"/>
    <cellStyle name="Followed Hyperlink" xfId="3932" builtinId="9" hidden="1"/>
    <cellStyle name="Followed Hyperlink" xfId="3934" builtinId="9" hidden="1"/>
    <cellStyle name="Followed Hyperlink" xfId="3936" builtinId="9" hidden="1"/>
    <cellStyle name="Followed Hyperlink" xfId="3938" builtinId="9" hidden="1"/>
    <cellStyle name="Followed Hyperlink" xfId="3940" builtinId="9" hidden="1"/>
    <cellStyle name="Followed Hyperlink" xfId="3942" builtinId="9" hidden="1"/>
    <cellStyle name="Followed Hyperlink" xfId="3944" builtinId="9" hidden="1"/>
    <cellStyle name="Followed Hyperlink" xfId="3946" builtinId="9" hidden="1"/>
    <cellStyle name="Followed Hyperlink" xfId="3948" builtinId="9" hidden="1"/>
    <cellStyle name="Followed Hyperlink" xfId="3950" builtinId="9" hidden="1"/>
    <cellStyle name="Followed Hyperlink" xfId="3952" builtinId="9" hidden="1"/>
    <cellStyle name="Followed Hyperlink" xfId="3954" builtinId="9" hidden="1"/>
    <cellStyle name="Followed Hyperlink" xfId="3956" builtinId="9" hidden="1"/>
    <cellStyle name="Followed Hyperlink" xfId="3958" builtinId="9" hidden="1"/>
    <cellStyle name="Followed Hyperlink" xfId="3960" builtinId="9" hidden="1"/>
    <cellStyle name="Followed Hyperlink" xfId="3962" builtinId="9" hidden="1"/>
    <cellStyle name="Followed Hyperlink" xfId="3964" builtinId="9" hidden="1"/>
    <cellStyle name="Followed Hyperlink" xfId="3966" builtinId="9" hidden="1"/>
    <cellStyle name="Followed Hyperlink" xfId="3968" builtinId="9" hidden="1"/>
    <cellStyle name="Followed Hyperlink" xfId="3970" builtinId="9" hidden="1"/>
    <cellStyle name="Followed Hyperlink" xfId="3972" builtinId="9" hidden="1"/>
    <cellStyle name="Followed Hyperlink" xfId="3974" builtinId="9" hidden="1"/>
    <cellStyle name="Followed Hyperlink" xfId="3976" builtinId="9" hidden="1"/>
    <cellStyle name="Followed Hyperlink" xfId="3978" builtinId="9" hidden="1"/>
    <cellStyle name="Followed Hyperlink" xfId="3980" builtinId="9" hidden="1"/>
    <cellStyle name="Followed Hyperlink" xfId="3982" builtinId="9" hidden="1"/>
    <cellStyle name="Followed Hyperlink" xfId="3984" builtinId="9" hidden="1"/>
    <cellStyle name="Followed Hyperlink" xfId="3986" builtinId="9" hidden="1"/>
    <cellStyle name="Followed Hyperlink" xfId="3988" builtinId="9" hidden="1"/>
    <cellStyle name="Followed Hyperlink" xfId="3990" builtinId="9" hidden="1"/>
    <cellStyle name="Followed Hyperlink" xfId="3992" builtinId="9" hidden="1"/>
    <cellStyle name="Followed Hyperlink" xfId="3994" builtinId="9" hidden="1"/>
    <cellStyle name="Followed Hyperlink" xfId="3996" builtinId="9" hidden="1"/>
    <cellStyle name="Followed Hyperlink" xfId="3998" builtinId="9" hidden="1"/>
    <cellStyle name="Followed Hyperlink" xfId="4000" builtinId="9" hidden="1"/>
    <cellStyle name="Followed Hyperlink" xfId="4002" builtinId="9" hidden="1"/>
    <cellStyle name="Followed Hyperlink" xfId="4004" builtinId="9" hidden="1"/>
    <cellStyle name="Followed Hyperlink" xfId="4006" builtinId="9" hidden="1"/>
    <cellStyle name="Followed Hyperlink" xfId="4008" builtinId="9" hidden="1"/>
    <cellStyle name="Followed Hyperlink" xfId="4010" builtinId="9" hidden="1"/>
    <cellStyle name="Followed Hyperlink" xfId="4012" builtinId="9" hidden="1"/>
    <cellStyle name="Followed Hyperlink" xfId="4014" builtinId="9" hidden="1"/>
    <cellStyle name="Followed Hyperlink" xfId="4016" builtinId="9" hidden="1"/>
    <cellStyle name="Followed Hyperlink" xfId="4018" builtinId="9" hidden="1"/>
    <cellStyle name="Followed Hyperlink" xfId="4020" builtinId="9" hidden="1"/>
    <cellStyle name="Followed Hyperlink" xfId="4022" builtinId="9" hidden="1"/>
    <cellStyle name="Followed Hyperlink" xfId="4024" builtinId="9" hidden="1"/>
    <cellStyle name="Followed Hyperlink" xfId="4026" builtinId="9" hidden="1"/>
    <cellStyle name="Followed Hyperlink" xfId="4028" builtinId="9" hidden="1"/>
    <cellStyle name="Followed Hyperlink" xfId="4030" builtinId="9" hidden="1"/>
    <cellStyle name="Followed Hyperlink" xfId="4032" builtinId="9" hidden="1"/>
    <cellStyle name="Followed Hyperlink" xfId="4034" builtinId="9" hidden="1"/>
    <cellStyle name="Followed Hyperlink" xfId="4036" builtinId="9" hidden="1"/>
    <cellStyle name="Followed Hyperlink" xfId="4038" builtinId="9" hidden="1"/>
    <cellStyle name="Followed Hyperlink" xfId="4040" builtinId="9" hidden="1"/>
    <cellStyle name="Followed Hyperlink" xfId="4042" builtinId="9" hidden="1"/>
    <cellStyle name="Followed Hyperlink" xfId="4044" builtinId="9" hidden="1"/>
    <cellStyle name="Followed Hyperlink" xfId="4046" builtinId="9" hidden="1"/>
    <cellStyle name="Followed Hyperlink" xfId="4048" builtinId="9" hidden="1"/>
    <cellStyle name="Followed Hyperlink" xfId="4050" builtinId="9" hidden="1"/>
    <cellStyle name="Followed Hyperlink" xfId="4052" builtinId="9" hidden="1"/>
    <cellStyle name="Followed Hyperlink" xfId="4054" builtinId="9" hidden="1"/>
    <cellStyle name="Followed Hyperlink" xfId="4056" builtinId="9" hidden="1"/>
    <cellStyle name="Followed Hyperlink" xfId="4058" builtinId="9" hidden="1"/>
    <cellStyle name="Followed Hyperlink" xfId="4060" builtinId="9" hidden="1"/>
    <cellStyle name="Followed Hyperlink" xfId="4062" builtinId="9" hidden="1"/>
    <cellStyle name="Followed Hyperlink" xfId="4064" builtinId="9" hidden="1"/>
    <cellStyle name="Followed Hyperlink" xfId="4066" builtinId="9" hidden="1"/>
    <cellStyle name="Followed Hyperlink" xfId="4068" builtinId="9" hidden="1"/>
    <cellStyle name="Followed Hyperlink" xfId="4070" builtinId="9" hidden="1"/>
    <cellStyle name="Followed Hyperlink" xfId="4072" builtinId="9" hidden="1"/>
    <cellStyle name="Followed Hyperlink" xfId="4074" builtinId="9" hidden="1"/>
    <cellStyle name="Followed Hyperlink" xfId="4076" builtinId="9" hidden="1"/>
    <cellStyle name="Followed Hyperlink" xfId="4078" builtinId="9" hidden="1"/>
    <cellStyle name="Followed Hyperlink" xfId="4080" builtinId="9" hidden="1"/>
    <cellStyle name="Followed Hyperlink" xfId="4082" builtinId="9" hidden="1"/>
    <cellStyle name="Followed Hyperlink" xfId="4084" builtinId="9" hidden="1"/>
    <cellStyle name="Followed Hyperlink" xfId="4086" builtinId="9" hidden="1"/>
    <cellStyle name="Followed Hyperlink" xfId="4088" builtinId="9" hidden="1"/>
    <cellStyle name="Followed Hyperlink" xfId="4090" builtinId="9" hidden="1"/>
    <cellStyle name="Followed Hyperlink" xfId="4092" builtinId="9" hidden="1"/>
    <cellStyle name="Followed Hyperlink" xfId="4094" builtinId="9" hidden="1"/>
    <cellStyle name="Followed Hyperlink" xfId="4096" builtinId="9" hidden="1"/>
    <cellStyle name="Followed Hyperlink" xfId="4098" builtinId="9" hidden="1"/>
    <cellStyle name="Followed Hyperlink" xfId="4100" builtinId="9" hidden="1"/>
    <cellStyle name="Followed Hyperlink" xfId="4102" builtinId="9" hidden="1"/>
    <cellStyle name="Followed Hyperlink" xfId="4104" builtinId="9" hidden="1"/>
    <cellStyle name="Followed Hyperlink" xfId="4106" builtinId="9" hidden="1"/>
    <cellStyle name="Followed Hyperlink" xfId="4108" builtinId="9" hidden="1"/>
    <cellStyle name="Followed Hyperlink" xfId="4110" builtinId="9" hidden="1"/>
    <cellStyle name="Followed Hyperlink" xfId="4112" builtinId="9" hidden="1"/>
    <cellStyle name="Followed Hyperlink" xfId="4114" builtinId="9" hidden="1"/>
    <cellStyle name="Followed Hyperlink" xfId="4116" builtinId="9" hidden="1"/>
    <cellStyle name="Followed Hyperlink" xfId="4118" builtinId="9" hidden="1"/>
    <cellStyle name="Followed Hyperlink" xfId="4120" builtinId="9" hidden="1"/>
    <cellStyle name="Followed Hyperlink" xfId="4122" builtinId="9" hidden="1"/>
    <cellStyle name="Followed Hyperlink" xfId="4124" builtinId="9" hidden="1"/>
    <cellStyle name="Followed Hyperlink" xfId="4126" builtinId="9" hidden="1"/>
    <cellStyle name="Followed Hyperlink" xfId="4128" builtinId="9" hidden="1"/>
    <cellStyle name="Followed Hyperlink" xfId="4130" builtinId="9" hidden="1"/>
    <cellStyle name="Followed Hyperlink" xfId="4132" builtinId="9" hidden="1"/>
    <cellStyle name="Followed Hyperlink" xfId="4134" builtinId="9" hidden="1"/>
    <cellStyle name="Followed Hyperlink" xfId="4136" builtinId="9" hidden="1"/>
    <cellStyle name="Followed Hyperlink" xfId="4138" builtinId="9" hidden="1"/>
    <cellStyle name="Followed Hyperlink" xfId="4140" builtinId="9" hidden="1"/>
    <cellStyle name="Followed Hyperlink" xfId="4142" builtinId="9" hidden="1"/>
    <cellStyle name="Followed Hyperlink" xfId="4144" builtinId="9" hidden="1"/>
    <cellStyle name="Followed Hyperlink" xfId="4146" builtinId="9" hidden="1"/>
    <cellStyle name="Followed Hyperlink" xfId="4148" builtinId="9" hidden="1"/>
    <cellStyle name="Followed Hyperlink" xfId="4150" builtinId="9" hidden="1"/>
    <cellStyle name="Followed Hyperlink" xfId="4152" builtinId="9" hidden="1"/>
    <cellStyle name="Followed Hyperlink" xfId="4154" builtinId="9" hidden="1"/>
    <cellStyle name="Followed Hyperlink" xfId="4156" builtinId="9" hidden="1"/>
    <cellStyle name="Followed Hyperlink" xfId="4158" builtinId="9" hidden="1"/>
    <cellStyle name="Followed Hyperlink" xfId="4160" builtinId="9" hidden="1"/>
    <cellStyle name="Followed Hyperlink" xfId="4162" builtinId="9" hidden="1"/>
    <cellStyle name="Followed Hyperlink" xfId="4164" builtinId="9" hidden="1"/>
    <cellStyle name="Followed Hyperlink" xfId="4166" builtinId="9" hidden="1"/>
    <cellStyle name="Followed Hyperlink" xfId="4168" builtinId="9" hidden="1"/>
    <cellStyle name="Followed Hyperlink" xfId="4170" builtinId="9" hidden="1"/>
    <cellStyle name="Followed Hyperlink" xfId="4172" builtinId="9" hidden="1"/>
    <cellStyle name="Followed Hyperlink" xfId="4174" builtinId="9" hidden="1"/>
    <cellStyle name="Followed Hyperlink" xfId="4176" builtinId="9" hidden="1"/>
    <cellStyle name="Followed Hyperlink" xfId="4178" builtinId="9" hidden="1"/>
    <cellStyle name="Followed Hyperlink" xfId="4180" builtinId="9" hidden="1"/>
    <cellStyle name="Followed Hyperlink" xfId="4182" builtinId="9" hidden="1"/>
    <cellStyle name="Followed Hyperlink" xfId="4183" builtinId="9" hidden="1"/>
    <cellStyle name="Followed Hyperlink" xfId="4184" builtinId="9" hidden="1"/>
    <cellStyle name="Followed Hyperlink" xfId="4185" builtinId="9" hidden="1"/>
    <cellStyle name="Followed Hyperlink" xfId="4187" builtinId="9" hidden="1"/>
    <cellStyle name="Followed Hyperlink" xfId="4189" builtinId="9" hidden="1"/>
    <cellStyle name="Followed Hyperlink" xfId="4191" builtinId="9" hidden="1"/>
    <cellStyle name="Followed Hyperlink" xfId="4193" builtinId="9" hidden="1"/>
    <cellStyle name="Followed Hyperlink" xfId="4195" builtinId="9" hidden="1"/>
    <cellStyle name="Followed Hyperlink" xfId="4197" builtinId="9" hidden="1"/>
    <cellStyle name="Followed Hyperlink" xfId="4199" builtinId="9" hidden="1"/>
    <cellStyle name="Followed Hyperlink" xfId="4201" builtinId="9" hidden="1"/>
    <cellStyle name="Followed Hyperlink" xfId="4203" builtinId="9" hidden="1"/>
    <cellStyle name="Followed Hyperlink" xfId="4205" builtinId="9" hidden="1"/>
    <cellStyle name="Followed Hyperlink" xfId="4207" builtinId="9" hidden="1"/>
    <cellStyle name="Followed Hyperlink" xfId="4209" builtinId="9" hidden="1"/>
    <cellStyle name="Followed Hyperlink" xfId="4211" builtinId="9" hidden="1"/>
    <cellStyle name="Followed Hyperlink" xfId="4213" builtinId="9" hidden="1"/>
    <cellStyle name="Followed Hyperlink" xfId="4215" builtinId="9" hidden="1"/>
    <cellStyle name="Followed Hyperlink" xfId="4217" builtinId="9" hidden="1"/>
    <cellStyle name="Followed Hyperlink" xfId="4219" builtinId="9" hidden="1"/>
    <cellStyle name="Followed Hyperlink" xfId="4221" builtinId="9" hidden="1"/>
    <cellStyle name="Followed Hyperlink" xfId="4223" builtinId="9" hidden="1"/>
    <cellStyle name="Followed Hyperlink" xfId="4225" builtinId="9" hidden="1"/>
    <cellStyle name="Followed Hyperlink" xfId="4227" builtinId="9" hidden="1"/>
    <cellStyle name="Followed Hyperlink" xfId="4229" builtinId="9" hidden="1"/>
    <cellStyle name="Followed Hyperlink" xfId="4231" builtinId="9" hidden="1"/>
    <cellStyle name="Followed Hyperlink" xfId="4233" builtinId="9" hidden="1"/>
    <cellStyle name="Followed Hyperlink" xfId="4235" builtinId="9" hidden="1"/>
    <cellStyle name="Followed Hyperlink" xfId="4237" builtinId="9" hidden="1"/>
    <cellStyle name="Followed Hyperlink" xfId="4239" builtinId="9" hidden="1"/>
    <cellStyle name="Followed Hyperlink" xfId="4241" builtinId="9" hidden="1"/>
    <cellStyle name="Followed Hyperlink" xfId="4243" builtinId="9" hidden="1"/>
    <cellStyle name="Followed Hyperlink" xfId="4245" builtinId="9" hidden="1"/>
    <cellStyle name="Followed Hyperlink" xfId="4247" builtinId="9" hidden="1"/>
    <cellStyle name="Followed Hyperlink" xfId="4249" builtinId="9" hidden="1"/>
    <cellStyle name="Followed Hyperlink" xfId="4251" builtinId="9" hidden="1"/>
    <cellStyle name="Followed Hyperlink" xfId="4253" builtinId="9" hidden="1"/>
    <cellStyle name="Followed Hyperlink" xfId="4255" builtinId="9" hidden="1"/>
    <cellStyle name="Followed Hyperlink" xfId="4257" builtinId="9" hidden="1"/>
    <cellStyle name="Followed Hyperlink" xfId="4259" builtinId="9" hidden="1"/>
    <cellStyle name="Followed Hyperlink" xfId="4261" builtinId="9" hidden="1"/>
    <cellStyle name="Followed Hyperlink" xfId="4263" builtinId="9" hidden="1"/>
    <cellStyle name="Followed Hyperlink" xfId="4265" builtinId="9" hidden="1"/>
    <cellStyle name="Followed Hyperlink" xfId="4267" builtinId="9" hidden="1"/>
    <cellStyle name="Followed Hyperlink" xfId="4269" builtinId="9" hidden="1"/>
    <cellStyle name="Followed Hyperlink" xfId="4271" builtinId="9" hidden="1"/>
    <cellStyle name="Followed Hyperlink" xfId="4273" builtinId="9" hidden="1"/>
    <cellStyle name="Followed Hyperlink" xfId="4275" builtinId="9" hidden="1"/>
    <cellStyle name="Followed Hyperlink" xfId="4277" builtinId="9" hidden="1"/>
    <cellStyle name="Followed Hyperlink" xfId="4279" builtinId="9" hidden="1"/>
    <cellStyle name="Followed Hyperlink" xfId="4281" builtinId="9" hidden="1"/>
    <cellStyle name="Followed Hyperlink" xfId="4283" builtinId="9" hidden="1"/>
    <cellStyle name="Followed Hyperlink" xfId="4285" builtinId="9" hidden="1"/>
    <cellStyle name="Followed Hyperlink" xfId="4287" builtinId="9" hidden="1"/>
    <cellStyle name="Followed Hyperlink" xfId="4289" builtinId="9" hidden="1"/>
    <cellStyle name="Followed Hyperlink" xfId="4291" builtinId="9" hidden="1"/>
    <cellStyle name="Followed Hyperlink" xfId="4293" builtinId="9" hidden="1"/>
    <cellStyle name="Followed Hyperlink" xfId="4295" builtinId="9" hidden="1"/>
    <cellStyle name="Followed Hyperlink" xfId="4297" builtinId="9" hidden="1"/>
    <cellStyle name="Followed Hyperlink" xfId="4299" builtinId="9" hidden="1"/>
    <cellStyle name="Followed Hyperlink" xfId="4301" builtinId="9" hidden="1"/>
    <cellStyle name="Followed Hyperlink" xfId="4303" builtinId="9" hidden="1"/>
    <cellStyle name="Followed Hyperlink" xfId="4305" builtinId="9" hidden="1"/>
    <cellStyle name="Followed Hyperlink" xfId="4307" builtinId="9" hidden="1"/>
    <cellStyle name="Followed Hyperlink" xfId="4309" builtinId="9" hidden="1"/>
    <cellStyle name="Followed Hyperlink" xfId="4311" builtinId="9" hidden="1"/>
    <cellStyle name="Followed Hyperlink" xfId="4313" builtinId="9" hidden="1"/>
    <cellStyle name="Followed Hyperlink" xfId="4315" builtinId="9" hidden="1"/>
    <cellStyle name="Followed Hyperlink" xfId="4317" builtinId="9" hidden="1"/>
    <cellStyle name="Followed Hyperlink" xfId="4319" builtinId="9" hidden="1"/>
    <cellStyle name="Followed Hyperlink" xfId="4321" builtinId="9" hidden="1"/>
    <cellStyle name="Followed Hyperlink" xfId="4323" builtinId="9" hidden="1"/>
    <cellStyle name="Followed Hyperlink" xfId="4325" builtinId="9" hidden="1"/>
    <cellStyle name="Followed Hyperlink" xfId="4327" builtinId="9" hidden="1"/>
    <cellStyle name="Followed Hyperlink" xfId="4329" builtinId="9" hidden="1"/>
    <cellStyle name="Followed Hyperlink" xfId="4331" builtinId="9" hidden="1"/>
    <cellStyle name="Followed Hyperlink" xfId="4333" builtinId="9" hidden="1"/>
    <cellStyle name="Followed Hyperlink" xfId="4335" builtinId="9" hidden="1"/>
    <cellStyle name="Followed Hyperlink" xfId="4337" builtinId="9" hidden="1"/>
    <cellStyle name="Followed Hyperlink" xfId="4339" builtinId="9" hidden="1"/>
    <cellStyle name="Followed Hyperlink" xfId="4341" builtinId="9" hidden="1"/>
    <cellStyle name="Followed Hyperlink" xfId="4343" builtinId="9" hidden="1"/>
    <cellStyle name="Followed Hyperlink" xfId="4345" builtinId="9" hidden="1"/>
    <cellStyle name="Followed Hyperlink" xfId="4347" builtinId="9" hidden="1"/>
    <cellStyle name="Followed Hyperlink" xfId="4349" builtinId="9" hidden="1"/>
    <cellStyle name="Followed Hyperlink" xfId="4351" builtinId="9" hidden="1"/>
    <cellStyle name="Followed Hyperlink" xfId="4353" builtinId="9" hidden="1"/>
    <cellStyle name="Followed Hyperlink" xfId="4355" builtinId="9" hidden="1"/>
    <cellStyle name="Followed Hyperlink" xfId="4357" builtinId="9" hidden="1"/>
    <cellStyle name="Followed Hyperlink" xfId="4359" builtinId="9" hidden="1"/>
    <cellStyle name="Followed Hyperlink" xfId="4361" builtinId="9" hidden="1"/>
    <cellStyle name="Followed Hyperlink" xfId="4363" builtinId="9" hidden="1"/>
    <cellStyle name="Followed Hyperlink" xfId="4365" builtinId="9" hidden="1"/>
    <cellStyle name="Followed Hyperlink" xfId="4367" builtinId="9" hidden="1"/>
    <cellStyle name="Followed Hyperlink" xfId="4369" builtinId="9" hidden="1"/>
    <cellStyle name="Followed Hyperlink" xfId="4371" builtinId="9" hidden="1"/>
    <cellStyle name="Followed Hyperlink" xfId="4373" builtinId="9" hidden="1"/>
    <cellStyle name="Followed Hyperlink" xfId="4375" builtinId="9" hidden="1"/>
    <cellStyle name="Followed Hyperlink" xfId="4377" builtinId="9" hidden="1"/>
    <cellStyle name="Followed Hyperlink" xfId="4379" builtinId="9" hidden="1"/>
    <cellStyle name="Followed Hyperlink" xfId="4381" builtinId="9" hidden="1"/>
    <cellStyle name="Followed Hyperlink" xfId="4383" builtinId="9" hidden="1"/>
    <cellStyle name="Followed Hyperlink" xfId="4385" builtinId="9" hidden="1"/>
    <cellStyle name="Followed Hyperlink" xfId="4387" builtinId="9" hidden="1"/>
    <cellStyle name="Followed Hyperlink" xfId="4389" builtinId="9" hidden="1"/>
    <cellStyle name="Followed Hyperlink" xfId="4391" builtinId="9" hidden="1"/>
    <cellStyle name="Followed Hyperlink" xfId="4393" builtinId="9" hidden="1"/>
    <cellStyle name="Followed Hyperlink" xfId="4395" builtinId="9" hidden="1"/>
    <cellStyle name="Followed Hyperlink" xfId="4397" builtinId="9" hidden="1"/>
    <cellStyle name="Followed Hyperlink" xfId="4399" builtinId="9" hidden="1"/>
    <cellStyle name="Followed Hyperlink" xfId="4401" builtinId="9" hidden="1"/>
    <cellStyle name="Followed Hyperlink" xfId="4403" builtinId="9" hidden="1"/>
    <cellStyle name="Followed Hyperlink" xfId="4405" builtinId="9" hidden="1"/>
    <cellStyle name="Followed Hyperlink" xfId="4407" builtinId="9" hidden="1"/>
    <cellStyle name="Followed Hyperlink" xfId="4409" builtinId="9" hidden="1"/>
    <cellStyle name="Followed Hyperlink" xfId="4411" builtinId="9" hidden="1"/>
    <cellStyle name="Followed Hyperlink" xfId="4413" builtinId="9" hidden="1"/>
    <cellStyle name="Followed Hyperlink" xfId="4415" builtinId="9" hidden="1"/>
    <cellStyle name="Followed Hyperlink" xfId="4417" builtinId="9" hidden="1"/>
    <cellStyle name="Followed Hyperlink" xfId="4419" builtinId="9" hidden="1"/>
    <cellStyle name="Followed Hyperlink" xfId="4421" builtinId="9" hidden="1"/>
    <cellStyle name="Followed Hyperlink" xfId="4423" builtinId="9" hidden="1"/>
    <cellStyle name="Followed Hyperlink" xfId="4425" builtinId="9" hidden="1"/>
    <cellStyle name="Followed Hyperlink" xfId="4427" builtinId="9" hidden="1"/>
    <cellStyle name="Followed Hyperlink" xfId="4429" builtinId="9" hidden="1"/>
    <cellStyle name="Followed Hyperlink" xfId="4431" builtinId="9" hidden="1"/>
    <cellStyle name="Followed Hyperlink" xfId="4433" builtinId="9" hidden="1"/>
    <cellStyle name="Followed Hyperlink" xfId="4435" builtinId="9" hidden="1"/>
    <cellStyle name="Followed Hyperlink" xfId="4437" builtinId="9" hidden="1"/>
    <cellStyle name="Followed Hyperlink" xfId="4439" builtinId="9" hidden="1"/>
    <cellStyle name="Followed Hyperlink" xfId="4441" builtinId="9" hidden="1"/>
    <cellStyle name="Followed Hyperlink" xfId="4443" builtinId="9" hidden="1"/>
    <cellStyle name="Followed Hyperlink" xfId="4445" builtinId="9" hidden="1"/>
    <cellStyle name="Followed Hyperlink" xfId="4447" builtinId="9" hidden="1"/>
    <cellStyle name="Followed Hyperlink" xfId="4449" builtinId="9" hidden="1"/>
    <cellStyle name="Followed Hyperlink" xfId="4451" builtinId="9" hidden="1"/>
    <cellStyle name="Followed Hyperlink" xfId="4453" builtinId="9" hidden="1"/>
    <cellStyle name="Followed Hyperlink" xfId="4455" builtinId="9" hidden="1"/>
    <cellStyle name="Followed Hyperlink" xfId="4457" builtinId="9" hidden="1"/>
    <cellStyle name="Followed Hyperlink" xfId="4459" builtinId="9" hidden="1"/>
    <cellStyle name="Followed Hyperlink" xfId="4461" builtinId="9" hidden="1"/>
    <cellStyle name="Followed Hyperlink" xfId="4463" builtinId="9" hidden="1"/>
    <cellStyle name="Followed Hyperlink" xfId="4465" builtinId="9" hidden="1"/>
    <cellStyle name="Followed Hyperlink" xfId="4467" builtinId="9" hidden="1"/>
    <cellStyle name="Followed Hyperlink" xfId="4469" builtinId="9" hidden="1"/>
    <cellStyle name="Followed Hyperlink" xfId="4471" builtinId="9" hidden="1"/>
    <cellStyle name="Followed Hyperlink" xfId="4473" builtinId="9" hidden="1"/>
    <cellStyle name="Followed Hyperlink" xfId="4475" builtinId="9" hidden="1"/>
    <cellStyle name="Followed Hyperlink" xfId="4477" builtinId="9" hidden="1"/>
    <cellStyle name="Followed Hyperlink" xfId="4479" builtinId="9" hidden="1"/>
    <cellStyle name="Followed Hyperlink" xfId="4481" builtinId="9" hidden="1"/>
    <cellStyle name="Followed Hyperlink" xfId="4483" builtinId="9" hidden="1"/>
    <cellStyle name="Followed Hyperlink" xfId="4485" builtinId="9" hidden="1"/>
    <cellStyle name="Followed Hyperlink" xfId="4487" builtinId="9" hidden="1"/>
    <cellStyle name="Followed Hyperlink" xfId="4489" builtinId="9" hidden="1"/>
    <cellStyle name="Followed Hyperlink" xfId="4491" builtinId="9" hidden="1"/>
    <cellStyle name="Followed Hyperlink" xfId="4493" builtinId="9" hidden="1"/>
    <cellStyle name="Followed Hyperlink" xfId="4495" builtinId="9" hidden="1"/>
    <cellStyle name="Followed Hyperlink" xfId="4497" builtinId="9" hidden="1"/>
    <cellStyle name="Followed Hyperlink" xfId="4499" builtinId="9" hidden="1"/>
    <cellStyle name="Followed Hyperlink" xfId="4501" builtinId="9" hidden="1"/>
    <cellStyle name="Followed Hyperlink" xfId="4503" builtinId="9" hidden="1"/>
    <cellStyle name="Followed Hyperlink" xfId="4505" builtinId="9" hidden="1"/>
    <cellStyle name="Followed Hyperlink" xfId="4507" builtinId="9" hidden="1"/>
    <cellStyle name="Followed Hyperlink" xfId="4509" builtinId="9" hidden="1"/>
    <cellStyle name="Followed Hyperlink" xfId="4511" builtinId="9" hidden="1"/>
    <cellStyle name="Followed Hyperlink" xfId="4513" builtinId="9" hidden="1"/>
    <cellStyle name="Followed Hyperlink" xfId="4515" builtinId="9" hidden="1"/>
    <cellStyle name="Followed Hyperlink" xfId="4517" builtinId="9" hidden="1"/>
    <cellStyle name="Followed Hyperlink" xfId="4519" builtinId="9" hidden="1"/>
    <cellStyle name="Followed Hyperlink" xfId="4521" builtinId="9" hidden="1"/>
    <cellStyle name="Followed Hyperlink" xfId="4523" builtinId="9" hidden="1"/>
    <cellStyle name="Followed Hyperlink" xfId="4525" builtinId="9" hidden="1"/>
    <cellStyle name="Followed Hyperlink" xfId="4527" builtinId="9" hidden="1"/>
    <cellStyle name="Followed Hyperlink" xfId="4529" builtinId="9" hidden="1"/>
    <cellStyle name="Followed Hyperlink" xfId="4531" builtinId="9" hidden="1"/>
    <cellStyle name="Followed Hyperlink" xfId="4533" builtinId="9" hidden="1"/>
    <cellStyle name="Followed Hyperlink" xfId="4535" builtinId="9" hidden="1"/>
    <cellStyle name="Followed Hyperlink" xfId="4537" builtinId="9" hidden="1"/>
    <cellStyle name="Followed Hyperlink" xfId="4539" builtinId="9" hidden="1"/>
    <cellStyle name="Followed Hyperlink" xfId="4541" builtinId="9" hidden="1"/>
    <cellStyle name="Followed Hyperlink" xfId="4543" builtinId="9" hidden="1"/>
    <cellStyle name="Followed Hyperlink" xfId="4545" builtinId="9" hidden="1"/>
    <cellStyle name="Followed Hyperlink" xfId="4547" builtinId="9" hidden="1"/>
    <cellStyle name="Followed Hyperlink" xfId="4549" builtinId="9" hidden="1"/>
    <cellStyle name="Followed Hyperlink" xfId="4551" builtinId="9" hidden="1"/>
    <cellStyle name="Followed Hyperlink" xfId="4553" builtinId="9" hidden="1"/>
    <cellStyle name="Followed Hyperlink" xfId="4555" builtinId="9" hidden="1"/>
    <cellStyle name="Followed Hyperlink" xfId="4557" builtinId="9" hidden="1"/>
    <cellStyle name="Followed Hyperlink" xfId="4559" builtinId="9" hidden="1"/>
    <cellStyle name="Followed Hyperlink" xfId="4561" builtinId="9" hidden="1"/>
    <cellStyle name="Followed Hyperlink" xfId="4563" builtinId="9" hidden="1"/>
    <cellStyle name="Followed Hyperlink" xfId="4565" builtinId="9" hidden="1"/>
    <cellStyle name="Followed Hyperlink" xfId="4567" builtinId="9" hidden="1"/>
    <cellStyle name="Followed Hyperlink" xfId="4569" builtinId="9" hidden="1"/>
    <cellStyle name="Followed Hyperlink" xfId="4571" builtinId="9" hidden="1"/>
    <cellStyle name="Followed Hyperlink" xfId="4573" builtinId="9" hidden="1"/>
    <cellStyle name="Followed Hyperlink" xfId="4575" builtinId="9" hidden="1"/>
    <cellStyle name="Followed Hyperlink" xfId="4577" builtinId="9" hidden="1"/>
    <cellStyle name="Followed Hyperlink" xfId="4579" builtinId="9" hidden="1"/>
    <cellStyle name="Followed Hyperlink" xfId="4581" builtinId="9" hidden="1"/>
    <cellStyle name="Followed Hyperlink" xfId="4583" builtinId="9" hidden="1"/>
    <cellStyle name="Followed Hyperlink" xfId="4585" builtinId="9" hidden="1"/>
    <cellStyle name="Followed Hyperlink" xfId="4587" builtinId="9" hidden="1"/>
    <cellStyle name="Followed Hyperlink" xfId="4589" builtinId="9" hidden="1"/>
    <cellStyle name="Followed Hyperlink" xfId="4591" builtinId="9" hidden="1"/>
    <cellStyle name="Followed Hyperlink" xfId="4593" builtinId="9" hidden="1"/>
    <cellStyle name="Followed Hyperlink" xfId="4595" builtinId="9" hidden="1"/>
    <cellStyle name="Followed Hyperlink" xfId="4597" builtinId="9" hidden="1"/>
    <cellStyle name="Followed Hyperlink" xfId="4599" builtinId="9" hidden="1"/>
    <cellStyle name="Followed Hyperlink" xfId="4601" builtinId="9" hidden="1"/>
    <cellStyle name="Followed Hyperlink" xfId="4603" builtinId="9" hidden="1"/>
    <cellStyle name="Followed Hyperlink" xfId="4605" builtinId="9" hidden="1"/>
    <cellStyle name="Followed Hyperlink" xfId="4607" builtinId="9" hidden="1"/>
    <cellStyle name="Followed Hyperlink" xfId="4609" builtinId="9" hidden="1"/>
    <cellStyle name="Followed Hyperlink" xfId="4611" builtinId="9" hidden="1"/>
    <cellStyle name="Followed Hyperlink" xfId="4613" builtinId="9" hidden="1"/>
    <cellStyle name="Followed Hyperlink" xfId="4615" builtinId="9" hidden="1"/>
    <cellStyle name="Followed Hyperlink" xfId="4617" builtinId="9" hidden="1"/>
    <cellStyle name="Followed Hyperlink" xfId="4619" builtinId="9" hidden="1"/>
    <cellStyle name="Followed Hyperlink" xfId="4621" builtinId="9" hidden="1"/>
    <cellStyle name="Followed Hyperlink" xfId="4623" builtinId="9" hidden="1"/>
    <cellStyle name="Followed Hyperlink" xfId="4625" builtinId="9" hidden="1"/>
    <cellStyle name="Followed Hyperlink" xfId="4627" builtinId="9" hidden="1"/>
    <cellStyle name="Followed Hyperlink" xfId="4629" builtinId="9" hidden="1"/>
    <cellStyle name="Followed Hyperlink" xfId="4631" builtinId="9" hidden="1"/>
    <cellStyle name="Followed Hyperlink" xfId="4633" builtinId="9" hidden="1"/>
    <cellStyle name="Followed Hyperlink" xfId="4635" builtinId="9" hidden="1"/>
    <cellStyle name="Followed Hyperlink" xfId="4637" builtinId="9" hidden="1"/>
    <cellStyle name="Followed Hyperlink" xfId="4639" builtinId="9" hidden="1"/>
    <cellStyle name="Followed Hyperlink" xfId="4641" builtinId="9" hidden="1"/>
    <cellStyle name="Followed Hyperlink" xfId="4643" builtinId="9" hidden="1"/>
    <cellStyle name="Followed Hyperlink" xfId="4645" builtinId="9" hidden="1"/>
    <cellStyle name="Followed Hyperlink" xfId="4647" builtinId="9" hidden="1"/>
    <cellStyle name="Followed Hyperlink" xfId="4649" builtinId="9" hidden="1"/>
    <cellStyle name="Followed Hyperlink" xfId="4651" builtinId="9" hidden="1"/>
    <cellStyle name="Followed Hyperlink" xfId="4653" builtinId="9" hidden="1"/>
    <cellStyle name="Followed Hyperlink" xfId="4655" builtinId="9" hidden="1"/>
    <cellStyle name="Followed Hyperlink" xfId="4657" builtinId="9" hidden="1"/>
    <cellStyle name="Followed Hyperlink" xfId="4659" builtinId="9" hidden="1"/>
    <cellStyle name="Followed Hyperlink" xfId="4661" builtinId="9" hidden="1"/>
    <cellStyle name="Followed Hyperlink" xfId="4663" builtinId="9" hidden="1"/>
    <cellStyle name="Followed Hyperlink" xfId="4665" builtinId="9" hidden="1"/>
    <cellStyle name="Followed Hyperlink" xfId="4667" builtinId="9" hidden="1"/>
    <cellStyle name="Followed Hyperlink" xfId="4669" builtinId="9" hidden="1"/>
    <cellStyle name="Followed Hyperlink" xfId="4671" builtinId="9" hidden="1"/>
    <cellStyle name="Followed Hyperlink" xfId="4673" builtinId="9" hidden="1"/>
    <cellStyle name="Followed Hyperlink" xfId="4675" builtinId="9" hidden="1"/>
    <cellStyle name="Followed Hyperlink" xfId="4677" builtinId="9" hidden="1"/>
    <cellStyle name="Followed Hyperlink" xfId="4679" builtinId="9" hidden="1"/>
    <cellStyle name="Followed Hyperlink" xfId="4681" builtinId="9" hidden="1"/>
    <cellStyle name="Followed Hyperlink" xfId="4683" builtinId="9" hidden="1"/>
    <cellStyle name="Followed Hyperlink" xfId="4685" builtinId="9" hidden="1"/>
    <cellStyle name="Followed Hyperlink" xfId="4687" builtinId="9" hidden="1"/>
    <cellStyle name="Followed Hyperlink" xfId="4689" builtinId="9" hidden="1"/>
    <cellStyle name="Followed Hyperlink" xfId="4691" builtinId="9" hidden="1"/>
    <cellStyle name="Followed Hyperlink" xfId="4693" builtinId="9" hidden="1"/>
    <cellStyle name="Followed Hyperlink" xfId="4695" builtinId="9" hidden="1"/>
    <cellStyle name="Followed Hyperlink" xfId="4697" builtinId="9" hidden="1"/>
    <cellStyle name="Followed Hyperlink" xfId="4699" builtinId="9" hidden="1"/>
    <cellStyle name="Followed Hyperlink" xfId="4701" builtinId="9" hidden="1"/>
    <cellStyle name="Followed Hyperlink" xfId="4703" builtinId="9" hidden="1"/>
    <cellStyle name="Followed Hyperlink" xfId="4705" builtinId="9" hidden="1"/>
    <cellStyle name="Followed Hyperlink" xfId="4707" builtinId="9" hidden="1"/>
    <cellStyle name="Followed Hyperlink" xfId="4709" builtinId="9" hidden="1"/>
    <cellStyle name="Followed Hyperlink" xfId="4711" builtinId="9" hidden="1"/>
    <cellStyle name="Followed Hyperlink" xfId="4713" builtinId="9" hidden="1"/>
    <cellStyle name="Followed Hyperlink" xfId="4715" builtinId="9" hidden="1"/>
    <cellStyle name="Followed Hyperlink" xfId="4717" builtinId="9" hidden="1"/>
    <cellStyle name="Followed Hyperlink" xfId="4719" builtinId="9" hidden="1"/>
    <cellStyle name="Followed Hyperlink" xfId="4721" builtinId="9" hidden="1"/>
    <cellStyle name="Followed Hyperlink" xfId="4723" builtinId="9" hidden="1"/>
    <cellStyle name="Followed Hyperlink" xfId="4725" builtinId="9" hidden="1"/>
    <cellStyle name="Followed Hyperlink" xfId="4727" builtinId="9" hidden="1"/>
    <cellStyle name="Followed Hyperlink" xfId="4729" builtinId="9" hidden="1"/>
    <cellStyle name="Followed Hyperlink" xfId="4731" builtinId="9" hidden="1"/>
    <cellStyle name="Followed Hyperlink" xfId="4733" builtinId="9" hidden="1"/>
    <cellStyle name="Followed Hyperlink" xfId="4735" builtinId="9" hidden="1"/>
    <cellStyle name="Followed Hyperlink" xfId="4737" builtinId="9" hidden="1"/>
    <cellStyle name="Followed Hyperlink" xfId="4739" builtinId="9" hidden="1"/>
    <cellStyle name="Followed Hyperlink" xfId="4741" builtinId="9" hidden="1"/>
    <cellStyle name="Followed Hyperlink" xfId="4743" builtinId="9" hidden="1"/>
    <cellStyle name="Followed Hyperlink" xfId="4745" builtinId="9" hidden="1"/>
    <cellStyle name="Followed Hyperlink" xfId="4747" builtinId="9" hidden="1"/>
    <cellStyle name="Followed Hyperlink" xfId="4749" builtinId="9" hidden="1"/>
    <cellStyle name="Followed Hyperlink" xfId="4751" builtinId="9" hidden="1"/>
    <cellStyle name="Followed Hyperlink" xfId="4753" builtinId="9" hidden="1"/>
    <cellStyle name="Followed Hyperlink" xfId="4755" builtinId="9" hidden="1"/>
    <cellStyle name="Followed Hyperlink" xfId="4757" builtinId="9" hidden="1"/>
    <cellStyle name="Followed Hyperlink" xfId="4759" builtinId="9" hidden="1"/>
    <cellStyle name="Followed Hyperlink" xfId="4761" builtinId="9" hidden="1"/>
    <cellStyle name="Followed Hyperlink" xfId="4763" builtinId="9" hidden="1"/>
    <cellStyle name="Followed Hyperlink" xfId="4765" builtinId="9" hidden="1"/>
    <cellStyle name="Followed Hyperlink" xfId="4767" builtinId="9" hidden="1"/>
    <cellStyle name="Followed Hyperlink" xfId="4769" builtinId="9" hidden="1"/>
    <cellStyle name="Followed Hyperlink" xfId="4771" builtinId="9" hidden="1"/>
    <cellStyle name="Followed Hyperlink" xfId="4773" builtinId="9" hidden="1"/>
    <cellStyle name="Followed Hyperlink" xfId="4775" builtinId="9" hidden="1"/>
    <cellStyle name="Followed Hyperlink" xfId="4777" builtinId="9" hidden="1"/>
    <cellStyle name="Followed Hyperlink" xfId="4779" builtinId="9" hidden="1"/>
    <cellStyle name="Followed Hyperlink" xfId="4781" builtinId="9" hidden="1"/>
    <cellStyle name="Followed Hyperlink" xfId="4783" builtinId="9" hidden="1"/>
    <cellStyle name="Followed Hyperlink" xfId="4785" builtinId="9" hidden="1"/>
    <cellStyle name="Followed Hyperlink" xfId="4787" builtinId="9" hidden="1"/>
    <cellStyle name="Followed Hyperlink" xfId="4789" builtinId="9" hidden="1"/>
    <cellStyle name="Followed Hyperlink" xfId="4791" builtinId="9" hidden="1"/>
    <cellStyle name="Followed Hyperlink" xfId="4793" builtinId="9" hidden="1"/>
    <cellStyle name="Followed Hyperlink" xfId="4795" builtinId="9" hidden="1"/>
    <cellStyle name="Followed Hyperlink" xfId="4797" builtinId="9" hidden="1"/>
    <cellStyle name="Followed Hyperlink" xfId="4799" builtinId="9" hidden="1"/>
    <cellStyle name="Followed Hyperlink" xfId="4801" builtinId="9" hidden="1"/>
    <cellStyle name="Followed Hyperlink" xfId="4803" builtinId="9" hidden="1"/>
    <cellStyle name="Followed Hyperlink" xfId="4805" builtinId="9" hidden="1"/>
    <cellStyle name="Followed Hyperlink" xfId="4807" builtinId="9" hidden="1"/>
    <cellStyle name="Followed Hyperlink" xfId="4809" builtinId="9" hidden="1"/>
    <cellStyle name="Followed Hyperlink" xfId="4811" builtinId="9" hidden="1"/>
    <cellStyle name="Followed Hyperlink" xfId="4813" builtinId="9" hidden="1"/>
    <cellStyle name="Followed Hyperlink" xfId="4815" builtinId="9" hidden="1"/>
    <cellStyle name="Followed Hyperlink" xfId="4817" builtinId="9" hidden="1"/>
    <cellStyle name="Followed Hyperlink" xfId="4819" builtinId="9" hidden="1"/>
    <cellStyle name="Followed Hyperlink" xfId="4821" builtinId="9" hidden="1"/>
    <cellStyle name="Followed Hyperlink" xfId="4823" builtinId="9" hidden="1"/>
    <cellStyle name="Followed Hyperlink" xfId="4825" builtinId="9" hidden="1"/>
    <cellStyle name="Followed Hyperlink" xfId="4827" builtinId="9" hidden="1"/>
    <cellStyle name="Followed Hyperlink" xfId="4829" builtinId="9" hidden="1"/>
    <cellStyle name="Followed Hyperlink" xfId="4831" builtinId="9" hidden="1"/>
    <cellStyle name="Followed Hyperlink" xfId="4833" builtinId="9" hidden="1"/>
    <cellStyle name="Followed Hyperlink" xfId="4835" builtinId="9" hidden="1"/>
    <cellStyle name="Followed Hyperlink" xfId="4837" builtinId="9" hidden="1"/>
    <cellStyle name="Followed Hyperlink" xfId="4839" builtinId="9" hidden="1"/>
    <cellStyle name="Followed Hyperlink" xfId="4841" builtinId="9" hidden="1"/>
    <cellStyle name="Followed Hyperlink" xfId="4843" builtinId="9" hidden="1"/>
    <cellStyle name="Followed Hyperlink" xfId="4845" builtinId="9" hidden="1"/>
    <cellStyle name="Followed Hyperlink" xfId="4847" builtinId="9" hidden="1"/>
    <cellStyle name="Followed Hyperlink" xfId="4849" builtinId="9" hidden="1"/>
    <cellStyle name="Followed Hyperlink" xfId="4851" builtinId="9" hidden="1"/>
    <cellStyle name="Followed Hyperlink" xfId="4853" builtinId="9" hidden="1"/>
    <cellStyle name="Followed Hyperlink" xfId="4855" builtinId="9" hidden="1"/>
    <cellStyle name="Followed Hyperlink" xfId="4857" builtinId="9" hidden="1"/>
    <cellStyle name="Followed Hyperlink" xfId="4859" builtinId="9" hidden="1"/>
    <cellStyle name="Followed Hyperlink" xfId="4861" builtinId="9" hidden="1"/>
    <cellStyle name="Followed Hyperlink" xfId="4863" builtinId="9" hidden="1"/>
    <cellStyle name="Followed Hyperlink" xfId="4865" builtinId="9" hidden="1"/>
    <cellStyle name="Followed Hyperlink" xfId="4867" builtinId="9" hidden="1"/>
    <cellStyle name="Followed Hyperlink" xfId="4869" builtinId="9" hidden="1"/>
    <cellStyle name="Followed Hyperlink" xfId="4871" builtinId="9" hidden="1"/>
    <cellStyle name="Followed Hyperlink" xfId="4873" builtinId="9" hidden="1"/>
    <cellStyle name="Followed Hyperlink" xfId="4875" builtinId="9" hidden="1"/>
    <cellStyle name="Followed Hyperlink" xfId="4877" builtinId="9" hidden="1"/>
    <cellStyle name="Followed Hyperlink" xfId="4879" builtinId="9" hidden="1"/>
    <cellStyle name="Followed Hyperlink" xfId="4881" builtinId="9" hidden="1"/>
    <cellStyle name="Followed Hyperlink" xfId="4883" builtinId="9" hidden="1"/>
    <cellStyle name="Followed Hyperlink" xfId="4885" builtinId="9" hidden="1"/>
    <cellStyle name="Followed Hyperlink" xfId="4887" builtinId="9" hidden="1"/>
    <cellStyle name="Followed Hyperlink" xfId="4889" builtinId="9" hidden="1"/>
    <cellStyle name="Followed Hyperlink" xfId="4891" builtinId="9" hidden="1"/>
    <cellStyle name="Followed Hyperlink" xfId="4893" builtinId="9" hidden="1"/>
    <cellStyle name="Followed Hyperlink" xfId="4895" builtinId="9" hidden="1"/>
    <cellStyle name="Followed Hyperlink" xfId="4897" builtinId="9" hidden="1"/>
    <cellStyle name="Followed Hyperlink" xfId="4899" builtinId="9" hidden="1"/>
    <cellStyle name="Followed Hyperlink" xfId="4901" builtinId="9" hidden="1"/>
    <cellStyle name="Followed Hyperlink" xfId="4903" builtinId="9" hidden="1"/>
    <cellStyle name="Followed Hyperlink" xfId="4905" builtinId="9" hidden="1"/>
    <cellStyle name="Followed Hyperlink" xfId="4907" builtinId="9" hidden="1"/>
    <cellStyle name="Followed Hyperlink" xfId="4909" builtinId="9" hidden="1"/>
    <cellStyle name="Followed Hyperlink" xfId="4911" builtinId="9" hidden="1"/>
    <cellStyle name="Followed Hyperlink" xfId="4913" builtinId="9" hidden="1"/>
    <cellStyle name="Followed Hyperlink" xfId="4915" builtinId="9" hidden="1"/>
    <cellStyle name="Followed Hyperlink" xfId="4917" builtinId="9" hidden="1"/>
    <cellStyle name="Followed Hyperlink" xfId="4919" builtinId="9" hidden="1"/>
    <cellStyle name="Followed Hyperlink" xfId="4921" builtinId="9" hidden="1"/>
    <cellStyle name="Followed Hyperlink" xfId="4923" builtinId="9" hidden="1"/>
    <cellStyle name="Followed Hyperlink" xfId="4925" builtinId="9" hidden="1"/>
    <cellStyle name="Followed Hyperlink" xfId="4927" builtinId="9" hidden="1"/>
    <cellStyle name="Followed Hyperlink" xfId="4929" builtinId="9" hidden="1"/>
    <cellStyle name="Followed Hyperlink" xfId="4931" builtinId="9" hidden="1"/>
    <cellStyle name="Followed Hyperlink" xfId="4933" builtinId="9" hidden="1"/>
    <cellStyle name="Followed Hyperlink" xfId="4935" builtinId="9" hidden="1"/>
    <cellStyle name="Followed Hyperlink" xfId="4936" builtinId="9" hidden="1"/>
    <cellStyle name="Followed Hyperlink" xfId="4937" builtinId="9" hidden="1"/>
    <cellStyle name="Followed Hyperlink" xfId="4938" builtinId="9" hidden="1"/>
    <cellStyle name="Followed Hyperlink" xfId="4939" builtinId="9" hidden="1"/>
    <cellStyle name="Followed Hyperlink" xfId="4940" builtinId="9" hidden="1"/>
    <cellStyle name="Followed Hyperlink" xfId="4941" builtinId="9" hidden="1"/>
    <cellStyle name="Followed Hyperlink" xfId="4942" builtinId="9" hidden="1"/>
    <cellStyle name="Followed Hyperlink" xfId="4943" builtinId="9" hidden="1"/>
    <cellStyle name="Followed Hyperlink" xfId="4944" builtinId="9" hidden="1"/>
    <cellStyle name="Followed Hyperlink" xfId="4945" builtinId="9" hidden="1"/>
    <cellStyle name="Followed Hyperlink" xfId="4946" builtinId="9" hidden="1"/>
    <cellStyle name="Followed Hyperlink" xfId="4947" builtinId="9" hidden="1"/>
    <cellStyle name="Followed Hyperlink" xfId="4948" builtinId="9" hidden="1"/>
    <cellStyle name="Followed Hyperlink" xfId="4949" builtinId="9" hidden="1"/>
    <cellStyle name="Followed Hyperlink" xfId="4950" builtinId="9" hidden="1"/>
    <cellStyle name="Followed Hyperlink" xfId="4951" builtinId="9" hidden="1"/>
    <cellStyle name="Followed Hyperlink" xfId="4952" builtinId="9" hidden="1"/>
    <cellStyle name="Followed Hyperlink" xfId="4953" builtinId="9" hidden="1"/>
    <cellStyle name="Followed Hyperlink" xfId="4954" builtinId="9" hidden="1"/>
    <cellStyle name="Followed Hyperlink" xfId="4955" builtinId="9" hidden="1"/>
    <cellStyle name="Followed Hyperlink" xfId="4956" builtinId="9" hidden="1"/>
    <cellStyle name="Followed Hyperlink" xfId="4957" builtinId="9" hidden="1"/>
    <cellStyle name="Followed Hyperlink" xfId="4958" builtinId="9" hidden="1"/>
    <cellStyle name="Followed Hyperlink" xfId="4959" builtinId="9" hidden="1"/>
    <cellStyle name="Followed Hyperlink" xfId="4960" builtinId="9" hidden="1"/>
    <cellStyle name="Followed Hyperlink" xfId="4961" builtinId="9" hidden="1"/>
    <cellStyle name="Followed Hyperlink" xfId="4962" builtinId="9" hidden="1"/>
    <cellStyle name="Followed Hyperlink" xfId="4963" builtinId="9" hidden="1"/>
    <cellStyle name="Followed Hyperlink" xfId="4964" builtinId="9" hidden="1"/>
    <cellStyle name="Followed Hyperlink" xfId="4965" builtinId="9" hidden="1"/>
    <cellStyle name="Followed Hyperlink" xfId="4966" builtinId="9" hidden="1"/>
    <cellStyle name="Followed Hyperlink" xfId="4967" builtinId="9" hidden="1"/>
    <cellStyle name="Followed Hyperlink" xfId="4968" builtinId="9" hidden="1"/>
    <cellStyle name="Followed Hyperlink" xfId="4969" builtinId="9" hidden="1"/>
    <cellStyle name="Followed Hyperlink" xfId="4970" builtinId="9" hidden="1"/>
    <cellStyle name="Followed Hyperlink" xfId="4971" builtinId="9" hidden="1"/>
    <cellStyle name="Followed Hyperlink" xfId="4972" builtinId="9" hidden="1"/>
    <cellStyle name="Followed Hyperlink" xfId="4973" builtinId="9" hidden="1"/>
    <cellStyle name="Followed Hyperlink" xfId="4974" builtinId="9" hidden="1"/>
    <cellStyle name="Followed Hyperlink" xfId="4975" builtinId="9" hidden="1"/>
    <cellStyle name="Followed Hyperlink" xfId="4976" builtinId="9" hidden="1"/>
    <cellStyle name="Followed Hyperlink" xfId="4977" builtinId="9" hidden="1"/>
    <cellStyle name="Followed Hyperlink" xfId="4978" builtinId="9" hidden="1"/>
    <cellStyle name="Followed Hyperlink" xfId="4979" builtinId="9" hidden="1"/>
    <cellStyle name="Followed Hyperlink" xfId="4980" builtinId="9" hidden="1"/>
    <cellStyle name="Followed Hyperlink" xfId="4981" builtinId="9" hidden="1"/>
    <cellStyle name="Followed Hyperlink" xfId="4982" builtinId="9" hidden="1"/>
    <cellStyle name="Followed Hyperlink" xfId="4983" builtinId="9" hidden="1"/>
    <cellStyle name="Followed Hyperlink" xfId="4984" builtinId="9" hidden="1"/>
    <cellStyle name="Followed Hyperlink" xfId="4985" builtinId="9" hidden="1"/>
    <cellStyle name="Followed Hyperlink" xfId="4986" builtinId="9" hidden="1"/>
    <cellStyle name="Followed Hyperlink" xfId="4987" builtinId="9" hidden="1"/>
    <cellStyle name="Followed Hyperlink" xfId="4988" builtinId="9" hidden="1"/>
    <cellStyle name="Followed Hyperlink" xfId="4989" builtinId="9" hidden="1"/>
    <cellStyle name="Followed Hyperlink" xfId="4990" builtinId="9" hidden="1"/>
    <cellStyle name="Followed Hyperlink" xfId="4991" builtinId="9" hidden="1"/>
    <cellStyle name="Followed Hyperlink" xfId="4992" builtinId="9" hidden="1"/>
    <cellStyle name="Followed Hyperlink" xfId="4993" builtinId="9" hidden="1"/>
    <cellStyle name="Followed Hyperlink" xfId="4994" builtinId="9" hidden="1"/>
    <cellStyle name="Followed Hyperlink" xfId="4995" builtinId="9" hidden="1"/>
    <cellStyle name="Followed Hyperlink" xfId="4996" builtinId="9" hidden="1"/>
    <cellStyle name="Followed Hyperlink" xfId="4997" builtinId="9" hidden="1"/>
    <cellStyle name="Followed Hyperlink" xfId="4998" builtinId="9" hidden="1"/>
    <cellStyle name="Followed Hyperlink" xfId="4999" builtinId="9" hidden="1"/>
    <cellStyle name="Followed Hyperlink" xfId="5000" builtinId="9" hidden="1"/>
    <cellStyle name="Followed Hyperlink" xfId="5001" builtinId="9" hidden="1"/>
    <cellStyle name="Followed Hyperlink" xfId="5002" builtinId="9" hidden="1"/>
    <cellStyle name="Followed Hyperlink" xfId="5003" builtinId="9" hidden="1"/>
    <cellStyle name="Followed Hyperlink" xfId="5004" builtinId="9" hidden="1"/>
    <cellStyle name="Followed Hyperlink" xfId="5005" builtinId="9" hidden="1"/>
    <cellStyle name="Followed Hyperlink" xfId="5006" builtinId="9" hidden="1"/>
    <cellStyle name="Followed Hyperlink" xfId="5007" builtinId="9" hidden="1"/>
    <cellStyle name="Followed Hyperlink" xfId="5008" builtinId="9" hidden="1"/>
    <cellStyle name="Followed Hyperlink" xfId="5009" builtinId="9" hidden="1"/>
    <cellStyle name="Followed Hyperlink" xfId="5010" builtinId="9" hidden="1"/>
    <cellStyle name="Followed Hyperlink" xfId="5011" builtinId="9" hidden="1"/>
    <cellStyle name="Followed Hyperlink" xfId="5012" builtinId="9" hidden="1"/>
    <cellStyle name="Followed Hyperlink" xfId="5013" builtinId="9" hidden="1"/>
    <cellStyle name="Followed Hyperlink" xfId="5014" builtinId="9" hidden="1"/>
    <cellStyle name="Followed Hyperlink" xfId="5015" builtinId="9" hidden="1"/>
    <cellStyle name="Followed Hyperlink" xfId="5016" builtinId="9" hidden="1"/>
    <cellStyle name="Followed Hyperlink" xfId="5017" builtinId="9" hidden="1"/>
    <cellStyle name="Followed Hyperlink" xfId="5018" builtinId="9" hidden="1"/>
    <cellStyle name="Followed Hyperlink" xfId="5019" builtinId="9" hidden="1"/>
    <cellStyle name="Followed Hyperlink" xfId="5020" builtinId="9" hidden="1"/>
    <cellStyle name="Followed Hyperlink" xfId="5021" builtinId="9" hidden="1"/>
    <cellStyle name="Followed Hyperlink" xfId="5022" builtinId="9" hidden="1"/>
    <cellStyle name="Followed Hyperlink" xfId="5023" builtinId="9" hidden="1"/>
    <cellStyle name="Followed Hyperlink" xfId="5024" builtinId="9" hidden="1"/>
    <cellStyle name="Followed Hyperlink" xfId="5025" builtinId="9" hidden="1"/>
    <cellStyle name="Followed Hyperlink" xfId="5026" builtinId="9" hidden="1"/>
    <cellStyle name="Followed Hyperlink" xfId="5027" builtinId="9" hidden="1"/>
    <cellStyle name="Followed Hyperlink" xfId="5028" builtinId="9" hidden="1"/>
    <cellStyle name="Followed Hyperlink" xfId="5029" builtinId="9" hidden="1"/>
    <cellStyle name="Followed Hyperlink" xfId="5030" builtinId="9" hidden="1"/>
    <cellStyle name="Followed Hyperlink" xfId="5031" builtinId="9" hidden="1"/>
    <cellStyle name="Followed Hyperlink" xfId="5032" builtinId="9" hidden="1"/>
    <cellStyle name="Followed Hyperlink" xfId="5033" builtinId="9" hidden="1"/>
    <cellStyle name="Followed Hyperlink" xfId="5034" builtinId="9" hidden="1"/>
    <cellStyle name="Followed Hyperlink" xfId="5035" builtinId="9" hidden="1"/>
    <cellStyle name="Followed Hyperlink" xfId="5036" builtinId="9" hidden="1"/>
    <cellStyle name="Followed Hyperlink" xfId="5037" builtinId="9" hidden="1"/>
    <cellStyle name="Followed Hyperlink" xfId="5038" builtinId="9" hidden="1"/>
    <cellStyle name="Followed Hyperlink" xfId="5039" builtinId="9" hidden="1"/>
    <cellStyle name="Followed Hyperlink" xfId="5040" builtinId="9" hidden="1"/>
    <cellStyle name="Followed Hyperlink" xfId="5041" builtinId="9" hidden="1"/>
    <cellStyle name="Followed Hyperlink" xfId="5042" builtinId="9" hidden="1"/>
    <cellStyle name="Followed Hyperlink" xfId="5043" builtinId="9" hidden="1"/>
    <cellStyle name="Followed Hyperlink" xfId="5044" builtinId="9" hidden="1"/>
    <cellStyle name="Followed Hyperlink" xfId="5045" builtinId="9" hidden="1"/>
    <cellStyle name="Followed Hyperlink" xfId="5046" builtinId="9" hidden="1"/>
    <cellStyle name="Followed Hyperlink" xfId="5047" builtinId="9" hidden="1"/>
    <cellStyle name="Followed Hyperlink" xfId="5048" builtinId="9" hidden="1"/>
    <cellStyle name="Followed Hyperlink" xfId="5049" builtinId="9" hidden="1"/>
    <cellStyle name="Followed Hyperlink" xfId="5050" builtinId="9" hidden="1"/>
    <cellStyle name="Followed Hyperlink" xfId="5051" builtinId="9" hidden="1"/>
    <cellStyle name="Followed Hyperlink" xfId="5052" builtinId="9" hidden="1"/>
    <cellStyle name="Followed Hyperlink" xfId="5053" builtinId="9" hidden="1"/>
    <cellStyle name="Followed Hyperlink" xfId="5054" builtinId="9" hidden="1"/>
    <cellStyle name="Followed Hyperlink" xfId="5055" builtinId="9" hidden="1"/>
    <cellStyle name="Followed Hyperlink" xfId="5056" builtinId="9" hidden="1"/>
    <cellStyle name="Followed Hyperlink" xfId="5057" builtinId="9" hidden="1"/>
    <cellStyle name="Followed Hyperlink" xfId="5058" builtinId="9" hidden="1"/>
    <cellStyle name="Followed Hyperlink" xfId="5059" builtinId="9" hidden="1"/>
    <cellStyle name="Followed Hyperlink" xfId="5060" builtinId="9" hidden="1"/>
    <cellStyle name="Followed Hyperlink" xfId="5061" builtinId="9" hidden="1"/>
    <cellStyle name="Followed Hyperlink" xfId="5062" builtinId="9" hidden="1"/>
    <cellStyle name="Followed Hyperlink" xfId="5063" builtinId="9" hidden="1"/>
    <cellStyle name="Followed Hyperlink" xfId="5064" builtinId="9" hidden="1"/>
    <cellStyle name="Followed Hyperlink" xfId="5065" builtinId="9" hidden="1"/>
    <cellStyle name="Followed Hyperlink" xfId="5066" builtinId="9" hidden="1"/>
    <cellStyle name="Followed Hyperlink" xfId="5067" builtinId="9" hidden="1"/>
    <cellStyle name="Followed Hyperlink" xfId="5068" builtinId="9" hidden="1"/>
    <cellStyle name="Followed Hyperlink" xfId="5069" builtinId="9" hidden="1"/>
    <cellStyle name="Followed Hyperlink" xfId="5070" builtinId="9" hidden="1"/>
    <cellStyle name="Followed Hyperlink" xfId="5071" builtinId="9" hidden="1"/>
    <cellStyle name="Followed Hyperlink" xfId="5072" builtinId="9" hidden="1"/>
    <cellStyle name="Followed Hyperlink" xfId="5073" builtinId="9" hidden="1"/>
    <cellStyle name="Followed Hyperlink" xfId="5074" builtinId="9" hidden="1"/>
    <cellStyle name="Followed Hyperlink" xfId="5075" builtinId="9" hidden="1"/>
    <cellStyle name="Followed Hyperlink" xfId="5076" builtinId="9" hidden="1"/>
    <cellStyle name="Followed Hyperlink" xfId="5077" builtinId="9" hidden="1"/>
    <cellStyle name="Followed Hyperlink" xfId="5078" builtinId="9" hidden="1"/>
    <cellStyle name="Followed Hyperlink" xfId="5079" builtinId="9" hidden="1"/>
    <cellStyle name="Followed Hyperlink" xfId="5080" builtinId="9" hidden="1"/>
    <cellStyle name="Followed Hyperlink" xfId="5081" builtinId="9" hidden="1"/>
    <cellStyle name="Followed Hyperlink" xfId="5082" builtinId="9" hidden="1"/>
    <cellStyle name="Followed Hyperlink" xfId="5083" builtinId="9" hidden="1"/>
    <cellStyle name="Followed Hyperlink" xfId="5084" builtinId="9" hidden="1"/>
    <cellStyle name="Followed Hyperlink" xfId="5085" builtinId="9" hidden="1"/>
    <cellStyle name="Followed Hyperlink" xfId="5086" builtinId="9" hidden="1"/>
    <cellStyle name="Followed Hyperlink" xfId="5087" builtinId="9" hidden="1"/>
    <cellStyle name="Followed Hyperlink" xfId="5088" builtinId="9" hidden="1"/>
    <cellStyle name="Followed Hyperlink" xfId="5089" builtinId="9" hidden="1"/>
    <cellStyle name="Followed Hyperlink" xfId="5090" builtinId="9" hidden="1"/>
    <cellStyle name="Followed Hyperlink" xfId="5091" builtinId="9" hidden="1"/>
    <cellStyle name="Followed Hyperlink" xfId="5092" builtinId="9" hidden="1"/>
    <cellStyle name="Followed Hyperlink" xfId="5093" builtinId="9" hidden="1"/>
    <cellStyle name="Followed Hyperlink" xfId="5094" builtinId="9" hidden="1"/>
    <cellStyle name="Followed Hyperlink" xfId="5095" builtinId="9" hidden="1"/>
    <cellStyle name="Followed Hyperlink" xfId="5096" builtinId="9" hidden="1"/>
    <cellStyle name="Followed Hyperlink" xfId="5097" builtinId="9" hidden="1"/>
    <cellStyle name="Followed Hyperlink" xfId="5098" builtinId="9" hidden="1"/>
    <cellStyle name="Followed Hyperlink" xfId="5099" builtinId="9" hidden="1"/>
    <cellStyle name="Followed Hyperlink" xfId="5100" builtinId="9" hidden="1"/>
    <cellStyle name="Followed Hyperlink" xfId="5101" builtinId="9" hidden="1"/>
    <cellStyle name="Followed Hyperlink" xfId="5102" builtinId="9" hidden="1"/>
    <cellStyle name="Followed Hyperlink" xfId="5103" builtinId="9" hidden="1"/>
    <cellStyle name="Followed Hyperlink" xfId="5104" builtinId="9" hidden="1"/>
    <cellStyle name="Followed Hyperlink" xfId="5105" builtinId="9" hidden="1"/>
    <cellStyle name="Followed Hyperlink" xfId="5106" builtinId="9" hidden="1"/>
    <cellStyle name="Followed Hyperlink" xfId="5107" builtinId="9" hidden="1"/>
    <cellStyle name="Followed Hyperlink" xfId="5108" builtinId="9" hidden="1"/>
    <cellStyle name="Followed Hyperlink" xfId="5109" builtinId="9" hidden="1"/>
    <cellStyle name="Followed Hyperlink" xfId="5110" builtinId="9" hidden="1"/>
    <cellStyle name="Followed Hyperlink" xfId="5111" builtinId="9" hidden="1"/>
    <cellStyle name="Followed Hyperlink" xfId="5112" builtinId="9" hidden="1"/>
    <cellStyle name="Followed Hyperlink" xfId="5113" builtinId="9" hidden="1"/>
    <cellStyle name="Followed Hyperlink" xfId="5114" builtinId="9" hidden="1"/>
    <cellStyle name="Followed Hyperlink" xfId="5115" builtinId="9" hidden="1"/>
    <cellStyle name="Followed Hyperlink" xfId="5116" builtinId="9" hidden="1"/>
    <cellStyle name="Followed Hyperlink" xfId="5117" builtinId="9" hidden="1"/>
    <cellStyle name="Followed Hyperlink" xfId="5118" builtinId="9" hidden="1"/>
    <cellStyle name="Followed Hyperlink" xfId="5119" builtinId="9" hidden="1"/>
    <cellStyle name="Followed Hyperlink" xfId="5120" builtinId="9" hidden="1"/>
    <cellStyle name="Followed Hyperlink" xfId="5121" builtinId="9" hidden="1"/>
    <cellStyle name="Followed Hyperlink" xfId="5122" builtinId="9" hidden="1"/>
    <cellStyle name="Followed Hyperlink" xfId="5123" builtinId="9" hidden="1"/>
    <cellStyle name="Followed Hyperlink" xfId="5124" builtinId="9" hidden="1"/>
    <cellStyle name="Followed Hyperlink" xfId="5125" builtinId="9" hidden="1"/>
    <cellStyle name="Followed Hyperlink" xfId="5126" builtinId="9" hidden="1"/>
    <cellStyle name="Followed Hyperlink" xfId="5127" builtinId="9" hidden="1"/>
    <cellStyle name="Followed Hyperlink" xfId="5128" builtinId="9" hidden="1"/>
    <cellStyle name="Followed Hyperlink" xfId="5129" builtinId="9" hidden="1"/>
    <cellStyle name="Followed Hyperlink" xfId="5130" builtinId="9" hidden="1"/>
    <cellStyle name="Followed Hyperlink" xfId="5131" builtinId="9" hidden="1"/>
    <cellStyle name="Followed Hyperlink" xfId="5132" builtinId="9" hidden="1"/>
    <cellStyle name="Followed Hyperlink" xfId="5133" builtinId="9" hidden="1"/>
    <cellStyle name="Followed Hyperlink" xfId="5134" builtinId="9" hidden="1"/>
    <cellStyle name="Followed Hyperlink" xfId="5135" builtinId="9" hidden="1"/>
    <cellStyle name="Followed Hyperlink" xfId="5136" builtinId="9" hidden="1"/>
    <cellStyle name="Followed Hyperlink" xfId="5137" builtinId="9" hidden="1"/>
    <cellStyle name="Followed Hyperlink" xfId="5138" builtinId="9" hidden="1"/>
    <cellStyle name="Followed Hyperlink" xfId="5139" builtinId="9" hidden="1"/>
    <cellStyle name="Followed Hyperlink" xfId="5140" builtinId="9" hidden="1"/>
    <cellStyle name="Followed Hyperlink" xfId="5141" builtinId="9" hidden="1"/>
    <cellStyle name="Followed Hyperlink" xfId="5142" builtinId="9" hidden="1"/>
    <cellStyle name="Followed Hyperlink" xfId="5143" builtinId="9" hidden="1"/>
    <cellStyle name="Followed Hyperlink" xfId="5144" builtinId="9" hidden="1"/>
    <cellStyle name="Followed Hyperlink" xfId="5145" builtinId="9" hidden="1"/>
    <cellStyle name="Followed Hyperlink" xfId="5146" builtinId="9" hidden="1"/>
    <cellStyle name="Followed Hyperlink" xfId="5147" builtinId="9" hidden="1"/>
    <cellStyle name="Followed Hyperlink" xfId="5148" builtinId="9" hidden="1"/>
    <cellStyle name="Followed Hyperlink" xfId="5149" builtinId="9" hidden="1"/>
    <cellStyle name="Followed Hyperlink" xfId="5150" builtinId="9" hidden="1"/>
    <cellStyle name="Followed Hyperlink" xfId="5151" builtinId="9" hidden="1"/>
    <cellStyle name="Followed Hyperlink" xfId="5152" builtinId="9" hidden="1"/>
    <cellStyle name="Followed Hyperlink" xfId="5153" builtinId="9" hidden="1"/>
    <cellStyle name="Followed Hyperlink" xfId="5154" builtinId="9" hidden="1"/>
    <cellStyle name="Followed Hyperlink" xfId="5155" builtinId="9" hidden="1"/>
    <cellStyle name="Followed Hyperlink" xfId="5156" builtinId="9" hidden="1"/>
    <cellStyle name="Followed Hyperlink" xfId="5157" builtinId="9" hidden="1"/>
    <cellStyle name="Followed Hyperlink" xfId="5158" builtinId="9" hidden="1"/>
    <cellStyle name="Followed Hyperlink" xfId="5159" builtinId="9" hidden="1"/>
    <cellStyle name="Followed Hyperlink" xfId="5160" builtinId="9" hidden="1"/>
    <cellStyle name="Followed Hyperlink" xfId="5161" builtinId="9" hidden="1"/>
    <cellStyle name="Followed Hyperlink" xfId="5162" builtinId="9" hidden="1"/>
    <cellStyle name="Followed Hyperlink" xfId="5163" builtinId="9" hidden="1"/>
    <cellStyle name="Followed Hyperlink" xfId="5164" builtinId="9" hidden="1"/>
    <cellStyle name="Followed Hyperlink" xfId="5165" builtinId="9" hidden="1"/>
    <cellStyle name="Followed Hyperlink" xfId="5166" builtinId="9" hidden="1"/>
    <cellStyle name="Followed Hyperlink" xfId="5167" builtinId="9" hidden="1"/>
    <cellStyle name="Followed Hyperlink" xfId="5168" builtinId="9" hidden="1"/>
    <cellStyle name="Followed Hyperlink" xfId="5169" builtinId="9" hidden="1"/>
    <cellStyle name="Followed Hyperlink" xfId="5170" builtinId="9" hidden="1"/>
    <cellStyle name="Followed Hyperlink" xfId="5171" builtinId="9" hidden="1"/>
    <cellStyle name="Followed Hyperlink" xfId="5172" builtinId="9" hidden="1"/>
    <cellStyle name="Followed Hyperlink" xfId="5173" builtinId="9" hidden="1"/>
    <cellStyle name="Followed Hyperlink" xfId="5174" builtinId="9" hidden="1"/>
    <cellStyle name="Followed Hyperlink" xfId="5175" builtinId="9" hidden="1"/>
    <cellStyle name="Followed Hyperlink" xfId="5176" builtinId="9" hidden="1"/>
    <cellStyle name="Followed Hyperlink" xfId="5177" builtinId="9" hidden="1"/>
    <cellStyle name="Followed Hyperlink" xfId="5178" builtinId="9" hidden="1"/>
    <cellStyle name="Followed Hyperlink" xfId="5179" builtinId="9" hidden="1"/>
    <cellStyle name="Followed Hyperlink" xfId="5180" builtinId="9" hidden="1"/>
    <cellStyle name="Followed Hyperlink" xfId="5181" builtinId="9" hidden="1"/>
    <cellStyle name="Followed Hyperlink" xfId="5182" builtinId="9" hidden="1"/>
    <cellStyle name="Followed Hyperlink" xfId="5183" builtinId="9" hidden="1"/>
    <cellStyle name="Followed Hyperlink" xfId="5184" builtinId="9" hidden="1"/>
    <cellStyle name="Followed Hyperlink" xfId="5185" builtinId="9" hidden="1"/>
    <cellStyle name="Followed Hyperlink" xfId="5186" builtinId="9" hidden="1"/>
    <cellStyle name="Followed Hyperlink" xfId="5187" builtinId="9" hidden="1"/>
    <cellStyle name="Followed Hyperlink" xfId="5188" builtinId="9" hidden="1"/>
    <cellStyle name="Followed Hyperlink" xfId="5189" builtinId="9" hidden="1"/>
    <cellStyle name="Followed Hyperlink" xfId="5190" builtinId="9" hidden="1"/>
    <cellStyle name="Followed Hyperlink" xfId="5191" builtinId="9" hidden="1"/>
    <cellStyle name="Followed Hyperlink" xfId="5192" builtinId="9" hidden="1"/>
    <cellStyle name="Followed Hyperlink" xfId="5193" builtinId="9" hidden="1"/>
    <cellStyle name="Followed Hyperlink" xfId="5194" builtinId="9" hidden="1"/>
    <cellStyle name="Followed Hyperlink" xfId="5195" builtinId="9" hidden="1"/>
    <cellStyle name="Followed Hyperlink" xfId="5196" builtinId="9" hidden="1"/>
    <cellStyle name="Followed Hyperlink" xfId="5197" builtinId="9" hidden="1"/>
    <cellStyle name="Followed Hyperlink" xfId="5198" builtinId="9" hidden="1"/>
    <cellStyle name="Followed Hyperlink" xfId="5199" builtinId="9" hidden="1"/>
    <cellStyle name="Followed Hyperlink" xfId="5200" builtinId="9" hidden="1"/>
    <cellStyle name="Followed Hyperlink" xfId="5201" builtinId="9" hidden="1"/>
    <cellStyle name="Followed Hyperlink" xfId="5202" builtinId="9" hidden="1"/>
    <cellStyle name="Followed Hyperlink" xfId="5203" builtinId="9" hidden="1"/>
    <cellStyle name="Followed Hyperlink" xfId="5204" builtinId="9" hidden="1"/>
    <cellStyle name="Followed Hyperlink" xfId="5205" builtinId="9" hidden="1"/>
    <cellStyle name="Followed Hyperlink" xfId="5206" builtinId="9" hidden="1"/>
    <cellStyle name="Followed Hyperlink" xfId="5207" builtinId="9" hidden="1"/>
    <cellStyle name="Followed Hyperlink" xfId="5208" builtinId="9" hidden="1"/>
    <cellStyle name="Followed Hyperlink" xfId="5209" builtinId="9" hidden="1"/>
    <cellStyle name="Followed Hyperlink" xfId="5210" builtinId="9" hidden="1"/>
    <cellStyle name="Followed Hyperlink" xfId="5211" builtinId="9" hidden="1"/>
    <cellStyle name="Followed Hyperlink" xfId="5212" builtinId="9" hidden="1"/>
    <cellStyle name="Followed Hyperlink" xfId="5213" builtinId="9" hidden="1"/>
    <cellStyle name="Followed Hyperlink" xfId="5214" builtinId="9" hidden="1"/>
    <cellStyle name="Followed Hyperlink" xfId="5215" builtinId="9" hidden="1"/>
    <cellStyle name="Followed Hyperlink" xfId="5216" builtinId="9" hidden="1"/>
    <cellStyle name="Followed Hyperlink" xfId="5217" builtinId="9" hidden="1"/>
    <cellStyle name="Followed Hyperlink" xfId="5218" builtinId="9" hidden="1"/>
    <cellStyle name="Followed Hyperlink" xfId="5219" builtinId="9" hidden="1"/>
    <cellStyle name="Followed Hyperlink" xfId="5220" builtinId="9" hidden="1"/>
    <cellStyle name="Followed Hyperlink" xfId="5221" builtinId="9" hidden="1"/>
    <cellStyle name="Followed Hyperlink" xfId="5222" builtinId="9" hidden="1"/>
    <cellStyle name="Followed Hyperlink" xfId="5223" builtinId="9" hidden="1"/>
    <cellStyle name="Followed Hyperlink" xfId="5224" builtinId="9" hidden="1"/>
    <cellStyle name="Followed Hyperlink" xfId="5225" builtinId="9" hidden="1"/>
    <cellStyle name="Followed Hyperlink" xfId="5226" builtinId="9" hidden="1"/>
    <cellStyle name="Followed Hyperlink" xfId="5227" builtinId="9" hidden="1"/>
    <cellStyle name="Followed Hyperlink" xfId="5228" builtinId="9" hidden="1"/>
    <cellStyle name="Followed Hyperlink" xfId="5229" builtinId="9" hidden="1"/>
    <cellStyle name="Followed Hyperlink" xfId="5230" builtinId="9" hidden="1"/>
    <cellStyle name="Followed Hyperlink" xfId="5231" builtinId="9" hidden="1"/>
    <cellStyle name="Followed Hyperlink" xfId="5232" builtinId="9" hidden="1"/>
    <cellStyle name="Followed Hyperlink" xfId="5233" builtinId="9" hidden="1"/>
    <cellStyle name="Followed Hyperlink" xfId="5234" builtinId="9" hidden="1"/>
    <cellStyle name="Followed Hyperlink" xfId="5235" builtinId="9" hidden="1"/>
    <cellStyle name="Followed Hyperlink" xfId="5236" builtinId="9" hidden="1"/>
    <cellStyle name="Followed Hyperlink" xfId="5237" builtinId="9" hidden="1"/>
    <cellStyle name="Followed Hyperlink" xfId="5238" builtinId="9" hidden="1"/>
    <cellStyle name="Followed Hyperlink" xfId="5239" builtinId="9" hidden="1"/>
    <cellStyle name="Followed Hyperlink" xfId="5240" builtinId="9" hidden="1"/>
    <cellStyle name="Followed Hyperlink" xfId="5241" builtinId="9" hidden="1"/>
    <cellStyle name="Followed Hyperlink" xfId="5242" builtinId="9" hidden="1"/>
    <cellStyle name="Followed Hyperlink" xfId="5243" builtinId="9" hidden="1"/>
    <cellStyle name="Followed Hyperlink" xfId="5244" builtinId="9" hidden="1"/>
    <cellStyle name="Followed Hyperlink" xfId="5245" builtinId="9" hidden="1"/>
    <cellStyle name="Followed Hyperlink" xfId="5246" builtinId="9" hidden="1"/>
    <cellStyle name="Followed Hyperlink" xfId="5247" builtinId="9" hidden="1"/>
    <cellStyle name="Followed Hyperlink" xfId="5248" builtinId="9" hidden="1"/>
    <cellStyle name="Followed Hyperlink" xfId="5249" builtinId="9" hidden="1"/>
    <cellStyle name="Followed Hyperlink" xfId="5250" builtinId="9" hidden="1"/>
    <cellStyle name="Followed Hyperlink" xfId="5251" builtinId="9" hidden="1"/>
    <cellStyle name="Followed Hyperlink" xfId="5252" builtinId="9" hidden="1"/>
    <cellStyle name="Followed Hyperlink" xfId="5253" builtinId="9" hidden="1"/>
    <cellStyle name="Followed Hyperlink" xfId="5254" builtinId="9" hidden="1"/>
    <cellStyle name="Followed Hyperlink" xfId="5255" builtinId="9" hidden="1"/>
    <cellStyle name="Followed Hyperlink" xfId="5256" builtinId="9" hidden="1"/>
    <cellStyle name="Followed Hyperlink" xfId="5257" builtinId="9" hidden="1"/>
    <cellStyle name="Followed Hyperlink" xfId="5258" builtinId="9" hidden="1"/>
    <cellStyle name="Followed Hyperlink" xfId="5259" builtinId="9" hidden="1"/>
    <cellStyle name="Followed Hyperlink" xfId="5260" builtinId="9" hidden="1"/>
    <cellStyle name="Followed Hyperlink" xfId="5261" builtinId="9" hidden="1"/>
    <cellStyle name="Followed Hyperlink" xfId="5262" builtinId="9" hidden="1"/>
    <cellStyle name="Followed Hyperlink" xfId="5263" builtinId="9" hidden="1"/>
    <cellStyle name="Followed Hyperlink" xfId="5264" builtinId="9" hidden="1"/>
    <cellStyle name="Followed Hyperlink" xfId="5265" builtinId="9" hidden="1"/>
    <cellStyle name="Followed Hyperlink" xfId="5266" builtinId="9" hidden="1"/>
    <cellStyle name="Followed Hyperlink" xfId="5267" builtinId="9" hidden="1"/>
    <cellStyle name="Followed Hyperlink" xfId="5268" builtinId="9" hidden="1"/>
    <cellStyle name="Followed Hyperlink" xfId="5269" builtinId="9" hidden="1"/>
    <cellStyle name="Followed Hyperlink" xfId="5270" builtinId="9" hidden="1"/>
    <cellStyle name="Followed Hyperlink" xfId="5271" builtinId="9" hidden="1"/>
    <cellStyle name="Followed Hyperlink" xfId="5272" builtinId="9" hidden="1"/>
    <cellStyle name="Followed Hyperlink" xfId="5273" builtinId="9" hidden="1"/>
    <cellStyle name="Followed Hyperlink" xfId="5274" builtinId="9" hidden="1"/>
    <cellStyle name="Followed Hyperlink" xfId="5275" builtinId="9" hidden="1"/>
    <cellStyle name="Followed Hyperlink" xfId="5276" builtinId="9" hidden="1"/>
    <cellStyle name="Followed Hyperlink" xfId="5277" builtinId="9" hidden="1"/>
    <cellStyle name="Followed Hyperlink" xfId="5278" builtinId="9" hidden="1"/>
    <cellStyle name="Followed Hyperlink" xfId="5279" builtinId="9" hidden="1"/>
    <cellStyle name="Followed Hyperlink" xfId="5280" builtinId="9" hidden="1"/>
    <cellStyle name="Followed Hyperlink" xfId="5281" builtinId="9" hidden="1"/>
    <cellStyle name="Followed Hyperlink" xfId="5282" builtinId="9" hidden="1"/>
    <cellStyle name="Followed Hyperlink" xfId="5283" builtinId="9" hidden="1"/>
    <cellStyle name="Followed Hyperlink" xfId="5284" builtinId="9" hidden="1"/>
    <cellStyle name="Followed Hyperlink" xfId="5285" builtinId="9" hidden="1"/>
    <cellStyle name="Followed Hyperlink" xfId="5286" builtinId="9" hidden="1"/>
    <cellStyle name="Followed Hyperlink" xfId="5287" builtinId="9" hidden="1"/>
    <cellStyle name="Followed Hyperlink" xfId="5288" builtinId="9" hidden="1"/>
    <cellStyle name="Followed Hyperlink" xfId="5289" builtinId="9" hidden="1"/>
    <cellStyle name="Followed Hyperlink" xfId="5290" builtinId="9" hidden="1"/>
    <cellStyle name="Followed Hyperlink" xfId="5291" builtinId="9" hidden="1"/>
    <cellStyle name="Followed Hyperlink" xfId="5292" builtinId="9" hidden="1"/>
    <cellStyle name="Followed Hyperlink" xfId="5293" builtinId="9" hidden="1"/>
    <cellStyle name="Followed Hyperlink" xfId="5294" builtinId="9" hidden="1"/>
    <cellStyle name="Followed Hyperlink" xfId="5295" builtinId="9" hidden="1"/>
    <cellStyle name="Followed Hyperlink" xfId="5296" builtinId="9" hidden="1"/>
    <cellStyle name="Followed Hyperlink" xfId="5297" builtinId="9" hidden="1"/>
    <cellStyle name="Followed Hyperlink" xfId="5298" builtinId="9" hidden="1"/>
    <cellStyle name="Followed Hyperlink" xfId="5299" builtinId="9" hidden="1"/>
    <cellStyle name="Followed Hyperlink" xfId="5300" builtinId="9" hidden="1"/>
    <cellStyle name="Followed Hyperlink" xfId="5301" builtinId="9" hidden="1"/>
    <cellStyle name="Followed Hyperlink" xfId="5302" builtinId="9" hidden="1"/>
    <cellStyle name="Followed Hyperlink" xfId="5303" builtinId="9" hidden="1"/>
    <cellStyle name="Followed Hyperlink" xfId="5304" builtinId="9" hidden="1"/>
    <cellStyle name="Followed Hyperlink" xfId="5305" builtinId="9" hidden="1"/>
    <cellStyle name="Followed Hyperlink" xfId="5306" builtinId="9" hidden="1"/>
    <cellStyle name="Followed Hyperlink" xfId="5307" builtinId="9" hidden="1"/>
    <cellStyle name="Followed Hyperlink" xfId="5308" builtinId="9" hidden="1"/>
    <cellStyle name="Followed Hyperlink" xfId="5309" builtinId="9" hidden="1"/>
    <cellStyle name="Followed Hyperlink" xfId="5310" builtinId="9" hidden="1"/>
    <cellStyle name="Followed Hyperlink" xfId="5311" builtinId="9" hidden="1"/>
    <cellStyle name="Followed Hyperlink" xfId="5312" builtinId="9" hidden="1"/>
    <cellStyle name="Followed Hyperlink" xfId="5313" builtinId="9" hidden="1"/>
    <cellStyle name="Followed Hyperlink" xfId="5314" builtinId="9" hidden="1"/>
    <cellStyle name="Followed Hyperlink" xfId="5315" builtinId="9" hidden="1"/>
    <cellStyle name="Followed Hyperlink" xfId="5316" builtinId="9" hidden="1"/>
    <cellStyle name="Followed Hyperlink" xfId="5317" builtinId="9" hidden="1"/>
    <cellStyle name="Followed Hyperlink" xfId="5318" builtinId="9" hidden="1"/>
    <cellStyle name="Followed Hyperlink" xfId="5319" builtinId="9" hidden="1"/>
    <cellStyle name="Followed Hyperlink" xfId="5320" builtinId="9" hidden="1"/>
    <cellStyle name="Followed Hyperlink" xfId="5321" builtinId="9" hidden="1"/>
    <cellStyle name="Followed Hyperlink" xfId="5322" builtinId="9" hidden="1"/>
    <cellStyle name="Followed Hyperlink" xfId="5323" builtinId="9" hidden="1"/>
    <cellStyle name="Followed Hyperlink" xfId="5324" builtinId="9" hidden="1"/>
    <cellStyle name="Followed Hyperlink" xfId="5325" builtinId="9" hidden="1"/>
    <cellStyle name="Followed Hyperlink" xfId="5326" builtinId="9" hidden="1"/>
    <cellStyle name="Followed Hyperlink" xfId="5327" builtinId="9" hidden="1"/>
    <cellStyle name="Followed Hyperlink" xfId="5328" builtinId="9" hidden="1"/>
    <cellStyle name="Followed Hyperlink" xfId="5329" builtinId="9" hidden="1"/>
    <cellStyle name="Followed Hyperlink" xfId="5330" builtinId="9" hidden="1"/>
    <cellStyle name="Followed Hyperlink" xfId="5331" builtinId="9" hidden="1"/>
    <cellStyle name="Followed Hyperlink" xfId="5332" builtinId="9" hidden="1"/>
    <cellStyle name="Followed Hyperlink" xfId="5333" builtinId="9" hidden="1"/>
    <cellStyle name="Followed Hyperlink" xfId="5334" builtinId="9" hidden="1"/>
    <cellStyle name="Followed Hyperlink" xfId="5335" builtinId="9" hidden="1"/>
    <cellStyle name="Followed Hyperlink" xfId="5336" builtinId="9" hidden="1"/>
    <cellStyle name="Followed Hyperlink" xfId="5337" builtinId="9" hidden="1"/>
    <cellStyle name="Followed Hyperlink" xfId="5338" builtinId="9" hidden="1"/>
    <cellStyle name="Followed Hyperlink" xfId="5339" builtinId="9" hidden="1"/>
    <cellStyle name="Followed Hyperlink" xfId="5340" builtinId="9" hidden="1"/>
    <cellStyle name="Followed Hyperlink" xfId="5341" builtinId="9" hidden="1"/>
    <cellStyle name="Followed Hyperlink" xfId="5342" builtinId="9" hidden="1"/>
    <cellStyle name="Followed Hyperlink" xfId="5343" builtinId="9" hidden="1"/>
    <cellStyle name="Followed Hyperlink" xfId="5344" builtinId="9" hidden="1"/>
    <cellStyle name="Followed Hyperlink" xfId="5345" builtinId="9" hidden="1"/>
    <cellStyle name="Followed Hyperlink" xfId="5346" builtinId="9" hidden="1"/>
    <cellStyle name="Followed Hyperlink" xfId="5347" builtinId="9" hidden="1"/>
    <cellStyle name="Followed Hyperlink" xfId="5348" builtinId="9" hidden="1"/>
    <cellStyle name="Followed Hyperlink" xfId="5349" builtinId="9" hidden="1"/>
    <cellStyle name="Followed Hyperlink" xfId="5350" builtinId="9" hidden="1"/>
    <cellStyle name="Followed Hyperlink" xfId="5351" builtinId="9" hidden="1"/>
    <cellStyle name="Followed Hyperlink" xfId="5352" builtinId="9" hidden="1"/>
    <cellStyle name="Followed Hyperlink" xfId="5353" builtinId="9" hidden="1"/>
    <cellStyle name="Followed Hyperlink" xfId="5354" builtinId="9" hidden="1"/>
    <cellStyle name="Followed Hyperlink" xfId="5355" builtinId="9" hidden="1"/>
    <cellStyle name="Followed Hyperlink" xfId="5356" builtinId="9" hidden="1"/>
    <cellStyle name="Followed Hyperlink" xfId="5357" builtinId="9" hidden="1"/>
    <cellStyle name="Followed Hyperlink" xfId="5358" builtinId="9" hidden="1"/>
    <cellStyle name="Followed Hyperlink" xfId="5359" builtinId="9" hidden="1"/>
    <cellStyle name="Followed Hyperlink" xfId="5360" builtinId="9" hidden="1"/>
    <cellStyle name="Followed Hyperlink" xfId="5361" builtinId="9" hidden="1"/>
    <cellStyle name="Followed Hyperlink" xfId="5362" builtinId="9" hidden="1"/>
    <cellStyle name="Followed Hyperlink" xfId="5363" builtinId="9" hidden="1"/>
    <cellStyle name="Followed Hyperlink" xfId="5364" builtinId="9" hidden="1"/>
    <cellStyle name="Followed Hyperlink" xfId="5365" builtinId="9" hidden="1"/>
    <cellStyle name="Followed Hyperlink" xfId="5366" builtinId="9" hidden="1"/>
    <cellStyle name="Followed Hyperlink" xfId="5367" builtinId="9" hidden="1"/>
    <cellStyle name="Followed Hyperlink" xfId="5368" builtinId="9" hidden="1"/>
    <cellStyle name="Followed Hyperlink" xfId="5369" builtinId="9" hidden="1"/>
    <cellStyle name="Followed Hyperlink" xfId="5370" builtinId="9" hidden="1"/>
    <cellStyle name="Followed Hyperlink" xfId="5371" builtinId="9" hidden="1"/>
    <cellStyle name="Followed Hyperlink" xfId="5372" builtinId="9" hidden="1"/>
    <cellStyle name="Followed Hyperlink" xfId="5373" builtinId="9" hidden="1"/>
    <cellStyle name="Followed Hyperlink" xfId="5374" builtinId="9" hidden="1"/>
    <cellStyle name="Followed Hyperlink" xfId="5375" builtinId="9" hidden="1"/>
    <cellStyle name="Followed Hyperlink" xfId="5376" builtinId="9" hidden="1"/>
    <cellStyle name="Followed Hyperlink" xfId="5377" builtinId="9" hidden="1"/>
    <cellStyle name="Followed Hyperlink" xfId="5378" builtinId="9" hidden="1"/>
    <cellStyle name="Followed Hyperlink" xfId="5379" builtinId="9" hidden="1"/>
    <cellStyle name="Followed Hyperlink" xfId="5380" builtinId="9" hidden="1"/>
    <cellStyle name="Followed Hyperlink" xfId="5381" builtinId="9" hidden="1"/>
    <cellStyle name="Followed Hyperlink" xfId="5382" builtinId="9" hidden="1"/>
    <cellStyle name="Followed Hyperlink" xfId="5383" builtinId="9" hidden="1"/>
    <cellStyle name="Followed Hyperlink" xfId="5384" builtinId="9" hidden="1"/>
    <cellStyle name="Followed Hyperlink" xfId="5385" builtinId="9" hidden="1"/>
    <cellStyle name="Followed Hyperlink" xfId="5386" builtinId="9" hidden="1"/>
    <cellStyle name="Followed Hyperlink" xfId="5387" builtinId="9" hidden="1"/>
    <cellStyle name="Followed Hyperlink" xfId="5388" builtinId="9" hidden="1"/>
    <cellStyle name="Followed Hyperlink" xfId="5389" builtinId="9" hidden="1"/>
    <cellStyle name="Followed Hyperlink" xfId="5390" builtinId="9" hidden="1"/>
    <cellStyle name="Followed Hyperlink" xfId="5391" builtinId="9" hidden="1"/>
    <cellStyle name="Followed Hyperlink" xfId="5392" builtinId="9" hidden="1"/>
    <cellStyle name="Followed Hyperlink" xfId="5393" builtinId="9" hidden="1"/>
    <cellStyle name="Followed Hyperlink" xfId="5394" builtinId="9" hidden="1"/>
    <cellStyle name="Followed Hyperlink" xfId="5395" builtinId="9" hidden="1"/>
    <cellStyle name="Followed Hyperlink" xfId="5396" builtinId="9" hidden="1"/>
    <cellStyle name="Followed Hyperlink" xfId="5397" builtinId="9" hidden="1"/>
    <cellStyle name="Followed Hyperlink" xfId="5398" builtinId="9" hidden="1"/>
    <cellStyle name="Followed Hyperlink" xfId="5399" builtinId="9" hidden="1"/>
    <cellStyle name="Followed Hyperlink" xfId="5400" builtinId="9" hidden="1"/>
    <cellStyle name="Followed Hyperlink" xfId="5401" builtinId="9" hidden="1"/>
    <cellStyle name="Followed Hyperlink" xfId="5402" builtinId="9" hidden="1"/>
    <cellStyle name="Followed Hyperlink" xfId="5403" builtinId="9" hidden="1"/>
    <cellStyle name="Followed Hyperlink" xfId="5404" builtinId="9" hidden="1"/>
    <cellStyle name="Followed Hyperlink" xfId="5405" builtinId="9" hidden="1"/>
    <cellStyle name="Followed Hyperlink" xfId="5406" builtinId="9" hidden="1"/>
    <cellStyle name="Followed Hyperlink" xfId="5407" builtinId="9" hidden="1"/>
    <cellStyle name="Followed Hyperlink" xfId="5408" builtinId="9" hidden="1"/>
    <cellStyle name="Followed Hyperlink" xfId="5409" builtinId="9" hidden="1"/>
    <cellStyle name="Followed Hyperlink" xfId="5410" builtinId="9" hidden="1"/>
    <cellStyle name="Followed Hyperlink" xfId="5411" builtinId="9" hidden="1"/>
    <cellStyle name="Followed Hyperlink" xfId="5412" builtinId="9" hidden="1"/>
    <cellStyle name="Followed Hyperlink" xfId="5413" builtinId="9" hidden="1"/>
    <cellStyle name="Followed Hyperlink" xfId="5414" builtinId="9" hidden="1"/>
    <cellStyle name="Followed Hyperlink" xfId="5415" builtinId="9" hidden="1"/>
    <cellStyle name="Followed Hyperlink" xfId="5416" builtinId="9" hidden="1"/>
    <cellStyle name="Followed Hyperlink" xfId="5417" builtinId="9" hidden="1"/>
    <cellStyle name="Followed Hyperlink" xfId="5418" builtinId="9" hidden="1"/>
    <cellStyle name="Followed Hyperlink" xfId="5419" builtinId="9" hidden="1"/>
    <cellStyle name="Followed Hyperlink" xfId="5420" builtinId="9" hidden="1"/>
    <cellStyle name="Followed Hyperlink" xfId="5421" builtinId="9" hidden="1"/>
    <cellStyle name="Followed Hyperlink" xfId="5422" builtinId="9" hidden="1"/>
    <cellStyle name="Followed Hyperlink" xfId="5423" builtinId="9" hidden="1"/>
    <cellStyle name="Followed Hyperlink" xfId="5424" builtinId="9" hidden="1"/>
    <cellStyle name="Followed Hyperlink" xfId="5425" builtinId="9" hidden="1"/>
    <cellStyle name="Followed Hyperlink" xfId="5426" builtinId="9" hidden="1"/>
    <cellStyle name="Followed Hyperlink" xfId="5427" builtinId="9" hidden="1"/>
    <cellStyle name="Followed Hyperlink" xfId="5428" builtinId="9" hidden="1"/>
    <cellStyle name="Followed Hyperlink" xfId="5429" builtinId="9" hidden="1"/>
    <cellStyle name="Followed Hyperlink" xfId="5430" builtinId="9" hidden="1"/>
    <cellStyle name="Followed Hyperlink" xfId="5431" builtinId="9" hidden="1"/>
    <cellStyle name="Followed Hyperlink" xfId="5432" builtinId="9" hidden="1"/>
    <cellStyle name="Followed Hyperlink" xfId="5433" builtinId="9" hidden="1"/>
    <cellStyle name="Followed Hyperlink" xfId="5434" builtinId="9" hidden="1"/>
    <cellStyle name="Followed Hyperlink" xfId="5435" builtinId="9" hidden="1"/>
    <cellStyle name="Followed Hyperlink" xfId="5436" builtinId="9" hidden="1"/>
    <cellStyle name="Followed Hyperlink" xfId="5437" builtinId="9" hidden="1"/>
    <cellStyle name="Followed Hyperlink" xfId="5438" builtinId="9" hidden="1"/>
    <cellStyle name="Followed Hyperlink" xfId="5439" builtinId="9" hidden="1"/>
    <cellStyle name="Followed Hyperlink" xfId="5440" builtinId="9" hidden="1"/>
    <cellStyle name="Followed Hyperlink" xfId="5441" builtinId="9" hidden="1"/>
    <cellStyle name="Followed Hyperlink" xfId="5442" builtinId="9" hidden="1"/>
    <cellStyle name="Followed Hyperlink" xfId="5443" builtinId="9" hidden="1"/>
    <cellStyle name="Followed Hyperlink" xfId="5444" builtinId="9" hidden="1"/>
    <cellStyle name="Followed Hyperlink" xfId="5445" builtinId="9" hidden="1"/>
    <cellStyle name="Followed Hyperlink" xfId="5446" builtinId="9" hidden="1"/>
    <cellStyle name="Followed Hyperlink" xfId="5447" builtinId="9" hidden="1"/>
    <cellStyle name="Followed Hyperlink" xfId="5448" builtinId="9" hidden="1"/>
    <cellStyle name="Followed Hyperlink" xfId="5449" builtinId="9" hidden="1"/>
    <cellStyle name="Followed Hyperlink" xfId="5450" builtinId="9" hidden="1"/>
    <cellStyle name="Followed Hyperlink" xfId="5451" builtinId="9" hidden="1"/>
    <cellStyle name="Followed Hyperlink" xfId="5452" builtinId="9" hidden="1"/>
    <cellStyle name="Followed Hyperlink" xfId="5453" builtinId="9" hidden="1"/>
    <cellStyle name="Followed Hyperlink" xfId="5454" builtinId="9" hidden="1"/>
    <cellStyle name="Followed Hyperlink" xfId="5455" builtinId="9" hidden="1"/>
    <cellStyle name="Followed Hyperlink" xfId="5456" builtinId="9" hidden="1"/>
    <cellStyle name="Followed Hyperlink" xfId="5457" builtinId="9" hidden="1"/>
    <cellStyle name="Followed Hyperlink" xfId="5458" builtinId="9" hidden="1"/>
    <cellStyle name="Followed Hyperlink" xfId="5459" builtinId="9" hidden="1"/>
    <cellStyle name="Followed Hyperlink" xfId="5460" builtinId="9" hidden="1"/>
    <cellStyle name="Followed Hyperlink" xfId="5461" builtinId="9" hidden="1"/>
    <cellStyle name="Followed Hyperlink" xfId="5462" builtinId="9" hidden="1"/>
    <cellStyle name="Followed Hyperlink" xfId="5463" builtinId="9" hidden="1"/>
    <cellStyle name="Followed Hyperlink" xfId="5464" builtinId="9" hidden="1"/>
    <cellStyle name="Followed Hyperlink" xfId="5465" builtinId="9" hidden="1"/>
    <cellStyle name="Followed Hyperlink" xfId="5466" builtinId="9" hidden="1"/>
    <cellStyle name="Followed Hyperlink" xfId="5467" builtinId="9" hidden="1"/>
    <cellStyle name="Followed Hyperlink" xfId="5468" builtinId="9" hidden="1"/>
    <cellStyle name="Followed Hyperlink" xfId="5469" builtinId="9" hidden="1"/>
    <cellStyle name="Followed Hyperlink" xfId="5470" builtinId="9" hidden="1"/>
    <cellStyle name="Followed Hyperlink" xfId="5471" builtinId="9" hidden="1"/>
    <cellStyle name="Followed Hyperlink" xfId="5472" builtinId="9" hidden="1"/>
    <cellStyle name="Followed Hyperlink" xfId="5473" builtinId="9" hidden="1"/>
    <cellStyle name="Followed Hyperlink" xfId="5474" builtinId="9" hidden="1"/>
    <cellStyle name="Followed Hyperlink" xfId="5475" builtinId="9" hidden="1"/>
    <cellStyle name="Followed Hyperlink" xfId="5476" builtinId="9" hidden="1"/>
    <cellStyle name="Followed Hyperlink" xfId="5477" builtinId="9" hidden="1"/>
    <cellStyle name="Followed Hyperlink" xfId="5478" builtinId="9" hidden="1"/>
    <cellStyle name="Followed Hyperlink" xfId="5479" builtinId="9" hidden="1"/>
    <cellStyle name="Followed Hyperlink" xfId="5480" builtinId="9" hidden="1"/>
    <cellStyle name="Followed Hyperlink" xfId="5481" builtinId="9" hidden="1"/>
    <cellStyle name="Followed Hyperlink" xfId="5482" builtinId="9" hidden="1"/>
    <cellStyle name="Followed Hyperlink" xfId="5483" builtinId="9" hidden="1"/>
    <cellStyle name="Followed Hyperlink" xfId="5484" builtinId="9" hidden="1"/>
    <cellStyle name="Followed Hyperlink" xfId="5485" builtinId="9" hidden="1"/>
    <cellStyle name="Followed Hyperlink" xfId="5486" builtinId="9" hidden="1"/>
    <cellStyle name="Followed Hyperlink" xfId="5487" builtinId="9" hidden="1"/>
    <cellStyle name="Followed Hyperlink" xfId="5488" builtinId="9" hidden="1"/>
    <cellStyle name="Followed Hyperlink" xfId="5489" builtinId="9" hidden="1"/>
    <cellStyle name="Followed Hyperlink" xfId="5490" builtinId="9" hidden="1"/>
    <cellStyle name="Followed Hyperlink" xfId="5491" builtinId="9" hidden="1"/>
    <cellStyle name="Followed Hyperlink" xfId="5492" builtinId="9" hidden="1"/>
    <cellStyle name="Followed Hyperlink" xfId="5493" builtinId="9" hidden="1"/>
    <cellStyle name="Followed Hyperlink" xfId="5494" builtinId="9" hidden="1"/>
    <cellStyle name="Followed Hyperlink" xfId="5495" builtinId="9" hidden="1"/>
    <cellStyle name="Followed Hyperlink" xfId="5496" builtinId="9" hidden="1"/>
    <cellStyle name="Followed Hyperlink" xfId="5497" builtinId="9" hidden="1"/>
    <cellStyle name="Followed Hyperlink" xfId="5498" builtinId="9" hidden="1"/>
    <cellStyle name="Followed Hyperlink" xfId="5499" builtinId="9" hidden="1"/>
    <cellStyle name="Followed Hyperlink" xfId="5500" builtinId="9" hidden="1"/>
    <cellStyle name="Followed Hyperlink" xfId="5501" builtinId="9" hidden="1"/>
    <cellStyle name="Followed Hyperlink" xfId="5502" builtinId="9" hidden="1"/>
    <cellStyle name="Followed Hyperlink" xfId="5503" builtinId="9" hidden="1"/>
    <cellStyle name="Followed Hyperlink" xfId="5504" builtinId="9" hidden="1"/>
    <cellStyle name="Followed Hyperlink" xfId="5505" builtinId="9" hidden="1"/>
    <cellStyle name="Followed Hyperlink" xfId="5506" builtinId="9" hidden="1"/>
    <cellStyle name="Followed Hyperlink" xfId="5507" builtinId="9" hidden="1"/>
    <cellStyle name="Followed Hyperlink" xfId="5508" builtinId="9" hidden="1"/>
    <cellStyle name="Followed Hyperlink" xfId="5509" builtinId="9" hidden="1"/>
    <cellStyle name="Followed Hyperlink" xfId="5510" builtinId="9" hidden="1"/>
    <cellStyle name="Followed Hyperlink" xfId="5511" builtinId="9" hidden="1"/>
    <cellStyle name="Followed Hyperlink" xfId="5512" builtinId="9" hidden="1"/>
    <cellStyle name="Followed Hyperlink" xfId="5513" builtinId="9" hidden="1"/>
    <cellStyle name="Followed Hyperlink" xfId="5514" builtinId="9" hidden="1"/>
    <cellStyle name="Followed Hyperlink" xfId="5515" builtinId="9" hidden="1"/>
    <cellStyle name="Followed Hyperlink" xfId="5516" builtinId="9" hidden="1"/>
    <cellStyle name="Followed Hyperlink" xfId="5517" builtinId="9" hidden="1"/>
    <cellStyle name="Followed Hyperlink" xfId="5518" builtinId="9" hidden="1"/>
    <cellStyle name="Followed Hyperlink" xfId="5519" builtinId="9" hidden="1"/>
    <cellStyle name="Followed Hyperlink" xfId="5520" builtinId="9" hidden="1"/>
    <cellStyle name="Followed Hyperlink" xfId="5521" builtinId="9" hidden="1"/>
    <cellStyle name="Followed Hyperlink" xfId="5522" builtinId="9" hidden="1"/>
    <cellStyle name="Followed Hyperlink" xfId="5523" builtinId="9" hidden="1"/>
    <cellStyle name="Followed Hyperlink" xfId="5524" builtinId="9" hidden="1"/>
    <cellStyle name="Followed Hyperlink" xfId="5525" builtinId="9" hidden="1"/>
    <cellStyle name="Followed Hyperlink" xfId="5526" builtinId="9" hidden="1"/>
    <cellStyle name="Followed Hyperlink" xfId="5527" builtinId="9" hidden="1"/>
    <cellStyle name="Followed Hyperlink" xfId="5528" builtinId="9" hidden="1"/>
    <cellStyle name="Followed Hyperlink" xfId="5529" builtinId="9" hidden="1"/>
    <cellStyle name="Followed Hyperlink" xfId="5530" builtinId="9" hidden="1"/>
    <cellStyle name="Followed Hyperlink" xfId="5531" builtinId="9" hidden="1"/>
    <cellStyle name="Followed Hyperlink" xfId="5532" builtinId="9" hidden="1"/>
    <cellStyle name="Followed Hyperlink" xfId="5533" builtinId="9" hidden="1"/>
    <cellStyle name="Followed Hyperlink" xfId="5534" builtinId="9" hidden="1"/>
    <cellStyle name="Followed Hyperlink" xfId="5535" builtinId="9" hidden="1"/>
    <cellStyle name="Followed Hyperlink" xfId="5536" builtinId="9" hidden="1"/>
    <cellStyle name="Followed Hyperlink" xfId="5537" builtinId="9" hidden="1"/>
    <cellStyle name="Followed Hyperlink" xfId="5538" builtinId="9" hidden="1"/>
    <cellStyle name="Followed Hyperlink" xfId="5539" builtinId="9" hidden="1"/>
    <cellStyle name="Followed Hyperlink" xfId="5540" builtinId="9" hidden="1"/>
    <cellStyle name="Followed Hyperlink" xfId="5541" builtinId="9" hidden="1"/>
    <cellStyle name="Followed Hyperlink" xfId="5542" builtinId="9" hidden="1"/>
    <cellStyle name="Followed Hyperlink" xfId="5543" builtinId="9" hidden="1"/>
    <cellStyle name="Followed Hyperlink" xfId="5544" builtinId="9" hidden="1"/>
    <cellStyle name="Followed Hyperlink" xfId="5545" builtinId="9" hidden="1"/>
    <cellStyle name="Followed Hyperlink" xfId="5546" builtinId="9" hidden="1"/>
    <cellStyle name="Followed Hyperlink" xfId="5547" builtinId="9" hidden="1"/>
    <cellStyle name="Followed Hyperlink" xfId="5548" builtinId="9" hidden="1"/>
    <cellStyle name="Followed Hyperlink" xfId="5549" builtinId="9" hidden="1"/>
    <cellStyle name="Followed Hyperlink" xfId="5550" builtinId="9" hidden="1"/>
    <cellStyle name="Followed Hyperlink" xfId="5551" builtinId="9" hidden="1"/>
    <cellStyle name="Followed Hyperlink" xfId="5552" builtinId="9" hidden="1"/>
    <cellStyle name="Followed Hyperlink" xfId="5553" builtinId="9" hidden="1"/>
    <cellStyle name="Followed Hyperlink" xfId="5554" builtinId="9" hidden="1"/>
    <cellStyle name="Followed Hyperlink" xfId="5555" builtinId="9" hidden="1"/>
    <cellStyle name="Followed Hyperlink" xfId="5556" builtinId="9" hidden="1"/>
    <cellStyle name="Followed Hyperlink" xfId="5557" builtinId="9" hidden="1"/>
    <cellStyle name="Followed Hyperlink" xfId="5558" builtinId="9" hidden="1"/>
    <cellStyle name="Followed Hyperlink" xfId="5559" builtinId="9" hidden="1"/>
    <cellStyle name="Followed Hyperlink" xfId="5560" builtinId="9" hidden="1"/>
    <cellStyle name="Followed Hyperlink" xfId="5561" builtinId="9" hidden="1"/>
    <cellStyle name="Followed Hyperlink" xfId="5562" builtinId="9" hidden="1"/>
    <cellStyle name="Followed Hyperlink" xfId="5563" builtinId="9" hidden="1"/>
    <cellStyle name="Followed Hyperlink" xfId="5564" builtinId="9" hidden="1"/>
    <cellStyle name="Followed Hyperlink" xfId="5565" builtinId="9" hidden="1"/>
    <cellStyle name="Followed Hyperlink" xfId="5566" builtinId="9" hidden="1"/>
    <cellStyle name="Followed Hyperlink" xfId="5567" builtinId="9" hidden="1"/>
    <cellStyle name="Followed Hyperlink" xfId="5568" builtinId="9" hidden="1"/>
    <cellStyle name="Followed Hyperlink" xfId="5569" builtinId="9" hidden="1"/>
    <cellStyle name="Followed Hyperlink" xfId="5570" builtinId="9" hidden="1"/>
    <cellStyle name="Followed Hyperlink" xfId="5571" builtinId="9" hidden="1"/>
    <cellStyle name="Followed Hyperlink" xfId="5572" builtinId="9" hidden="1"/>
    <cellStyle name="Followed Hyperlink" xfId="5573" builtinId="9" hidden="1"/>
    <cellStyle name="Followed Hyperlink" xfId="5574" builtinId="9" hidden="1"/>
    <cellStyle name="Followed Hyperlink" xfId="5575" builtinId="9" hidden="1"/>
    <cellStyle name="Followed Hyperlink" xfId="5576" builtinId="9" hidden="1"/>
    <cellStyle name="Followed Hyperlink" xfId="5577" builtinId="9" hidden="1"/>
    <cellStyle name="Followed Hyperlink" xfId="5578" builtinId="9" hidden="1"/>
    <cellStyle name="Followed Hyperlink" xfId="5579" builtinId="9" hidden="1"/>
    <cellStyle name="Followed Hyperlink" xfId="5580" builtinId="9" hidden="1"/>
    <cellStyle name="Followed Hyperlink" xfId="5581" builtinId="9" hidden="1"/>
    <cellStyle name="Followed Hyperlink" xfId="5582" builtinId="9" hidden="1"/>
    <cellStyle name="Followed Hyperlink" xfId="5583" builtinId="9" hidden="1"/>
    <cellStyle name="Followed Hyperlink" xfId="5584" builtinId="9" hidden="1"/>
    <cellStyle name="Followed Hyperlink" xfId="5585" builtinId="9" hidden="1"/>
    <cellStyle name="Followed Hyperlink" xfId="5586" builtinId="9" hidden="1"/>
    <cellStyle name="Followed Hyperlink" xfId="5587" builtinId="9" hidden="1"/>
    <cellStyle name="Followed Hyperlink" xfId="5588" builtinId="9" hidden="1"/>
    <cellStyle name="Followed Hyperlink" xfId="5589" builtinId="9" hidden="1"/>
    <cellStyle name="Followed Hyperlink" xfId="5590" builtinId="9" hidden="1"/>
    <cellStyle name="Followed Hyperlink" xfId="5591" builtinId="9" hidden="1"/>
    <cellStyle name="Followed Hyperlink" xfId="5592" builtinId="9" hidden="1"/>
    <cellStyle name="Followed Hyperlink" xfId="5593" builtinId="9" hidden="1"/>
    <cellStyle name="Followed Hyperlink" xfId="5594" builtinId="9" hidden="1"/>
    <cellStyle name="Followed Hyperlink" xfId="5595" builtinId="9" hidden="1"/>
    <cellStyle name="Followed Hyperlink" xfId="5596" builtinId="9" hidden="1"/>
    <cellStyle name="Followed Hyperlink" xfId="5597" builtinId="9" hidden="1"/>
    <cellStyle name="Followed Hyperlink" xfId="5598" builtinId="9" hidden="1"/>
    <cellStyle name="Followed Hyperlink" xfId="5599" builtinId="9" hidden="1"/>
    <cellStyle name="Followed Hyperlink" xfId="5600" builtinId="9" hidden="1"/>
    <cellStyle name="Followed Hyperlink" xfId="5601" builtinId="9" hidden="1"/>
    <cellStyle name="Followed Hyperlink" xfId="5602" builtinId="9" hidden="1"/>
    <cellStyle name="Followed Hyperlink" xfId="5603" builtinId="9" hidden="1"/>
    <cellStyle name="Followed Hyperlink" xfId="5604" builtinId="9" hidden="1"/>
    <cellStyle name="Followed Hyperlink" xfId="5605" builtinId="9" hidden="1"/>
    <cellStyle name="Followed Hyperlink" xfId="5606" builtinId="9" hidden="1"/>
    <cellStyle name="Followed Hyperlink" xfId="5607" builtinId="9" hidden="1"/>
    <cellStyle name="Followed Hyperlink" xfId="5608" builtinId="9" hidden="1"/>
    <cellStyle name="Followed Hyperlink" xfId="5609" builtinId="9" hidden="1"/>
    <cellStyle name="Followed Hyperlink" xfId="5610" builtinId="9" hidden="1"/>
    <cellStyle name="Followed Hyperlink" xfId="5611" builtinId="9" hidden="1"/>
    <cellStyle name="Followed Hyperlink" xfId="5612" builtinId="9" hidden="1"/>
    <cellStyle name="Followed Hyperlink" xfId="5613" builtinId="9" hidden="1"/>
    <cellStyle name="Followed Hyperlink" xfId="5614" builtinId="9" hidden="1"/>
    <cellStyle name="Followed Hyperlink" xfId="5615" builtinId="9" hidden="1"/>
    <cellStyle name="Followed Hyperlink" xfId="5616" builtinId="9" hidden="1"/>
    <cellStyle name="Followed Hyperlink" xfId="5617" builtinId="9" hidden="1"/>
    <cellStyle name="Followed Hyperlink" xfId="5618" builtinId="9" hidden="1"/>
    <cellStyle name="Followed Hyperlink" xfId="5619" builtinId="9" hidden="1"/>
    <cellStyle name="Followed Hyperlink" xfId="5620" builtinId="9" hidden="1"/>
    <cellStyle name="Followed Hyperlink" xfId="5621" builtinId="9" hidden="1"/>
    <cellStyle name="Followed Hyperlink" xfId="5622" builtinId="9" hidden="1"/>
    <cellStyle name="Followed Hyperlink" xfId="5623" builtinId="9" hidden="1"/>
    <cellStyle name="Followed Hyperlink" xfId="5624" builtinId="9" hidden="1"/>
    <cellStyle name="Followed Hyperlink" xfId="5625" builtinId="9" hidden="1"/>
    <cellStyle name="Followed Hyperlink" xfId="5626" builtinId="9" hidden="1"/>
    <cellStyle name="Followed Hyperlink" xfId="5627" builtinId="9" hidden="1"/>
    <cellStyle name="Followed Hyperlink" xfId="5628" builtinId="9" hidden="1"/>
    <cellStyle name="Followed Hyperlink" xfId="5629" builtinId="9" hidden="1"/>
    <cellStyle name="Followed Hyperlink" xfId="5630" builtinId="9" hidden="1"/>
    <cellStyle name="Followed Hyperlink" xfId="5631" builtinId="9" hidden="1"/>
    <cellStyle name="Followed Hyperlink" xfId="5632" builtinId="9" hidden="1"/>
    <cellStyle name="Followed Hyperlink" xfId="5633" builtinId="9" hidden="1"/>
    <cellStyle name="Followed Hyperlink" xfId="5634" builtinId="9" hidden="1"/>
    <cellStyle name="Followed Hyperlink" xfId="5635" builtinId="9" hidden="1"/>
    <cellStyle name="Followed Hyperlink" xfId="5636" builtinId="9" hidden="1"/>
    <cellStyle name="Followed Hyperlink" xfId="5637" builtinId="9" hidden="1"/>
    <cellStyle name="Followed Hyperlink" xfId="5638" builtinId="9" hidden="1"/>
    <cellStyle name="Followed Hyperlink" xfId="5639" builtinId="9" hidden="1"/>
    <cellStyle name="Followed Hyperlink" xfId="5640" builtinId="9" hidden="1"/>
    <cellStyle name="Followed Hyperlink" xfId="5641" builtinId="9" hidden="1"/>
    <cellStyle name="Followed Hyperlink" xfId="5642" builtinId="9" hidden="1"/>
    <cellStyle name="Followed Hyperlink" xfId="5643" builtinId="9" hidden="1"/>
    <cellStyle name="Followed Hyperlink" xfId="5644" builtinId="9" hidden="1"/>
    <cellStyle name="Followed Hyperlink" xfId="5645" builtinId="9" hidden="1"/>
    <cellStyle name="Followed Hyperlink" xfId="5646" builtinId="9" hidden="1"/>
    <cellStyle name="Followed Hyperlink" xfId="5647" builtinId="9" hidden="1"/>
    <cellStyle name="Followed Hyperlink" xfId="5648" builtinId="9" hidden="1"/>
    <cellStyle name="Followed Hyperlink" xfId="5649" builtinId="9" hidden="1"/>
    <cellStyle name="Followed Hyperlink" xfId="5650" builtinId="9" hidden="1"/>
    <cellStyle name="Followed Hyperlink" xfId="5651" builtinId="9" hidden="1"/>
    <cellStyle name="Followed Hyperlink" xfId="5652" builtinId="9" hidden="1"/>
    <cellStyle name="Followed Hyperlink" xfId="5653" builtinId="9" hidden="1"/>
    <cellStyle name="Followed Hyperlink" xfId="5654" builtinId="9" hidden="1"/>
    <cellStyle name="Followed Hyperlink" xfId="5655" builtinId="9" hidden="1"/>
    <cellStyle name="Followed Hyperlink" xfId="5656" builtinId="9" hidden="1"/>
    <cellStyle name="Followed Hyperlink" xfId="5657" builtinId="9" hidden="1"/>
    <cellStyle name="Followed Hyperlink" xfId="5658" builtinId="9" hidden="1"/>
    <cellStyle name="Followed Hyperlink" xfId="5659" builtinId="9" hidden="1"/>
    <cellStyle name="Followed Hyperlink" xfId="5660" builtinId="9" hidden="1"/>
    <cellStyle name="Followed Hyperlink" xfId="5661" builtinId="9" hidden="1"/>
    <cellStyle name="Followed Hyperlink" xfId="5662" builtinId="9" hidden="1"/>
    <cellStyle name="Followed Hyperlink" xfId="5663" builtinId="9" hidden="1"/>
    <cellStyle name="Followed Hyperlink" xfId="5664" builtinId="9" hidden="1"/>
    <cellStyle name="Followed Hyperlink" xfId="5665" builtinId="9" hidden="1"/>
    <cellStyle name="Followed Hyperlink" xfId="5666" builtinId="9" hidden="1"/>
    <cellStyle name="Followed Hyperlink" xfId="5667" builtinId="9" hidden="1"/>
    <cellStyle name="Followed Hyperlink" xfId="5668" builtinId="9" hidden="1"/>
    <cellStyle name="Followed Hyperlink" xfId="5669" builtinId="9" hidden="1"/>
    <cellStyle name="Followed Hyperlink" xfId="5670" builtinId="9" hidden="1"/>
    <cellStyle name="Followed Hyperlink" xfId="5671" builtinId="9" hidden="1"/>
    <cellStyle name="Followed Hyperlink" xfId="5672" builtinId="9" hidden="1"/>
    <cellStyle name="Followed Hyperlink" xfId="5673" builtinId="9" hidden="1"/>
    <cellStyle name="Followed Hyperlink" xfId="5674" builtinId="9" hidden="1"/>
    <cellStyle name="Followed Hyperlink" xfId="5675" builtinId="9" hidden="1"/>
    <cellStyle name="Followed Hyperlink" xfId="5676" builtinId="9" hidden="1"/>
    <cellStyle name="Followed Hyperlink" xfId="5677" builtinId="9" hidden="1"/>
    <cellStyle name="Followed Hyperlink" xfId="5678" builtinId="9" hidden="1"/>
    <cellStyle name="Followed Hyperlink" xfId="5679" builtinId="9" hidden="1"/>
    <cellStyle name="Followed Hyperlink" xfId="5680" builtinId="9" hidden="1"/>
    <cellStyle name="Followed Hyperlink" xfId="5681" builtinId="9" hidden="1"/>
    <cellStyle name="Followed Hyperlink" xfId="5682" builtinId="9" hidden="1"/>
    <cellStyle name="Followed Hyperlink" xfId="5683" builtinId="9" hidden="1"/>
    <cellStyle name="Followed Hyperlink" xfId="5684" builtinId="9" hidden="1"/>
    <cellStyle name="Followed Hyperlink" xfId="5685" builtinId="9" hidden="1"/>
    <cellStyle name="Followed Hyperlink" xfId="5686" builtinId="9" hidden="1"/>
    <cellStyle name="Followed Hyperlink" xfId="5687" builtinId="9" hidden="1"/>
    <cellStyle name="Followed Hyperlink" xfId="5688" builtinId="9" hidden="1"/>
    <cellStyle name="Followed Hyperlink" xfId="5689" builtinId="9" hidden="1"/>
    <cellStyle name="Followed Hyperlink" xfId="5690" builtinId="9" hidden="1"/>
    <cellStyle name="Followed Hyperlink" xfId="5691" builtinId="9" hidden="1"/>
    <cellStyle name="Followed Hyperlink" xfId="5692" builtinId="9" hidden="1"/>
    <cellStyle name="Followed Hyperlink" xfId="5693" builtinId="9" hidden="1"/>
    <cellStyle name="Followed Hyperlink" xfId="5694" builtinId="9" hidden="1"/>
    <cellStyle name="Followed Hyperlink" xfId="5695" builtinId="9" hidden="1"/>
    <cellStyle name="Followed Hyperlink" xfId="5696" builtinId="9" hidden="1"/>
    <cellStyle name="Followed Hyperlink" xfId="5697" builtinId="9" hidden="1"/>
    <cellStyle name="Followed Hyperlink" xfId="5698" builtinId="9" hidden="1"/>
    <cellStyle name="Followed Hyperlink" xfId="5699" builtinId="9" hidden="1"/>
    <cellStyle name="Followed Hyperlink" xfId="5700" builtinId="9" hidden="1"/>
    <cellStyle name="Followed Hyperlink" xfId="5701" builtinId="9" hidden="1"/>
    <cellStyle name="Followed Hyperlink" xfId="5702" builtinId="9" hidden="1"/>
    <cellStyle name="Followed Hyperlink" xfId="5703" builtinId="9" hidden="1"/>
    <cellStyle name="Followed Hyperlink" xfId="5704" builtinId="9" hidden="1"/>
    <cellStyle name="Followed Hyperlink" xfId="5705" builtinId="9" hidden="1"/>
    <cellStyle name="Followed Hyperlink" xfId="5706" builtinId="9" hidden="1"/>
    <cellStyle name="Followed Hyperlink" xfId="5707" builtinId="9" hidden="1"/>
    <cellStyle name="Followed Hyperlink" xfId="5708" builtinId="9" hidden="1"/>
    <cellStyle name="Followed Hyperlink" xfId="5709" builtinId="9" hidden="1"/>
    <cellStyle name="Followed Hyperlink" xfId="5710" builtinId="9" hidden="1"/>
    <cellStyle name="Followed Hyperlink" xfId="5711" builtinId="9" hidden="1"/>
    <cellStyle name="Followed Hyperlink" xfId="5712" builtinId="9" hidden="1"/>
    <cellStyle name="Followed Hyperlink" xfId="5713" builtinId="9" hidden="1"/>
    <cellStyle name="Followed Hyperlink" xfId="5714" builtinId="9" hidden="1"/>
    <cellStyle name="Followed Hyperlink" xfId="5715" builtinId="9" hidden="1"/>
    <cellStyle name="Followed Hyperlink" xfId="5716" builtinId="9" hidden="1"/>
    <cellStyle name="Followed Hyperlink" xfId="5717" builtinId="9" hidden="1"/>
    <cellStyle name="Followed Hyperlink" xfId="5718" builtinId="9" hidden="1"/>
    <cellStyle name="Followed Hyperlink" xfId="5719" builtinId="9" hidden="1"/>
    <cellStyle name="Followed Hyperlink" xfId="5720" builtinId="9" hidden="1"/>
    <cellStyle name="Followed Hyperlink" xfId="5721" builtinId="9" hidden="1"/>
    <cellStyle name="Followed Hyperlink" xfId="5722" builtinId="9" hidden="1"/>
    <cellStyle name="Followed Hyperlink" xfId="5723" builtinId="9" hidden="1"/>
    <cellStyle name="Followed Hyperlink" xfId="5724" builtinId="9" hidden="1"/>
    <cellStyle name="Followed Hyperlink" xfId="5725" builtinId="9" hidden="1"/>
    <cellStyle name="Followed Hyperlink" xfId="5726" builtinId="9" hidden="1"/>
    <cellStyle name="Followed Hyperlink" xfId="5727" builtinId="9" hidden="1"/>
    <cellStyle name="Followed Hyperlink" xfId="5728" builtinId="9" hidden="1"/>
    <cellStyle name="Followed Hyperlink" xfId="5729" builtinId="9" hidden="1"/>
    <cellStyle name="Followed Hyperlink" xfId="5730" builtinId="9" hidden="1"/>
    <cellStyle name="Followed Hyperlink" xfId="5731" builtinId="9" hidden="1"/>
    <cellStyle name="Followed Hyperlink" xfId="5732" builtinId="9" hidden="1"/>
    <cellStyle name="Followed Hyperlink" xfId="5733" builtinId="9" hidden="1"/>
    <cellStyle name="Followed Hyperlink" xfId="5734" builtinId="9" hidden="1"/>
    <cellStyle name="Followed Hyperlink" xfId="5735" builtinId="9" hidden="1"/>
    <cellStyle name="Followed Hyperlink" xfId="5736" builtinId="9" hidden="1"/>
    <cellStyle name="Followed Hyperlink" xfId="5737" builtinId="9" hidden="1"/>
    <cellStyle name="Followed Hyperlink" xfId="5738" builtinId="9" hidden="1"/>
    <cellStyle name="Followed Hyperlink" xfId="5739" builtinId="9" hidden="1"/>
    <cellStyle name="Followed Hyperlink" xfId="5740" builtinId="9" hidden="1"/>
    <cellStyle name="Followed Hyperlink" xfId="5741" builtinId="9" hidden="1"/>
    <cellStyle name="Followed Hyperlink" xfId="5742" builtinId="9" hidden="1"/>
    <cellStyle name="Followed Hyperlink" xfId="5743" builtinId="9" hidden="1"/>
    <cellStyle name="Followed Hyperlink" xfId="5744" builtinId="9" hidden="1"/>
    <cellStyle name="Followed Hyperlink" xfId="5745" builtinId="9" hidden="1"/>
    <cellStyle name="Followed Hyperlink" xfId="5746" builtinId="9" hidden="1"/>
    <cellStyle name="Followed Hyperlink" xfId="5747" builtinId="9" hidden="1"/>
    <cellStyle name="Followed Hyperlink" xfId="5748" builtinId="9" hidden="1"/>
    <cellStyle name="Followed Hyperlink" xfId="5749" builtinId="9" hidden="1"/>
    <cellStyle name="Followed Hyperlink" xfId="5750" builtinId="9" hidden="1"/>
    <cellStyle name="Followed Hyperlink" xfId="5751" builtinId="9" hidden="1"/>
    <cellStyle name="Followed Hyperlink" xfId="5752" builtinId="9" hidden="1"/>
    <cellStyle name="Followed Hyperlink" xfId="5753" builtinId="9" hidden="1"/>
    <cellStyle name="Followed Hyperlink" xfId="5754" builtinId="9" hidden="1"/>
    <cellStyle name="Followed Hyperlink" xfId="5755" builtinId="9" hidden="1"/>
    <cellStyle name="Followed Hyperlink" xfId="5756" builtinId="9" hidden="1"/>
    <cellStyle name="Followed Hyperlink" xfId="5757" builtinId="9" hidden="1"/>
    <cellStyle name="Followed Hyperlink" xfId="5758" builtinId="9" hidden="1"/>
    <cellStyle name="Followed Hyperlink" xfId="5759" builtinId="9" hidden="1"/>
    <cellStyle name="Followed Hyperlink" xfId="5760" builtinId="9" hidden="1"/>
    <cellStyle name="Followed Hyperlink" xfId="5761" builtinId="9" hidden="1"/>
    <cellStyle name="Followed Hyperlink" xfId="5762" builtinId="9" hidden="1"/>
    <cellStyle name="Followed Hyperlink" xfId="5763" builtinId="9" hidden="1"/>
    <cellStyle name="Followed Hyperlink" xfId="5764" builtinId="9" hidden="1"/>
    <cellStyle name="Followed Hyperlink" xfId="5765" builtinId="9" hidden="1"/>
    <cellStyle name="Followed Hyperlink" xfId="5766" builtinId="9" hidden="1"/>
    <cellStyle name="Followed Hyperlink" xfId="5767" builtinId="9" hidden="1"/>
    <cellStyle name="Followed Hyperlink" xfId="5768" builtinId="9" hidden="1"/>
    <cellStyle name="Followed Hyperlink" xfId="5769" builtinId="9" hidden="1"/>
    <cellStyle name="Followed Hyperlink" xfId="5770" builtinId="9" hidden="1"/>
    <cellStyle name="Followed Hyperlink" xfId="5771" builtinId="9" hidden="1"/>
    <cellStyle name="Followed Hyperlink" xfId="5772" builtinId="9" hidden="1"/>
    <cellStyle name="Followed Hyperlink" xfId="5773" builtinId="9" hidden="1"/>
    <cellStyle name="Followed Hyperlink" xfId="5774" builtinId="9" hidden="1"/>
    <cellStyle name="Followed Hyperlink" xfId="5775" builtinId="9" hidden="1"/>
    <cellStyle name="Followed Hyperlink" xfId="5776" builtinId="9" hidden="1"/>
    <cellStyle name="Followed Hyperlink" xfId="5777" builtinId="9" hidden="1"/>
    <cellStyle name="Followed Hyperlink" xfId="5778" builtinId="9" hidden="1"/>
    <cellStyle name="Followed Hyperlink" xfId="5779" builtinId="9" hidden="1"/>
    <cellStyle name="Followed Hyperlink" xfId="5780" builtinId="9" hidden="1"/>
    <cellStyle name="Followed Hyperlink" xfId="5781" builtinId="9" hidden="1"/>
    <cellStyle name="Followed Hyperlink" xfId="5782" builtinId="9" hidden="1"/>
    <cellStyle name="Followed Hyperlink" xfId="5783" builtinId="9" hidden="1"/>
    <cellStyle name="Followed Hyperlink" xfId="5784" builtinId="9" hidden="1"/>
    <cellStyle name="Followed Hyperlink" xfId="5785" builtinId="9" hidden="1"/>
    <cellStyle name="Followed Hyperlink" xfId="5786" builtinId="9" hidden="1"/>
    <cellStyle name="Followed Hyperlink" xfId="5787" builtinId="9" hidden="1"/>
    <cellStyle name="Followed Hyperlink" xfId="5788" builtinId="9" hidden="1"/>
    <cellStyle name="Followed Hyperlink" xfId="5789" builtinId="9" hidden="1"/>
    <cellStyle name="Followed Hyperlink" xfId="5790" builtinId="9" hidden="1"/>
    <cellStyle name="Followed Hyperlink" xfId="5791" builtinId="9" hidden="1"/>
    <cellStyle name="Followed Hyperlink" xfId="5792" builtinId="9" hidden="1"/>
    <cellStyle name="Followed Hyperlink" xfId="5793" builtinId="9" hidden="1"/>
    <cellStyle name="Followed Hyperlink" xfId="5794" builtinId="9" hidden="1"/>
    <cellStyle name="Followed Hyperlink" xfId="5795" builtinId="9" hidden="1"/>
    <cellStyle name="Followed Hyperlink" xfId="5796" builtinId="9" hidden="1"/>
    <cellStyle name="Followed Hyperlink" xfId="5797" builtinId="9" hidden="1"/>
    <cellStyle name="Followed Hyperlink" xfId="5798" builtinId="9" hidden="1"/>
    <cellStyle name="Followed Hyperlink" xfId="5799" builtinId="9" hidden="1"/>
    <cellStyle name="Followed Hyperlink" xfId="5800" builtinId="9" hidden="1"/>
    <cellStyle name="Followed Hyperlink" xfId="5801" builtinId="9" hidden="1"/>
    <cellStyle name="Followed Hyperlink" xfId="5802" builtinId="9" hidden="1"/>
    <cellStyle name="Followed Hyperlink" xfId="5803" builtinId="9" hidden="1"/>
    <cellStyle name="Followed Hyperlink" xfId="5804" builtinId="9" hidden="1"/>
    <cellStyle name="Followed Hyperlink" xfId="5805" builtinId="9" hidden="1"/>
    <cellStyle name="Followed Hyperlink" xfId="5806" builtinId="9" hidden="1"/>
    <cellStyle name="Followed Hyperlink" xfId="5807" builtinId="9" hidden="1"/>
    <cellStyle name="Followed Hyperlink" xfId="5808" builtinId="9" hidden="1"/>
    <cellStyle name="Followed Hyperlink" xfId="5809" builtinId="9" hidden="1"/>
    <cellStyle name="Followed Hyperlink" xfId="5810" builtinId="9" hidden="1"/>
    <cellStyle name="Followed Hyperlink" xfId="5811" builtinId="9" hidden="1"/>
    <cellStyle name="Followed Hyperlink" xfId="5812" builtinId="9" hidden="1"/>
    <cellStyle name="Followed Hyperlink" xfId="5813" builtinId="9" hidden="1"/>
    <cellStyle name="Followed Hyperlink" xfId="5814" builtinId="9" hidden="1"/>
    <cellStyle name="Followed Hyperlink" xfId="5815" builtinId="9" hidden="1"/>
    <cellStyle name="Followed Hyperlink" xfId="5816" builtinId="9" hidden="1"/>
    <cellStyle name="Followed Hyperlink" xfId="5817" builtinId="9" hidden="1"/>
    <cellStyle name="Followed Hyperlink" xfId="5818" builtinId="9" hidden="1"/>
    <cellStyle name="Followed Hyperlink" xfId="5819" builtinId="9" hidden="1"/>
    <cellStyle name="Followed Hyperlink" xfId="5820" builtinId="9" hidden="1"/>
    <cellStyle name="Followed Hyperlink" xfId="5821" builtinId="9" hidden="1"/>
    <cellStyle name="Followed Hyperlink" xfId="5822" builtinId="9" hidden="1"/>
    <cellStyle name="Followed Hyperlink" xfId="5823" builtinId="9" hidden="1"/>
    <cellStyle name="Followed Hyperlink" xfId="5824" builtinId="9" hidden="1"/>
    <cellStyle name="Followed Hyperlink" xfId="5825" builtinId="9" hidden="1"/>
    <cellStyle name="Followed Hyperlink" xfId="5826" builtinId="9" hidden="1"/>
    <cellStyle name="Followed Hyperlink" xfId="5827" builtinId="9" hidden="1"/>
    <cellStyle name="Followed Hyperlink" xfId="5828" builtinId="9" hidden="1"/>
    <cellStyle name="Followed Hyperlink" xfId="5829" builtinId="9" hidden="1"/>
    <cellStyle name="Followed Hyperlink" xfId="5830" builtinId="9" hidden="1"/>
    <cellStyle name="Followed Hyperlink" xfId="5831" builtinId="9" hidden="1"/>
    <cellStyle name="Followed Hyperlink" xfId="5832" builtinId="9" hidden="1"/>
    <cellStyle name="Followed Hyperlink" xfId="5833" builtinId="9" hidden="1"/>
    <cellStyle name="Followed Hyperlink" xfId="5834" builtinId="9" hidden="1"/>
    <cellStyle name="Followed Hyperlink" xfId="5835" builtinId="9" hidden="1"/>
    <cellStyle name="Followed Hyperlink" xfId="5836" builtinId="9" hidden="1"/>
    <cellStyle name="Followed Hyperlink" xfId="5837" builtinId="9" hidden="1"/>
    <cellStyle name="Followed Hyperlink" xfId="5838" builtinId="9" hidden="1"/>
    <cellStyle name="Followed Hyperlink" xfId="5839" builtinId="9" hidden="1"/>
    <cellStyle name="Followed Hyperlink" xfId="5840" builtinId="9" hidden="1"/>
    <cellStyle name="Followed Hyperlink" xfId="5841" builtinId="9" hidden="1"/>
    <cellStyle name="Followed Hyperlink" xfId="5842" builtinId="9" hidden="1"/>
    <cellStyle name="Followed Hyperlink" xfId="5843" builtinId="9" hidden="1"/>
    <cellStyle name="Followed Hyperlink" xfId="5844" builtinId="9" hidden="1"/>
    <cellStyle name="Followed Hyperlink" xfId="5845" builtinId="9" hidden="1"/>
    <cellStyle name="Followed Hyperlink" xfId="5846" builtinId="9" hidden="1"/>
    <cellStyle name="Followed Hyperlink" xfId="5847" builtinId="9" hidden="1"/>
    <cellStyle name="Followed Hyperlink" xfId="5848" builtinId="9" hidden="1"/>
    <cellStyle name="Followed Hyperlink" xfId="5849" builtinId="9" hidden="1"/>
    <cellStyle name="Followed Hyperlink" xfId="5850" builtinId="9" hidden="1"/>
    <cellStyle name="Followed Hyperlink" xfId="5851" builtinId="9" hidden="1"/>
    <cellStyle name="Followed Hyperlink" xfId="5852" builtinId="9" hidden="1"/>
    <cellStyle name="Followed Hyperlink" xfId="5853" builtinId="9" hidden="1"/>
    <cellStyle name="Followed Hyperlink" xfId="5854" builtinId="9" hidden="1"/>
    <cellStyle name="Followed Hyperlink" xfId="5855" builtinId="9" hidden="1"/>
    <cellStyle name="Followed Hyperlink" xfId="5856" builtinId="9" hidden="1"/>
    <cellStyle name="Followed Hyperlink" xfId="5857" builtinId="9" hidden="1"/>
    <cellStyle name="Followed Hyperlink" xfId="5858" builtinId="9" hidden="1"/>
    <cellStyle name="Followed Hyperlink" xfId="5859" builtinId="9" hidden="1"/>
    <cellStyle name="Followed Hyperlink" xfId="5860" builtinId="9" hidden="1"/>
    <cellStyle name="Followed Hyperlink" xfId="5861" builtinId="9" hidden="1"/>
    <cellStyle name="Followed Hyperlink" xfId="5862" builtinId="9" hidden="1"/>
    <cellStyle name="Followed Hyperlink" xfId="5863" builtinId="9" hidden="1"/>
    <cellStyle name="Followed Hyperlink" xfId="5864" builtinId="9" hidden="1"/>
    <cellStyle name="Followed Hyperlink" xfId="5865" builtinId="9" hidden="1"/>
    <cellStyle name="Followed Hyperlink" xfId="5866" builtinId="9" hidden="1"/>
    <cellStyle name="Followed Hyperlink" xfId="5867" builtinId="9" hidden="1"/>
    <cellStyle name="Followed Hyperlink" xfId="5868" builtinId="9" hidden="1"/>
    <cellStyle name="Followed Hyperlink" xfId="5869" builtinId="9" hidden="1"/>
    <cellStyle name="Followed Hyperlink" xfId="5870" builtinId="9" hidden="1"/>
    <cellStyle name="Followed Hyperlink" xfId="5871" builtinId="9" hidden="1"/>
    <cellStyle name="Followed Hyperlink" xfId="5872" builtinId="9" hidden="1"/>
    <cellStyle name="Followed Hyperlink" xfId="5873" builtinId="9" hidden="1"/>
    <cellStyle name="Followed Hyperlink" xfId="5874" builtinId="9" hidden="1"/>
    <cellStyle name="Followed Hyperlink" xfId="5875" builtinId="9" hidden="1"/>
    <cellStyle name="Followed Hyperlink" xfId="5876" builtinId="9" hidden="1"/>
    <cellStyle name="Followed Hyperlink" xfId="5877" builtinId="9" hidden="1"/>
    <cellStyle name="Followed Hyperlink" xfId="5878" builtinId="9" hidden="1"/>
    <cellStyle name="Followed Hyperlink" xfId="5879" builtinId="9" hidden="1"/>
    <cellStyle name="Followed Hyperlink" xfId="5880" builtinId="9" hidden="1"/>
    <cellStyle name="Followed Hyperlink" xfId="5881" builtinId="9" hidden="1"/>
    <cellStyle name="Followed Hyperlink" xfId="5882" builtinId="9" hidden="1"/>
    <cellStyle name="Followed Hyperlink" xfId="5883" builtinId="9" hidden="1"/>
    <cellStyle name="Followed Hyperlink" xfId="5884" builtinId="9" hidden="1"/>
    <cellStyle name="Followed Hyperlink" xfId="5885" builtinId="9" hidden="1"/>
    <cellStyle name="Followed Hyperlink" xfId="5886" builtinId="9" hidden="1"/>
    <cellStyle name="Followed Hyperlink" xfId="5887" builtinId="9" hidden="1"/>
    <cellStyle name="Followed Hyperlink" xfId="5888" builtinId="9" hidden="1"/>
    <cellStyle name="Followed Hyperlink" xfId="5889" builtinId="9" hidden="1"/>
    <cellStyle name="Followed Hyperlink" xfId="5890" builtinId="9" hidden="1"/>
    <cellStyle name="Followed Hyperlink" xfId="5891" builtinId="9" hidden="1"/>
    <cellStyle name="Followed Hyperlink" xfId="5892" builtinId="9" hidden="1"/>
    <cellStyle name="Followed Hyperlink" xfId="5893" builtinId="9" hidden="1"/>
    <cellStyle name="Followed Hyperlink" xfId="5894" builtinId="9" hidden="1"/>
    <cellStyle name="Followed Hyperlink" xfId="5895" builtinId="9" hidden="1"/>
    <cellStyle name="Followed Hyperlink" xfId="5896" builtinId="9" hidden="1"/>
    <cellStyle name="Followed Hyperlink" xfId="5897" builtinId="9" hidden="1"/>
    <cellStyle name="Followed Hyperlink" xfId="5898" builtinId="9" hidden="1"/>
    <cellStyle name="Followed Hyperlink" xfId="5899" builtinId="9" hidden="1"/>
    <cellStyle name="Followed Hyperlink" xfId="5900" builtinId="9" hidden="1"/>
    <cellStyle name="Followed Hyperlink" xfId="5901" builtinId="9" hidden="1"/>
    <cellStyle name="Followed Hyperlink" xfId="5902" builtinId="9" hidden="1"/>
    <cellStyle name="Followed Hyperlink" xfId="5903" builtinId="9" hidden="1"/>
    <cellStyle name="Followed Hyperlink" xfId="5904" builtinId="9" hidden="1"/>
    <cellStyle name="Followed Hyperlink" xfId="5905" builtinId="9" hidden="1"/>
    <cellStyle name="Followed Hyperlink" xfId="5906" builtinId="9" hidden="1"/>
    <cellStyle name="Followed Hyperlink" xfId="5907" builtinId="9" hidden="1"/>
    <cellStyle name="Followed Hyperlink" xfId="5908" builtinId="9" hidden="1"/>
    <cellStyle name="Followed Hyperlink" xfId="5909" builtinId="9" hidden="1"/>
    <cellStyle name="Followed Hyperlink" xfId="5910" builtinId="9" hidden="1"/>
    <cellStyle name="Followed Hyperlink" xfId="5911" builtinId="9" hidden="1"/>
    <cellStyle name="Followed Hyperlink" xfId="5912" builtinId="9" hidden="1"/>
    <cellStyle name="Followed Hyperlink" xfId="5913" builtinId="9" hidden="1"/>
    <cellStyle name="Followed Hyperlink" xfId="5914" builtinId="9" hidden="1"/>
    <cellStyle name="Followed Hyperlink" xfId="5915" builtinId="9" hidden="1"/>
    <cellStyle name="Followed Hyperlink" xfId="5916" builtinId="9" hidden="1"/>
    <cellStyle name="Followed Hyperlink" xfId="5917" builtinId="9" hidden="1"/>
    <cellStyle name="Followed Hyperlink" xfId="5918" builtinId="9" hidden="1"/>
    <cellStyle name="Followed Hyperlink" xfId="5919" builtinId="9" hidden="1"/>
    <cellStyle name="Followed Hyperlink" xfId="5920" builtinId="9" hidden="1"/>
    <cellStyle name="Followed Hyperlink" xfId="5921" builtinId="9" hidden="1"/>
    <cellStyle name="Followed Hyperlink" xfId="5922" builtinId="9" hidden="1"/>
    <cellStyle name="Followed Hyperlink" xfId="5923" builtinId="9" hidden="1"/>
    <cellStyle name="Followed Hyperlink" xfId="5924" builtinId="9" hidden="1"/>
    <cellStyle name="Followed Hyperlink" xfId="5925" builtinId="9" hidden="1"/>
    <cellStyle name="Followed Hyperlink" xfId="5926" builtinId="9" hidden="1"/>
    <cellStyle name="Followed Hyperlink" xfId="5927" builtinId="9" hidden="1"/>
    <cellStyle name="Followed Hyperlink" xfId="5928" builtinId="9" hidden="1"/>
    <cellStyle name="Followed Hyperlink" xfId="5929" builtinId="9" hidden="1"/>
    <cellStyle name="Followed Hyperlink" xfId="5930" builtinId="9" hidden="1"/>
    <cellStyle name="Followed Hyperlink" xfId="5931" builtinId="9" hidden="1"/>
    <cellStyle name="Followed Hyperlink" xfId="5932" builtinId="9" hidden="1"/>
    <cellStyle name="Followed Hyperlink" xfId="5933" builtinId="9" hidden="1"/>
    <cellStyle name="Followed Hyperlink" xfId="5934" builtinId="9" hidden="1"/>
    <cellStyle name="Followed Hyperlink" xfId="5935" builtinId="9" hidden="1"/>
    <cellStyle name="Followed Hyperlink" xfId="5936" builtinId="9" hidden="1"/>
    <cellStyle name="Followed Hyperlink" xfId="5937" builtinId="9" hidden="1"/>
    <cellStyle name="Followed Hyperlink" xfId="5938" builtinId="9" hidden="1"/>
    <cellStyle name="Followed Hyperlink" xfId="5939" builtinId="9" hidden="1"/>
    <cellStyle name="Followed Hyperlink" xfId="5940" builtinId="9" hidden="1"/>
    <cellStyle name="Followed Hyperlink" xfId="5941" builtinId="9" hidden="1"/>
    <cellStyle name="Followed Hyperlink" xfId="5942" builtinId="9" hidden="1"/>
    <cellStyle name="Followed Hyperlink" xfId="5943" builtinId="9" hidden="1"/>
    <cellStyle name="Followed Hyperlink" xfId="5944" builtinId="9" hidden="1"/>
    <cellStyle name="Followed Hyperlink" xfId="5945" builtinId="9" hidden="1"/>
    <cellStyle name="Followed Hyperlink" xfId="5946" builtinId="9" hidden="1"/>
    <cellStyle name="Followed Hyperlink" xfId="5947" builtinId="9" hidden="1"/>
    <cellStyle name="Followed Hyperlink" xfId="5948" builtinId="9" hidden="1"/>
    <cellStyle name="Followed Hyperlink" xfId="5949" builtinId="9" hidden="1"/>
    <cellStyle name="Followed Hyperlink" xfId="5950" builtinId="9" hidden="1"/>
    <cellStyle name="Followed Hyperlink" xfId="5951" builtinId="9" hidden="1"/>
    <cellStyle name="Followed Hyperlink" xfId="5952" builtinId="9" hidden="1"/>
    <cellStyle name="Followed Hyperlink" xfId="5953" builtinId="9" hidden="1"/>
    <cellStyle name="Followed Hyperlink" xfId="5954" builtinId="9" hidden="1"/>
    <cellStyle name="Followed Hyperlink" xfId="5955" builtinId="9" hidden="1"/>
    <cellStyle name="Followed Hyperlink" xfId="5956" builtinId="9" hidden="1"/>
    <cellStyle name="Followed Hyperlink" xfId="5957" builtinId="9" hidden="1"/>
    <cellStyle name="Followed Hyperlink" xfId="5958" builtinId="9" hidden="1"/>
    <cellStyle name="Followed Hyperlink" xfId="5959" builtinId="9" hidden="1"/>
    <cellStyle name="Followed Hyperlink" xfId="5960" builtinId="9" hidden="1"/>
    <cellStyle name="Followed Hyperlink" xfId="5961" builtinId="9" hidden="1"/>
    <cellStyle name="Followed Hyperlink" xfId="5962" builtinId="9" hidden="1"/>
    <cellStyle name="Followed Hyperlink" xfId="5963" builtinId="9" hidden="1"/>
    <cellStyle name="Followed Hyperlink" xfId="5964" builtinId="9" hidden="1"/>
    <cellStyle name="Followed Hyperlink" xfId="5965" builtinId="9" hidden="1"/>
    <cellStyle name="Followed Hyperlink" xfId="5966" builtinId="9" hidden="1"/>
    <cellStyle name="Followed Hyperlink" xfId="5967" builtinId="9" hidden="1"/>
    <cellStyle name="Followed Hyperlink" xfId="5968" builtinId="9" hidden="1"/>
    <cellStyle name="Followed Hyperlink" xfId="5969" builtinId="9" hidden="1"/>
    <cellStyle name="Followed Hyperlink" xfId="5970" builtinId="9" hidden="1"/>
    <cellStyle name="Followed Hyperlink" xfId="5971" builtinId="9" hidden="1"/>
    <cellStyle name="Followed Hyperlink" xfId="5972" builtinId="9" hidden="1"/>
    <cellStyle name="Followed Hyperlink" xfId="5973" builtinId="9" hidden="1"/>
    <cellStyle name="Followed Hyperlink" xfId="5974" builtinId="9" hidden="1"/>
    <cellStyle name="Followed Hyperlink" xfId="5975" builtinId="9" hidden="1"/>
    <cellStyle name="Followed Hyperlink" xfId="5976" builtinId="9" hidden="1"/>
    <cellStyle name="Followed Hyperlink" xfId="5977" builtinId="9" hidden="1"/>
    <cellStyle name="Followed Hyperlink" xfId="5978" builtinId="9" hidden="1"/>
    <cellStyle name="Followed Hyperlink" xfId="5979" builtinId="9" hidden="1"/>
    <cellStyle name="Followed Hyperlink" xfId="5980" builtinId="9" hidden="1"/>
    <cellStyle name="Followed Hyperlink" xfId="5981" builtinId="9" hidden="1"/>
    <cellStyle name="Followed Hyperlink" xfId="5982" builtinId="9" hidden="1"/>
    <cellStyle name="Followed Hyperlink" xfId="5983" builtinId="9" hidden="1"/>
    <cellStyle name="Followed Hyperlink" xfId="5984" builtinId="9" hidden="1"/>
    <cellStyle name="Followed Hyperlink" xfId="5985" builtinId="9" hidden="1"/>
    <cellStyle name="Followed Hyperlink" xfId="5986" builtinId="9" hidden="1"/>
    <cellStyle name="Followed Hyperlink" xfId="5987" builtinId="9" hidden="1"/>
    <cellStyle name="Followed Hyperlink" xfId="5988" builtinId="9" hidden="1"/>
    <cellStyle name="Followed Hyperlink" xfId="5989" builtinId="9" hidden="1"/>
    <cellStyle name="Followed Hyperlink" xfId="5990" builtinId="9" hidden="1"/>
    <cellStyle name="Followed Hyperlink" xfId="5991" builtinId="9" hidden="1"/>
    <cellStyle name="Followed Hyperlink" xfId="5992" builtinId="9" hidden="1"/>
    <cellStyle name="Followed Hyperlink" xfId="5993" builtinId="9" hidden="1"/>
    <cellStyle name="Followed Hyperlink" xfId="5994" builtinId="9" hidden="1"/>
    <cellStyle name="Followed Hyperlink" xfId="5995" builtinId="9" hidden="1"/>
    <cellStyle name="Followed Hyperlink" xfId="5996" builtinId="9" hidden="1"/>
    <cellStyle name="Followed Hyperlink" xfId="5997" builtinId="9" hidden="1"/>
    <cellStyle name="Followed Hyperlink" xfId="5998" builtinId="9" hidden="1"/>
    <cellStyle name="Followed Hyperlink" xfId="5999" builtinId="9" hidden="1"/>
    <cellStyle name="Followed Hyperlink" xfId="6000" builtinId="9" hidden="1"/>
    <cellStyle name="Followed Hyperlink" xfId="6001" builtinId="9" hidden="1"/>
    <cellStyle name="Followed Hyperlink" xfId="6002" builtinId="9" hidden="1"/>
    <cellStyle name="Followed Hyperlink" xfId="6003" builtinId="9" hidden="1"/>
    <cellStyle name="Followed Hyperlink" xfId="6004" builtinId="9" hidden="1"/>
    <cellStyle name="Followed Hyperlink" xfId="6005" builtinId="9" hidden="1"/>
    <cellStyle name="Followed Hyperlink" xfId="6006" builtinId="9" hidden="1"/>
    <cellStyle name="Followed Hyperlink" xfId="6007" builtinId="9" hidden="1"/>
    <cellStyle name="Followed Hyperlink" xfId="6008" builtinId="9" hidden="1"/>
    <cellStyle name="Followed Hyperlink" xfId="6009" builtinId="9" hidden="1"/>
    <cellStyle name="Followed Hyperlink" xfId="6010" builtinId="9" hidden="1"/>
    <cellStyle name="Followed Hyperlink" xfId="6011" builtinId="9" hidden="1"/>
    <cellStyle name="Followed Hyperlink" xfId="6012" builtinId="9" hidden="1"/>
    <cellStyle name="Followed Hyperlink" xfId="6013" builtinId="9" hidden="1"/>
    <cellStyle name="Followed Hyperlink" xfId="6014" builtinId="9" hidden="1"/>
    <cellStyle name="Followed Hyperlink" xfId="6015" builtinId="9" hidden="1"/>
    <cellStyle name="Followed Hyperlink" xfId="6016" builtinId="9" hidden="1"/>
    <cellStyle name="Followed Hyperlink" xfId="6017" builtinId="9" hidden="1"/>
    <cellStyle name="Followed Hyperlink" xfId="6018" builtinId="9" hidden="1"/>
    <cellStyle name="Followed Hyperlink" xfId="6019" builtinId="9" hidden="1"/>
    <cellStyle name="Followed Hyperlink" xfId="6020" builtinId="9" hidden="1"/>
    <cellStyle name="Followed Hyperlink" xfId="6021" builtinId="9" hidden="1"/>
    <cellStyle name="Followed Hyperlink" xfId="6022" builtinId="9" hidden="1"/>
    <cellStyle name="Followed Hyperlink" xfId="6023" builtinId="9" hidden="1"/>
    <cellStyle name="Followed Hyperlink" xfId="6024" builtinId="9" hidden="1"/>
    <cellStyle name="Followed Hyperlink" xfId="6025" builtinId="9" hidden="1"/>
    <cellStyle name="Followed Hyperlink" xfId="6026" builtinId="9" hidden="1"/>
    <cellStyle name="Followed Hyperlink" xfId="6027" builtinId="9" hidden="1"/>
    <cellStyle name="Followed Hyperlink" xfId="6028" builtinId="9" hidden="1"/>
    <cellStyle name="Followed Hyperlink" xfId="6029" builtinId="9" hidden="1"/>
    <cellStyle name="Followed Hyperlink" xfId="6030" builtinId="9" hidden="1"/>
    <cellStyle name="Followed Hyperlink" xfId="6031" builtinId="9" hidden="1"/>
    <cellStyle name="Followed Hyperlink" xfId="6032" builtinId="9" hidden="1"/>
    <cellStyle name="Followed Hyperlink" xfId="6033" builtinId="9" hidden="1"/>
    <cellStyle name="Followed Hyperlink" xfId="6034" builtinId="9" hidden="1"/>
    <cellStyle name="Followed Hyperlink" xfId="6035" builtinId="9" hidden="1"/>
    <cellStyle name="Followed Hyperlink" xfId="6036" builtinId="9" hidden="1"/>
    <cellStyle name="Followed Hyperlink" xfId="6037" builtinId="9" hidden="1"/>
    <cellStyle name="Followed Hyperlink" xfId="6038" builtinId="9" hidden="1"/>
    <cellStyle name="Followed Hyperlink" xfId="6039" builtinId="9" hidden="1"/>
    <cellStyle name="Followed Hyperlink" xfId="6040" builtinId="9" hidden="1"/>
    <cellStyle name="Followed Hyperlink" xfId="6041" builtinId="9" hidden="1"/>
    <cellStyle name="Followed Hyperlink" xfId="6042" builtinId="9" hidden="1"/>
    <cellStyle name="Followed Hyperlink" xfId="6043" builtinId="9" hidden="1"/>
    <cellStyle name="Followed Hyperlink" xfId="6044" builtinId="9" hidden="1"/>
    <cellStyle name="Followed Hyperlink" xfId="6045" builtinId="9" hidden="1"/>
    <cellStyle name="Followed Hyperlink" xfId="6046" builtinId="9" hidden="1"/>
    <cellStyle name="Followed Hyperlink" xfId="6047" builtinId="9" hidden="1"/>
    <cellStyle name="Followed Hyperlink" xfId="6048" builtinId="9" hidden="1"/>
    <cellStyle name="Followed Hyperlink" xfId="6049" builtinId="9" hidden="1"/>
    <cellStyle name="Followed Hyperlink" xfId="6050" builtinId="9" hidden="1"/>
    <cellStyle name="Followed Hyperlink" xfId="6051" builtinId="9" hidden="1"/>
    <cellStyle name="Followed Hyperlink" xfId="6052" builtinId="9" hidden="1"/>
    <cellStyle name="Followed Hyperlink" xfId="6053" builtinId="9" hidden="1"/>
    <cellStyle name="Followed Hyperlink" xfId="6054" builtinId="9" hidden="1"/>
    <cellStyle name="Followed Hyperlink" xfId="6055" builtinId="9" hidden="1"/>
    <cellStyle name="Followed Hyperlink" xfId="6056" builtinId="9" hidden="1"/>
    <cellStyle name="Followed Hyperlink" xfId="6057" builtinId="9" hidden="1"/>
    <cellStyle name="Followed Hyperlink" xfId="6058" builtinId="9" hidden="1"/>
    <cellStyle name="Followed Hyperlink" xfId="6059" builtinId="9" hidden="1"/>
    <cellStyle name="Followed Hyperlink" xfId="6060" builtinId="9" hidden="1"/>
    <cellStyle name="Followed Hyperlink" xfId="6061" builtinId="9" hidden="1"/>
    <cellStyle name="Followed Hyperlink" xfId="6062" builtinId="9" hidden="1"/>
    <cellStyle name="Followed Hyperlink" xfId="6063" builtinId="9" hidden="1"/>
    <cellStyle name="Followed Hyperlink" xfId="6064" builtinId="9" hidden="1"/>
    <cellStyle name="Followed Hyperlink" xfId="6065" builtinId="9" hidden="1"/>
    <cellStyle name="Followed Hyperlink" xfId="6066" builtinId="9" hidden="1"/>
    <cellStyle name="Followed Hyperlink" xfId="6067" builtinId="9" hidden="1"/>
    <cellStyle name="Followed Hyperlink" xfId="6068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12" builtinId="8" hidden="1"/>
    <cellStyle name="Hyperlink" xfId="1214" builtinId="8" hidden="1"/>
    <cellStyle name="Hyperlink" xfId="1216" builtinId="8" hidden="1"/>
    <cellStyle name="Hyperlink" xfId="1218" builtinId="8" hidden="1"/>
    <cellStyle name="Hyperlink" xfId="1220" builtinId="8" hidden="1"/>
    <cellStyle name="Hyperlink" xfId="1222" builtinId="8" hidden="1"/>
    <cellStyle name="Hyperlink" xfId="1224" builtinId="8" hidden="1"/>
    <cellStyle name="Hyperlink" xfId="1226" builtinId="8" hidden="1"/>
    <cellStyle name="Hyperlink" xfId="1228" builtinId="8" hidden="1"/>
    <cellStyle name="Hyperlink" xfId="1230" builtinId="8" hidden="1"/>
    <cellStyle name="Hyperlink" xfId="1232" builtinId="8" hidden="1"/>
    <cellStyle name="Hyperlink" xfId="1234" builtinId="8" hidden="1"/>
    <cellStyle name="Hyperlink" xfId="1236" builtinId="8" hidden="1"/>
    <cellStyle name="Hyperlink" xfId="1238" builtinId="8" hidden="1"/>
    <cellStyle name="Hyperlink" xfId="1240" builtinId="8" hidden="1"/>
    <cellStyle name="Hyperlink" xfId="1242" builtinId="8" hidden="1"/>
    <cellStyle name="Hyperlink" xfId="1244" builtinId="8" hidden="1"/>
    <cellStyle name="Hyperlink" xfId="1246" builtinId="8" hidden="1"/>
    <cellStyle name="Hyperlink" xfId="1248" builtinId="8" hidden="1"/>
    <cellStyle name="Hyperlink" xfId="1250" builtinId="8" hidden="1"/>
    <cellStyle name="Hyperlink" xfId="1252" builtinId="8" hidden="1"/>
    <cellStyle name="Hyperlink" xfId="1254" builtinId="8" hidden="1"/>
    <cellStyle name="Hyperlink" xfId="1256" builtinId="8" hidden="1"/>
    <cellStyle name="Hyperlink" xfId="1258" builtinId="8" hidden="1"/>
    <cellStyle name="Hyperlink" xfId="1260" builtinId="8" hidden="1"/>
    <cellStyle name="Hyperlink" xfId="1262" builtinId="8" hidden="1"/>
    <cellStyle name="Hyperlink" xfId="1264" builtinId="8" hidden="1"/>
    <cellStyle name="Hyperlink" xfId="1266" builtinId="8" hidden="1"/>
    <cellStyle name="Hyperlink" xfId="1268" builtinId="8" hidden="1"/>
    <cellStyle name="Hyperlink" xfId="1270" builtinId="8" hidden="1"/>
    <cellStyle name="Hyperlink" xfId="1272" builtinId="8" hidden="1"/>
    <cellStyle name="Hyperlink" xfId="1274" builtinId="8" hidden="1"/>
    <cellStyle name="Hyperlink" xfId="1276" builtinId="8" hidden="1"/>
    <cellStyle name="Hyperlink" xfId="1278" builtinId="8" hidden="1"/>
    <cellStyle name="Hyperlink" xfId="1280" builtinId="8" hidden="1"/>
    <cellStyle name="Hyperlink" xfId="1282" builtinId="8" hidden="1"/>
    <cellStyle name="Hyperlink" xfId="1284" builtinId="8" hidden="1"/>
    <cellStyle name="Hyperlink" xfId="1286" builtinId="8" hidden="1"/>
    <cellStyle name="Hyperlink" xfId="1288" builtinId="8" hidden="1"/>
    <cellStyle name="Hyperlink" xfId="1290" builtinId="8" hidden="1"/>
    <cellStyle name="Hyperlink" xfId="1292" builtinId="8" hidden="1"/>
    <cellStyle name="Hyperlink" xfId="1294" builtinId="8" hidden="1"/>
    <cellStyle name="Hyperlink" xfId="1296" builtinId="8" hidden="1"/>
    <cellStyle name="Hyperlink" xfId="1298" builtinId="8" hidden="1"/>
    <cellStyle name="Hyperlink" xfId="1300" builtinId="8" hidden="1"/>
    <cellStyle name="Hyperlink" xfId="1302" builtinId="8" hidden="1"/>
    <cellStyle name="Hyperlink" xfId="1304" builtinId="8" hidden="1"/>
    <cellStyle name="Hyperlink" xfId="1306" builtinId="8" hidden="1"/>
    <cellStyle name="Hyperlink" xfId="1308" builtinId="8" hidden="1"/>
    <cellStyle name="Hyperlink" xfId="1310" builtinId="8" hidden="1"/>
    <cellStyle name="Hyperlink" xfId="1312" builtinId="8" hidden="1"/>
    <cellStyle name="Hyperlink" xfId="1314" builtinId="8" hidden="1"/>
    <cellStyle name="Hyperlink" xfId="1316" builtinId="8" hidden="1"/>
    <cellStyle name="Hyperlink" xfId="1318" builtinId="8" hidden="1"/>
    <cellStyle name="Hyperlink" xfId="1320" builtinId="8" hidden="1"/>
    <cellStyle name="Hyperlink" xfId="1322" builtinId="8" hidden="1"/>
    <cellStyle name="Hyperlink" xfId="1324" builtinId="8" hidden="1"/>
    <cellStyle name="Hyperlink" xfId="1326" builtinId="8" hidden="1"/>
    <cellStyle name="Hyperlink" xfId="1328" builtinId="8" hidden="1"/>
    <cellStyle name="Hyperlink" xfId="1330" builtinId="8" hidden="1"/>
    <cellStyle name="Hyperlink" xfId="1332" builtinId="8" hidden="1"/>
    <cellStyle name="Hyperlink" xfId="1334" builtinId="8" hidden="1"/>
    <cellStyle name="Hyperlink" xfId="1336" builtinId="8" hidden="1"/>
    <cellStyle name="Hyperlink" xfId="1338" builtinId="8" hidden="1"/>
    <cellStyle name="Hyperlink" xfId="1340" builtinId="8" hidden="1"/>
    <cellStyle name="Hyperlink" xfId="1342" builtinId="8" hidden="1"/>
    <cellStyle name="Hyperlink" xfId="1344" builtinId="8" hidden="1"/>
    <cellStyle name="Hyperlink" xfId="1346" builtinId="8" hidden="1"/>
    <cellStyle name="Hyperlink" xfId="1348" builtinId="8" hidden="1"/>
    <cellStyle name="Hyperlink" xfId="1350" builtinId="8" hidden="1"/>
    <cellStyle name="Hyperlink" xfId="1352" builtinId="8" hidden="1"/>
    <cellStyle name="Hyperlink" xfId="1354" builtinId="8" hidden="1"/>
    <cellStyle name="Hyperlink" xfId="1356" builtinId="8" hidden="1"/>
    <cellStyle name="Hyperlink" xfId="1358" builtinId="8" hidden="1"/>
    <cellStyle name="Hyperlink" xfId="1360" builtinId="8" hidden="1"/>
    <cellStyle name="Hyperlink" xfId="1362" builtinId="8" hidden="1"/>
    <cellStyle name="Hyperlink" xfId="1364" builtinId="8" hidden="1"/>
    <cellStyle name="Hyperlink" xfId="1366" builtinId="8" hidden="1"/>
    <cellStyle name="Hyperlink" xfId="1368" builtinId="8" hidden="1"/>
    <cellStyle name="Hyperlink" xfId="1370" builtinId="8" hidden="1"/>
    <cellStyle name="Hyperlink" xfId="1372" builtinId="8" hidden="1"/>
    <cellStyle name="Hyperlink" xfId="1374" builtinId="8" hidden="1"/>
    <cellStyle name="Hyperlink" xfId="1376" builtinId="8" hidden="1"/>
    <cellStyle name="Hyperlink" xfId="1378" builtinId="8" hidden="1"/>
    <cellStyle name="Hyperlink" xfId="1380" builtinId="8" hidden="1"/>
    <cellStyle name="Hyperlink" xfId="1382" builtinId="8" hidden="1"/>
    <cellStyle name="Hyperlink" xfId="1384" builtinId="8" hidden="1"/>
    <cellStyle name="Hyperlink" xfId="1386" builtinId="8" hidden="1"/>
    <cellStyle name="Hyperlink" xfId="1388" builtinId="8" hidden="1"/>
    <cellStyle name="Hyperlink" xfId="1390" builtinId="8" hidden="1"/>
    <cellStyle name="Hyperlink" xfId="1392" builtinId="8" hidden="1"/>
    <cellStyle name="Hyperlink" xfId="1394" builtinId="8" hidden="1"/>
    <cellStyle name="Hyperlink" xfId="1396" builtinId="8" hidden="1"/>
    <cellStyle name="Hyperlink" xfId="1398" builtinId="8" hidden="1"/>
    <cellStyle name="Hyperlink" xfId="1400" builtinId="8" hidden="1"/>
    <cellStyle name="Hyperlink" xfId="1402" builtinId="8" hidden="1"/>
    <cellStyle name="Hyperlink" xfId="1404" builtinId="8" hidden="1"/>
    <cellStyle name="Hyperlink" xfId="1406" builtinId="8" hidden="1"/>
    <cellStyle name="Hyperlink" xfId="1408" builtinId="8" hidden="1"/>
    <cellStyle name="Hyperlink" xfId="1410" builtinId="8" hidden="1"/>
    <cellStyle name="Hyperlink" xfId="1412" builtinId="8" hidden="1"/>
    <cellStyle name="Hyperlink" xfId="1414" builtinId="8" hidden="1"/>
    <cellStyle name="Hyperlink" xfId="1416" builtinId="8" hidden="1"/>
    <cellStyle name="Hyperlink" xfId="1418" builtinId="8" hidden="1"/>
    <cellStyle name="Hyperlink" xfId="1420" builtinId="8" hidden="1"/>
    <cellStyle name="Hyperlink" xfId="1422" builtinId="8" hidden="1"/>
    <cellStyle name="Hyperlink" xfId="1424" builtinId="8" hidden="1"/>
    <cellStyle name="Hyperlink" xfId="1426" builtinId="8" hidden="1"/>
    <cellStyle name="Hyperlink" xfId="1428" builtinId="8" hidden="1"/>
    <cellStyle name="Hyperlink" xfId="1430" builtinId="8" hidden="1"/>
    <cellStyle name="Hyperlink" xfId="1432" builtinId="8" hidden="1"/>
    <cellStyle name="Hyperlink" xfId="1434" builtinId="8" hidden="1"/>
    <cellStyle name="Hyperlink" xfId="1436" builtinId="8" hidden="1"/>
    <cellStyle name="Hyperlink" xfId="1438" builtinId="8" hidden="1"/>
    <cellStyle name="Hyperlink" xfId="1440" builtinId="8" hidden="1"/>
    <cellStyle name="Hyperlink" xfId="1442" builtinId="8" hidden="1"/>
    <cellStyle name="Hyperlink" xfId="1444" builtinId="8" hidden="1"/>
    <cellStyle name="Hyperlink" xfId="1446" builtinId="8" hidden="1"/>
    <cellStyle name="Hyperlink" xfId="1448" builtinId="8" hidden="1"/>
    <cellStyle name="Hyperlink" xfId="1450" builtinId="8" hidden="1"/>
    <cellStyle name="Hyperlink" xfId="1452" builtinId="8" hidden="1"/>
    <cellStyle name="Hyperlink" xfId="1454" builtinId="8" hidden="1"/>
    <cellStyle name="Hyperlink" xfId="1456" builtinId="8" hidden="1"/>
    <cellStyle name="Hyperlink" xfId="1458" builtinId="8" hidden="1"/>
    <cellStyle name="Hyperlink" xfId="1460" builtinId="8" hidden="1"/>
    <cellStyle name="Hyperlink" xfId="1462" builtinId="8" hidden="1"/>
    <cellStyle name="Hyperlink" xfId="1464" builtinId="8" hidden="1"/>
    <cellStyle name="Hyperlink" xfId="1466" builtinId="8" hidden="1"/>
    <cellStyle name="Hyperlink" xfId="1468" builtinId="8" hidden="1"/>
    <cellStyle name="Hyperlink" xfId="1470" builtinId="8" hidden="1"/>
    <cellStyle name="Hyperlink" xfId="1472" builtinId="8" hidden="1"/>
    <cellStyle name="Hyperlink" xfId="1474" builtinId="8" hidden="1"/>
    <cellStyle name="Hyperlink" xfId="1476" builtinId="8" hidden="1"/>
    <cellStyle name="Hyperlink" xfId="1478" builtinId="8" hidden="1"/>
    <cellStyle name="Hyperlink" xfId="1480" builtinId="8" hidden="1"/>
    <cellStyle name="Hyperlink" xfId="1482" builtinId="8" hidden="1"/>
    <cellStyle name="Hyperlink" xfId="1484" builtinId="8" hidden="1"/>
    <cellStyle name="Hyperlink" xfId="1486" builtinId="8" hidden="1"/>
    <cellStyle name="Hyperlink" xfId="1488" builtinId="8" hidden="1"/>
    <cellStyle name="Hyperlink" xfId="1490" builtinId="8" hidden="1"/>
    <cellStyle name="Hyperlink" xfId="1492" builtinId="8" hidden="1"/>
    <cellStyle name="Hyperlink" xfId="1494" builtinId="8" hidden="1"/>
    <cellStyle name="Hyperlink" xfId="1496" builtinId="8" hidden="1"/>
    <cellStyle name="Hyperlink" xfId="1498" builtinId="8" hidden="1"/>
    <cellStyle name="Hyperlink" xfId="1500" builtinId="8" hidden="1"/>
    <cellStyle name="Hyperlink" xfId="1502" builtinId="8" hidden="1"/>
    <cellStyle name="Hyperlink" xfId="1504" builtinId="8" hidden="1"/>
    <cellStyle name="Hyperlink" xfId="1506" builtinId="8" hidden="1"/>
    <cellStyle name="Hyperlink" xfId="1508" builtinId="8" hidden="1"/>
    <cellStyle name="Hyperlink" xfId="1510" builtinId="8" hidden="1"/>
    <cellStyle name="Hyperlink" xfId="1512" builtinId="8" hidden="1"/>
    <cellStyle name="Hyperlink" xfId="1514" builtinId="8" hidden="1"/>
    <cellStyle name="Hyperlink" xfId="1516" builtinId="8" hidden="1"/>
    <cellStyle name="Hyperlink" xfId="1518" builtinId="8" hidden="1"/>
    <cellStyle name="Hyperlink" xfId="1520" builtinId="8" hidden="1"/>
    <cellStyle name="Hyperlink" xfId="1522" builtinId="8" hidden="1"/>
    <cellStyle name="Hyperlink" xfId="1524" builtinId="8" hidden="1"/>
    <cellStyle name="Hyperlink" xfId="1526" builtinId="8" hidden="1"/>
    <cellStyle name="Hyperlink" xfId="1528" builtinId="8" hidden="1"/>
    <cellStyle name="Hyperlink" xfId="1530" builtinId="8" hidden="1"/>
    <cellStyle name="Hyperlink" xfId="1532" builtinId="8" hidden="1"/>
    <cellStyle name="Hyperlink" xfId="1534" builtinId="8" hidden="1"/>
    <cellStyle name="Hyperlink" xfId="1536" builtinId="8" hidden="1"/>
    <cellStyle name="Hyperlink" xfId="1538" builtinId="8" hidden="1"/>
    <cellStyle name="Hyperlink" xfId="1540" builtinId="8" hidden="1"/>
    <cellStyle name="Hyperlink" xfId="1542" builtinId="8" hidden="1"/>
    <cellStyle name="Hyperlink" xfId="1544" builtinId="8" hidden="1"/>
    <cellStyle name="Hyperlink" xfId="1546" builtinId="8" hidden="1"/>
    <cellStyle name="Hyperlink" xfId="1548" builtinId="8" hidden="1"/>
    <cellStyle name="Hyperlink" xfId="1550" builtinId="8" hidden="1"/>
    <cellStyle name="Hyperlink" xfId="1552" builtinId="8" hidden="1"/>
    <cellStyle name="Hyperlink" xfId="1554" builtinId="8" hidden="1"/>
    <cellStyle name="Hyperlink" xfId="1556" builtinId="8" hidden="1"/>
    <cellStyle name="Hyperlink" xfId="1558" builtinId="8" hidden="1"/>
    <cellStyle name="Hyperlink" xfId="1560" builtinId="8" hidden="1"/>
    <cellStyle name="Hyperlink" xfId="1562" builtinId="8" hidden="1"/>
    <cellStyle name="Hyperlink" xfId="1564" builtinId="8" hidden="1"/>
    <cellStyle name="Hyperlink" xfId="1566" builtinId="8" hidden="1"/>
    <cellStyle name="Hyperlink" xfId="1568" builtinId="8" hidden="1"/>
    <cellStyle name="Hyperlink" xfId="1570" builtinId="8" hidden="1"/>
    <cellStyle name="Hyperlink" xfId="1572" builtinId="8" hidden="1"/>
    <cellStyle name="Hyperlink" xfId="1574" builtinId="8" hidden="1"/>
    <cellStyle name="Hyperlink" xfId="1576" builtinId="8" hidden="1"/>
    <cellStyle name="Hyperlink" xfId="1578" builtinId="8" hidden="1"/>
    <cellStyle name="Hyperlink" xfId="1580" builtinId="8" hidden="1"/>
    <cellStyle name="Hyperlink" xfId="1582" builtinId="8" hidden="1"/>
    <cellStyle name="Hyperlink" xfId="1584" builtinId="8" hidden="1"/>
    <cellStyle name="Hyperlink" xfId="1586" builtinId="8" hidden="1"/>
    <cellStyle name="Hyperlink" xfId="1588" builtinId="8" hidden="1"/>
    <cellStyle name="Hyperlink" xfId="1590" builtinId="8" hidden="1"/>
    <cellStyle name="Hyperlink" xfId="1592" builtinId="8" hidden="1"/>
    <cellStyle name="Hyperlink" xfId="1594" builtinId="8" hidden="1"/>
    <cellStyle name="Hyperlink" xfId="1596" builtinId="8" hidden="1"/>
    <cellStyle name="Hyperlink" xfId="1598" builtinId="8" hidden="1"/>
    <cellStyle name="Hyperlink" xfId="1600" builtinId="8" hidden="1"/>
    <cellStyle name="Hyperlink" xfId="1602" builtinId="8" hidden="1"/>
    <cellStyle name="Hyperlink" xfId="1604" builtinId="8" hidden="1"/>
    <cellStyle name="Hyperlink" xfId="1606" builtinId="8" hidden="1"/>
    <cellStyle name="Hyperlink" xfId="1608" builtinId="8" hidden="1"/>
    <cellStyle name="Hyperlink" xfId="1610" builtinId="8" hidden="1"/>
    <cellStyle name="Hyperlink" xfId="1612" builtinId="8" hidden="1"/>
    <cellStyle name="Hyperlink" xfId="1614" builtinId="8" hidden="1"/>
    <cellStyle name="Hyperlink" xfId="1616" builtinId="8" hidden="1"/>
    <cellStyle name="Hyperlink" xfId="1618" builtinId="8" hidden="1"/>
    <cellStyle name="Hyperlink" xfId="1620" builtinId="8" hidden="1"/>
    <cellStyle name="Hyperlink" xfId="1622" builtinId="8" hidden="1"/>
    <cellStyle name="Hyperlink" xfId="1624" builtinId="8" hidden="1"/>
    <cellStyle name="Hyperlink" xfId="1626" builtinId="8" hidden="1"/>
    <cellStyle name="Hyperlink" xfId="1628" builtinId="8" hidden="1"/>
    <cellStyle name="Hyperlink" xfId="1630" builtinId="8" hidden="1"/>
    <cellStyle name="Hyperlink" xfId="1632" builtinId="8" hidden="1"/>
    <cellStyle name="Hyperlink" xfId="1634" builtinId="8" hidden="1"/>
    <cellStyle name="Hyperlink" xfId="1636" builtinId="8" hidden="1"/>
    <cellStyle name="Hyperlink" xfId="1638" builtinId="8" hidden="1"/>
    <cellStyle name="Hyperlink" xfId="1640" builtinId="8" hidden="1"/>
    <cellStyle name="Hyperlink" xfId="1642" builtinId="8" hidden="1"/>
    <cellStyle name="Hyperlink" xfId="1644" builtinId="8" hidden="1"/>
    <cellStyle name="Hyperlink" xfId="1646" builtinId="8" hidden="1"/>
    <cellStyle name="Hyperlink" xfId="1648" builtinId="8" hidden="1"/>
    <cellStyle name="Hyperlink" xfId="1650" builtinId="8" hidden="1"/>
    <cellStyle name="Hyperlink" xfId="1652" builtinId="8" hidden="1"/>
    <cellStyle name="Hyperlink" xfId="1654" builtinId="8" hidden="1"/>
    <cellStyle name="Hyperlink" xfId="1656" builtinId="8" hidden="1"/>
    <cellStyle name="Hyperlink" xfId="1658" builtinId="8" hidden="1"/>
    <cellStyle name="Hyperlink" xfId="1660" builtinId="8" hidden="1"/>
    <cellStyle name="Hyperlink" xfId="1662" builtinId="8" hidden="1"/>
    <cellStyle name="Hyperlink" xfId="1664" builtinId="8" hidden="1"/>
    <cellStyle name="Hyperlink" xfId="1666" builtinId="8" hidden="1"/>
    <cellStyle name="Hyperlink" xfId="1668" builtinId="8" hidden="1"/>
    <cellStyle name="Hyperlink" xfId="1670" builtinId="8" hidden="1"/>
    <cellStyle name="Hyperlink" xfId="1672" builtinId="8" hidden="1"/>
    <cellStyle name="Hyperlink" xfId="1674" builtinId="8" hidden="1"/>
    <cellStyle name="Hyperlink" xfId="1676" builtinId="8" hidden="1"/>
    <cellStyle name="Hyperlink" xfId="1678" builtinId="8" hidden="1"/>
    <cellStyle name="Hyperlink" xfId="1680" builtinId="8" hidden="1"/>
    <cellStyle name="Hyperlink" xfId="1682" builtinId="8" hidden="1"/>
    <cellStyle name="Hyperlink" xfId="1684" builtinId="8" hidden="1"/>
    <cellStyle name="Hyperlink" xfId="1686" builtinId="8" hidden="1"/>
    <cellStyle name="Hyperlink" xfId="1688" builtinId="8" hidden="1"/>
    <cellStyle name="Hyperlink" xfId="1690" builtinId="8" hidden="1"/>
    <cellStyle name="Hyperlink" xfId="1692" builtinId="8" hidden="1"/>
    <cellStyle name="Hyperlink" xfId="1694" builtinId="8" hidden="1"/>
    <cellStyle name="Hyperlink" xfId="1696" builtinId="8" hidden="1"/>
    <cellStyle name="Hyperlink" xfId="1698" builtinId="8" hidden="1"/>
    <cellStyle name="Hyperlink" xfId="1700" builtinId="8" hidden="1"/>
    <cellStyle name="Hyperlink" xfId="1702" builtinId="8" hidden="1"/>
    <cellStyle name="Hyperlink" xfId="1704" builtinId="8" hidden="1"/>
    <cellStyle name="Hyperlink" xfId="1706" builtinId="8" hidden="1"/>
    <cellStyle name="Hyperlink" xfId="1708" builtinId="8" hidden="1"/>
    <cellStyle name="Hyperlink" xfId="1710" builtinId="8" hidden="1"/>
    <cellStyle name="Hyperlink" xfId="1712" builtinId="8" hidden="1"/>
    <cellStyle name="Hyperlink" xfId="1714" builtinId="8" hidden="1"/>
    <cellStyle name="Hyperlink" xfId="1716" builtinId="8" hidden="1"/>
    <cellStyle name="Hyperlink" xfId="1718" builtinId="8" hidden="1"/>
    <cellStyle name="Hyperlink" xfId="1720" builtinId="8" hidden="1"/>
    <cellStyle name="Hyperlink" xfId="1722" builtinId="8" hidden="1"/>
    <cellStyle name="Hyperlink" xfId="1724" builtinId="8" hidden="1"/>
    <cellStyle name="Hyperlink" xfId="1726" builtinId="8" hidden="1"/>
    <cellStyle name="Hyperlink" xfId="1728" builtinId="8" hidden="1"/>
    <cellStyle name="Hyperlink" xfId="1730" builtinId="8" hidden="1"/>
    <cellStyle name="Hyperlink" xfId="1732" builtinId="8" hidden="1"/>
    <cellStyle name="Hyperlink" xfId="1735" builtinId="8" hidden="1"/>
    <cellStyle name="Hyperlink" xfId="1737" builtinId="8" hidden="1"/>
    <cellStyle name="Hyperlink" xfId="1739" builtinId="8" hidden="1"/>
    <cellStyle name="Hyperlink" xfId="1741" builtinId="8" hidden="1"/>
    <cellStyle name="Hyperlink" xfId="1743" builtinId="8" hidden="1"/>
    <cellStyle name="Hyperlink" xfId="1745" builtinId="8" hidden="1"/>
    <cellStyle name="Hyperlink" xfId="1747" builtinId="8" hidden="1"/>
    <cellStyle name="Hyperlink" xfId="1749" builtinId="8" hidden="1"/>
    <cellStyle name="Hyperlink" xfId="1751" builtinId="8" hidden="1"/>
    <cellStyle name="Hyperlink" xfId="1753" builtinId="8" hidden="1"/>
    <cellStyle name="Hyperlink" xfId="1755" builtinId="8" hidden="1"/>
    <cellStyle name="Hyperlink" xfId="1757" builtinId="8" hidden="1"/>
    <cellStyle name="Hyperlink" xfId="1759" builtinId="8" hidden="1"/>
    <cellStyle name="Hyperlink" xfId="1761" builtinId="8" hidden="1"/>
    <cellStyle name="Hyperlink" xfId="1763" builtinId="8" hidden="1"/>
    <cellStyle name="Hyperlink" xfId="1765" builtinId="8" hidden="1"/>
    <cellStyle name="Hyperlink" xfId="1767" builtinId="8" hidden="1"/>
    <cellStyle name="Hyperlink" xfId="1769" builtinId="8" hidden="1"/>
    <cellStyle name="Hyperlink" xfId="1771" builtinId="8" hidden="1"/>
    <cellStyle name="Hyperlink" xfId="1773" builtinId="8" hidden="1"/>
    <cellStyle name="Hyperlink" xfId="1775" builtinId="8" hidden="1"/>
    <cellStyle name="Hyperlink" xfId="1777" builtinId="8" hidden="1"/>
    <cellStyle name="Hyperlink" xfId="1779" builtinId="8" hidden="1"/>
    <cellStyle name="Hyperlink" xfId="1781" builtinId="8" hidden="1"/>
    <cellStyle name="Hyperlink" xfId="1783" builtinId="8" hidden="1"/>
    <cellStyle name="Hyperlink" xfId="1785" builtinId="8" hidden="1"/>
    <cellStyle name="Hyperlink" xfId="1787" builtinId="8" hidden="1"/>
    <cellStyle name="Hyperlink" xfId="1789" builtinId="8" hidden="1"/>
    <cellStyle name="Hyperlink" xfId="1791" builtinId="8" hidden="1"/>
    <cellStyle name="Hyperlink" xfId="1793" builtinId="8" hidden="1"/>
    <cellStyle name="Hyperlink" xfId="1795" builtinId="8" hidden="1"/>
    <cellStyle name="Hyperlink" xfId="1797" builtinId="8" hidden="1"/>
    <cellStyle name="Hyperlink" xfId="1799" builtinId="8" hidden="1"/>
    <cellStyle name="Hyperlink" xfId="1801" builtinId="8" hidden="1"/>
    <cellStyle name="Hyperlink" xfId="1803" builtinId="8" hidden="1"/>
    <cellStyle name="Hyperlink" xfId="1805" builtinId="8" hidden="1"/>
    <cellStyle name="Hyperlink" xfId="1807" builtinId="8" hidden="1"/>
    <cellStyle name="Hyperlink" xfId="1809" builtinId="8" hidden="1"/>
    <cellStyle name="Hyperlink" xfId="1811" builtinId="8" hidden="1"/>
    <cellStyle name="Hyperlink" xfId="1813" builtinId="8" hidden="1"/>
    <cellStyle name="Hyperlink" xfId="1815" builtinId="8" hidden="1"/>
    <cellStyle name="Hyperlink" xfId="1817" builtinId="8" hidden="1"/>
    <cellStyle name="Hyperlink" xfId="1819" builtinId="8" hidden="1"/>
    <cellStyle name="Hyperlink" xfId="1821" builtinId="8" hidden="1"/>
    <cellStyle name="Hyperlink" xfId="1823" builtinId="8" hidden="1"/>
    <cellStyle name="Hyperlink" xfId="1825" builtinId="8" hidden="1"/>
    <cellStyle name="Hyperlink" xfId="1827" builtinId="8" hidden="1"/>
    <cellStyle name="Hyperlink" xfId="1829" builtinId="8" hidden="1"/>
    <cellStyle name="Hyperlink" xfId="1831" builtinId="8" hidden="1"/>
    <cellStyle name="Hyperlink" xfId="1833" builtinId="8" hidden="1"/>
    <cellStyle name="Hyperlink" xfId="1835" builtinId="8" hidden="1"/>
    <cellStyle name="Hyperlink" xfId="1837" builtinId="8" hidden="1"/>
    <cellStyle name="Hyperlink" xfId="1839" builtinId="8" hidden="1"/>
    <cellStyle name="Hyperlink" xfId="1841" builtinId="8" hidden="1"/>
    <cellStyle name="Hyperlink" xfId="1843" builtinId="8" hidden="1"/>
    <cellStyle name="Hyperlink" xfId="1845" builtinId="8" hidden="1"/>
    <cellStyle name="Hyperlink" xfId="1847" builtinId="8" hidden="1"/>
    <cellStyle name="Hyperlink" xfId="1849" builtinId="8" hidden="1"/>
    <cellStyle name="Hyperlink" xfId="1851" builtinId="8" hidden="1"/>
    <cellStyle name="Hyperlink" xfId="1853" builtinId="8" hidden="1"/>
    <cellStyle name="Hyperlink" xfId="1855" builtinId="8" hidden="1"/>
    <cellStyle name="Hyperlink" xfId="1857" builtinId="8" hidden="1"/>
    <cellStyle name="Hyperlink" xfId="1859" builtinId="8" hidden="1"/>
    <cellStyle name="Hyperlink" xfId="1861" builtinId="8" hidden="1"/>
    <cellStyle name="Hyperlink" xfId="1863" builtinId="8" hidden="1"/>
    <cellStyle name="Hyperlink" xfId="1865" builtinId="8" hidden="1"/>
    <cellStyle name="Hyperlink" xfId="1867" builtinId="8" hidden="1"/>
    <cellStyle name="Hyperlink" xfId="1869" builtinId="8" hidden="1"/>
    <cellStyle name="Hyperlink" xfId="1871" builtinId="8" hidden="1"/>
    <cellStyle name="Hyperlink" xfId="1873" builtinId="8" hidden="1"/>
    <cellStyle name="Hyperlink" xfId="1875" builtinId="8" hidden="1"/>
    <cellStyle name="Hyperlink" xfId="1877" builtinId="8" hidden="1"/>
    <cellStyle name="Hyperlink" xfId="1879" builtinId="8" hidden="1"/>
    <cellStyle name="Hyperlink" xfId="1881" builtinId="8" hidden="1"/>
    <cellStyle name="Hyperlink" xfId="1883" builtinId="8" hidden="1"/>
    <cellStyle name="Hyperlink" xfId="1885" builtinId="8" hidden="1"/>
    <cellStyle name="Hyperlink" xfId="1887" builtinId="8" hidden="1"/>
    <cellStyle name="Hyperlink" xfId="1889" builtinId="8" hidden="1"/>
    <cellStyle name="Hyperlink" xfId="1891" builtinId="8" hidden="1"/>
    <cellStyle name="Hyperlink" xfId="1893" builtinId="8" hidden="1"/>
    <cellStyle name="Hyperlink" xfId="1895" builtinId="8" hidden="1"/>
    <cellStyle name="Hyperlink" xfId="1897" builtinId="8" hidden="1"/>
    <cellStyle name="Hyperlink" xfId="1899" builtinId="8" hidden="1"/>
    <cellStyle name="Hyperlink" xfId="1901" builtinId="8" hidden="1"/>
    <cellStyle name="Hyperlink" xfId="1903" builtinId="8" hidden="1"/>
    <cellStyle name="Hyperlink" xfId="1905" builtinId="8" hidden="1"/>
    <cellStyle name="Hyperlink" xfId="1907" builtinId="8" hidden="1"/>
    <cellStyle name="Hyperlink" xfId="1909" builtinId="8" hidden="1"/>
    <cellStyle name="Hyperlink" xfId="1911" builtinId="8" hidden="1"/>
    <cellStyle name="Hyperlink" xfId="1913" builtinId="8" hidden="1"/>
    <cellStyle name="Hyperlink" xfId="1915" builtinId="8" hidden="1"/>
    <cellStyle name="Hyperlink" xfId="1917" builtinId="8" hidden="1"/>
    <cellStyle name="Hyperlink" xfId="1919" builtinId="8" hidden="1"/>
    <cellStyle name="Hyperlink" xfId="1921" builtinId="8" hidden="1"/>
    <cellStyle name="Hyperlink" xfId="1923" builtinId="8" hidden="1"/>
    <cellStyle name="Hyperlink" xfId="1925" builtinId="8" hidden="1"/>
    <cellStyle name="Hyperlink" xfId="1927" builtinId="8" hidden="1"/>
    <cellStyle name="Hyperlink" xfId="1929" builtinId="8" hidden="1"/>
    <cellStyle name="Hyperlink" xfId="1931" builtinId="8" hidden="1"/>
    <cellStyle name="Hyperlink" xfId="1933" builtinId="8" hidden="1"/>
    <cellStyle name="Hyperlink" xfId="1935" builtinId="8" hidden="1"/>
    <cellStyle name="Hyperlink" xfId="1937" builtinId="8" hidden="1"/>
    <cellStyle name="Hyperlink" xfId="1939" builtinId="8" hidden="1"/>
    <cellStyle name="Hyperlink" xfId="1941" builtinId="8" hidden="1"/>
    <cellStyle name="Hyperlink" xfId="1943" builtinId="8" hidden="1"/>
    <cellStyle name="Hyperlink" xfId="1945" builtinId="8" hidden="1"/>
    <cellStyle name="Hyperlink" xfId="1947" builtinId="8" hidden="1"/>
    <cellStyle name="Hyperlink" xfId="1949" builtinId="8" hidden="1"/>
    <cellStyle name="Hyperlink" xfId="1951" builtinId="8" hidden="1"/>
    <cellStyle name="Hyperlink" xfId="1953" builtinId="8" hidden="1"/>
    <cellStyle name="Hyperlink" xfId="1955" builtinId="8" hidden="1"/>
    <cellStyle name="Hyperlink" xfId="1957" builtinId="8" hidden="1"/>
    <cellStyle name="Hyperlink" xfId="1959" builtinId="8" hidden="1"/>
    <cellStyle name="Hyperlink" xfId="1961" builtinId="8" hidden="1"/>
    <cellStyle name="Hyperlink" xfId="1963" builtinId="8" hidden="1"/>
    <cellStyle name="Hyperlink" xfId="1965" builtinId="8" hidden="1"/>
    <cellStyle name="Hyperlink" xfId="1967" builtinId="8" hidden="1"/>
    <cellStyle name="Hyperlink" xfId="1969" builtinId="8" hidden="1"/>
    <cellStyle name="Hyperlink" xfId="1971" builtinId="8" hidden="1"/>
    <cellStyle name="Hyperlink" xfId="1973" builtinId="8" hidden="1"/>
    <cellStyle name="Hyperlink" xfId="1975" builtinId="8" hidden="1"/>
    <cellStyle name="Hyperlink" xfId="1977" builtinId="8" hidden="1"/>
    <cellStyle name="Hyperlink" xfId="1979" builtinId="8" hidden="1"/>
    <cellStyle name="Hyperlink" xfId="1981" builtinId="8" hidden="1"/>
    <cellStyle name="Hyperlink" xfId="1983" builtinId="8" hidden="1"/>
    <cellStyle name="Hyperlink" xfId="1985" builtinId="8" hidden="1"/>
    <cellStyle name="Hyperlink" xfId="1987" builtinId="8" hidden="1"/>
    <cellStyle name="Hyperlink" xfId="1989" builtinId="8" hidden="1"/>
    <cellStyle name="Hyperlink" xfId="1991" builtinId="8" hidden="1"/>
    <cellStyle name="Hyperlink" xfId="1993" builtinId="8" hidden="1"/>
    <cellStyle name="Hyperlink" xfId="1995" builtinId="8" hidden="1"/>
    <cellStyle name="Hyperlink" xfId="1997" builtinId="8" hidden="1"/>
    <cellStyle name="Hyperlink" xfId="1999" builtinId="8" hidden="1"/>
    <cellStyle name="Hyperlink" xfId="2001" builtinId="8" hidden="1"/>
    <cellStyle name="Hyperlink" xfId="2003" builtinId="8" hidden="1"/>
    <cellStyle name="Hyperlink" xfId="2005" builtinId="8" hidden="1"/>
    <cellStyle name="Hyperlink" xfId="2007" builtinId="8" hidden="1"/>
    <cellStyle name="Hyperlink" xfId="2009" builtinId="8" hidden="1"/>
    <cellStyle name="Hyperlink" xfId="2011" builtinId="8" hidden="1"/>
    <cellStyle name="Hyperlink" xfId="2013" builtinId="8" hidden="1"/>
    <cellStyle name="Hyperlink" xfId="2015" builtinId="8" hidden="1"/>
    <cellStyle name="Hyperlink" xfId="2017" builtinId="8" hidden="1"/>
    <cellStyle name="Hyperlink" xfId="2019" builtinId="8" hidden="1"/>
    <cellStyle name="Hyperlink" xfId="2021" builtinId="8" hidden="1"/>
    <cellStyle name="Hyperlink" xfId="2023" builtinId="8" hidden="1"/>
    <cellStyle name="Hyperlink" xfId="2025" builtinId="8" hidden="1"/>
    <cellStyle name="Hyperlink" xfId="2027" builtinId="8" hidden="1"/>
    <cellStyle name="Hyperlink" xfId="2029" builtinId="8" hidden="1"/>
    <cellStyle name="Hyperlink" xfId="2031" builtinId="8" hidden="1"/>
    <cellStyle name="Hyperlink" xfId="2033" builtinId="8" hidden="1"/>
    <cellStyle name="Hyperlink" xfId="2035" builtinId="8" hidden="1"/>
    <cellStyle name="Hyperlink" xfId="2037" builtinId="8" hidden="1"/>
    <cellStyle name="Hyperlink" xfId="2039" builtinId="8" hidden="1"/>
    <cellStyle name="Hyperlink" xfId="2041" builtinId="8" hidden="1"/>
    <cellStyle name="Hyperlink" xfId="2043" builtinId="8" hidden="1"/>
    <cellStyle name="Hyperlink" xfId="2045" builtinId="8" hidden="1"/>
    <cellStyle name="Hyperlink" xfId="2047" builtinId="8" hidden="1"/>
    <cellStyle name="Hyperlink" xfId="2049" builtinId="8" hidden="1"/>
    <cellStyle name="Hyperlink" xfId="2051" builtinId="8" hidden="1"/>
    <cellStyle name="Hyperlink" xfId="2053" builtinId="8" hidden="1"/>
    <cellStyle name="Hyperlink" xfId="2055" builtinId="8" hidden="1"/>
    <cellStyle name="Hyperlink" xfId="2057" builtinId="8" hidden="1"/>
    <cellStyle name="Hyperlink" xfId="2059" builtinId="8" hidden="1"/>
    <cellStyle name="Hyperlink" xfId="2061" builtinId="8" hidden="1"/>
    <cellStyle name="Hyperlink" xfId="2063" builtinId="8" hidden="1"/>
    <cellStyle name="Hyperlink" xfId="2065" builtinId="8" hidden="1"/>
    <cellStyle name="Hyperlink" xfId="2067" builtinId="8" hidden="1"/>
    <cellStyle name="Hyperlink" xfId="2069" builtinId="8" hidden="1"/>
    <cellStyle name="Hyperlink" xfId="2071" builtinId="8" hidden="1"/>
    <cellStyle name="Hyperlink" xfId="2073" builtinId="8" hidden="1"/>
    <cellStyle name="Hyperlink" xfId="2075" builtinId="8" hidden="1"/>
    <cellStyle name="Hyperlink" xfId="2077" builtinId="8" hidden="1"/>
    <cellStyle name="Hyperlink" xfId="2079" builtinId="8" hidden="1"/>
    <cellStyle name="Hyperlink" xfId="2081" builtinId="8" hidden="1"/>
    <cellStyle name="Hyperlink" xfId="2083" builtinId="8" hidden="1"/>
    <cellStyle name="Hyperlink" xfId="2085" builtinId="8" hidden="1"/>
    <cellStyle name="Hyperlink" xfId="2087" builtinId="8" hidden="1"/>
    <cellStyle name="Hyperlink" xfId="2089" builtinId="8" hidden="1"/>
    <cellStyle name="Hyperlink" xfId="2091" builtinId="8" hidden="1"/>
    <cellStyle name="Hyperlink" xfId="2093" builtinId="8" hidden="1"/>
    <cellStyle name="Hyperlink" xfId="2095" builtinId="8" hidden="1"/>
    <cellStyle name="Hyperlink" xfId="2097" builtinId="8" hidden="1"/>
    <cellStyle name="Hyperlink" xfId="2099" builtinId="8" hidden="1"/>
    <cellStyle name="Hyperlink" xfId="2101" builtinId="8" hidden="1"/>
    <cellStyle name="Hyperlink" xfId="2103" builtinId="8" hidden="1"/>
    <cellStyle name="Hyperlink" xfId="2105" builtinId="8" hidden="1"/>
    <cellStyle name="Hyperlink" xfId="2107" builtinId="8" hidden="1"/>
    <cellStyle name="Hyperlink" xfId="2109" builtinId="8" hidden="1"/>
    <cellStyle name="Hyperlink" xfId="2111" builtinId="8" hidden="1"/>
    <cellStyle name="Hyperlink" xfId="2113" builtinId="8" hidden="1"/>
    <cellStyle name="Hyperlink" xfId="2115" builtinId="8" hidden="1"/>
    <cellStyle name="Hyperlink" xfId="2117" builtinId="8" hidden="1"/>
    <cellStyle name="Hyperlink" xfId="2119" builtinId="8" hidden="1"/>
    <cellStyle name="Hyperlink" xfId="2121" builtinId="8" hidden="1"/>
    <cellStyle name="Hyperlink" xfId="2123" builtinId="8" hidden="1"/>
    <cellStyle name="Hyperlink" xfId="2125" builtinId="8" hidden="1"/>
    <cellStyle name="Hyperlink" xfId="2127" builtinId="8" hidden="1"/>
    <cellStyle name="Hyperlink" xfId="2129" builtinId="8" hidden="1"/>
    <cellStyle name="Hyperlink" xfId="2131" builtinId="8" hidden="1"/>
    <cellStyle name="Hyperlink" xfId="2133" builtinId="8" hidden="1"/>
    <cellStyle name="Hyperlink" xfId="2135" builtinId="8" hidden="1"/>
    <cellStyle name="Hyperlink" xfId="2137" builtinId="8" hidden="1"/>
    <cellStyle name="Hyperlink" xfId="2139" builtinId="8" hidden="1"/>
    <cellStyle name="Hyperlink" xfId="2141" builtinId="8" hidden="1"/>
    <cellStyle name="Hyperlink" xfId="2143" builtinId="8" hidden="1"/>
    <cellStyle name="Hyperlink" xfId="2145" builtinId="8" hidden="1"/>
    <cellStyle name="Hyperlink" xfId="2147" builtinId="8" hidden="1"/>
    <cellStyle name="Hyperlink" xfId="2149" builtinId="8" hidden="1"/>
    <cellStyle name="Hyperlink" xfId="2151" builtinId="8" hidden="1"/>
    <cellStyle name="Hyperlink" xfId="2153" builtinId="8" hidden="1"/>
    <cellStyle name="Hyperlink" xfId="2155" builtinId="8" hidden="1"/>
    <cellStyle name="Hyperlink" xfId="2157" builtinId="8" hidden="1"/>
    <cellStyle name="Hyperlink" xfId="2159" builtinId="8" hidden="1"/>
    <cellStyle name="Hyperlink" xfId="2161" builtinId="8" hidden="1"/>
    <cellStyle name="Hyperlink" xfId="2163" builtinId="8" hidden="1"/>
    <cellStyle name="Hyperlink" xfId="2165" builtinId="8" hidden="1"/>
    <cellStyle name="Hyperlink" xfId="2167" builtinId="8" hidden="1"/>
    <cellStyle name="Hyperlink" xfId="2169" builtinId="8" hidden="1"/>
    <cellStyle name="Hyperlink" xfId="2171" builtinId="8" hidden="1"/>
    <cellStyle name="Hyperlink" xfId="2173" builtinId="8" hidden="1"/>
    <cellStyle name="Hyperlink" xfId="2175" builtinId="8" hidden="1"/>
    <cellStyle name="Hyperlink" xfId="2177" builtinId="8" hidden="1"/>
    <cellStyle name="Hyperlink" xfId="2179" builtinId="8" hidden="1"/>
    <cellStyle name="Hyperlink" xfId="2181" builtinId="8" hidden="1"/>
    <cellStyle name="Hyperlink" xfId="2183" builtinId="8" hidden="1"/>
    <cellStyle name="Hyperlink" xfId="2185" builtinId="8" hidden="1"/>
    <cellStyle name="Hyperlink" xfId="2187" builtinId="8" hidden="1"/>
    <cellStyle name="Hyperlink" xfId="2189" builtinId="8" hidden="1"/>
    <cellStyle name="Hyperlink" xfId="2191" builtinId="8" hidden="1"/>
    <cellStyle name="Hyperlink" xfId="2193" builtinId="8" hidden="1"/>
    <cellStyle name="Hyperlink" xfId="2195" builtinId="8" hidden="1"/>
    <cellStyle name="Hyperlink" xfId="2197" builtinId="8" hidden="1"/>
    <cellStyle name="Hyperlink" xfId="2199" builtinId="8" hidden="1"/>
    <cellStyle name="Hyperlink" xfId="2201" builtinId="8" hidden="1"/>
    <cellStyle name="Hyperlink" xfId="2203" builtinId="8" hidden="1"/>
    <cellStyle name="Hyperlink" xfId="2205" builtinId="8" hidden="1"/>
    <cellStyle name="Hyperlink" xfId="2207" builtinId="8" hidden="1"/>
    <cellStyle name="Hyperlink" xfId="2209" builtinId="8" hidden="1"/>
    <cellStyle name="Hyperlink" xfId="2211" builtinId="8" hidden="1"/>
    <cellStyle name="Hyperlink" xfId="2213" builtinId="8" hidden="1"/>
    <cellStyle name="Hyperlink" xfId="2215" builtinId="8" hidden="1"/>
    <cellStyle name="Hyperlink" xfId="2217" builtinId="8" hidden="1"/>
    <cellStyle name="Hyperlink" xfId="2219" builtinId="8" hidden="1"/>
    <cellStyle name="Hyperlink" xfId="2221" builtinId="8" hidden="1"/>
    <cellStyle name="Hyperlink" xfId="2223" builtinId="8" hidden="1"/>
    <cellStyle name="Hyperlink" xfId="2225" builtinId="8" hidden="1"/>
    <cellStyle name="Hyperlink" xfId="2227" builtinId="8" hidden="1"/>
    <cellStyle name="Hyperlink" xfId="2229" builtinId="8" hidden="1"/>
    <cellStyle name="Hyperlink" xfId="2231" builtinId="8" hidden="1"/>
    <cellStyle name="Hyperlink" xfId="2233" builtinId="8" hidden="1"/>
    <cellStyle name="Hyperlink" xfId="2235" builtinId="8" hidden="1"/>
    <cellStyle name="Hyperlink" xfId="2237" builtinId="8" hidden="1"/>
    <cellStyle name="Hyperlink" xfId="2239" builtinId="8" hidden="1"/>
    <cellStyle name="Hyperlink" xfId="2241" builtinId="8" hidden="1"/>
    <cellStyle name="Hyperlink" xfId="2243" builtinId="8" hidden="1"/>
    <cellStyle name="Hyperlink" xfId="2245" builtinId="8" hidden="1"/>
    <cellStyle name="Hyperlink" xfId="2247" builtinId="8" hidden="1"/>
    <cellStyle name="Hyperlink" xfId="2249" builtinId="8" hidden="1"/>
    <cellStyle name="Hyperlink" xfId="2251" builtinId="8" hidden="1"/>
    <cellStyle name="Hyperlink" xfId="2253" builtinId="8" hidden="1"/>
    <cellStyle name="Hyperlink" xfId="2255" builtinId="8" hidden="1"/>
    <cellStyle name="Hyperlink" xfId="2257" builtinId="8" hidden="1"/>
    <cellStyle name="Hyperlink" xfId="2259" builtinId="8" hidden="1"/>
    <cellStyle name="Hyperlink" xfId="2261" builtinId="8" hidden="1"/>
    <cellStyle name="Hyperlink" xfId="2263" builtinId="8" hidden="1"/>
    <cellStyle name="Hyperlink" xfId="2265" builtinId="8" hidden="1"/>
    <cellStyle name="Hyperlink" xfId="2267" builtinId="8" hidden="1"/>
    <cellStyle name="Hyperlink" xfId="2269" builtinId="8" hidden="1"/>
    <cellStyle name="Hyperlink" xfId="2271" builtinId="8" hidden="1"/>
    <cellStyle name="Hyperlink" xfId="2273" builtinId="8" hidden="1"/>
    <cellStyle name="Hyperlink" xfId="2275" builtinId="8" hidden="1"/>
    <cellStyle name="Hyperlink" xfId="2277" builtinId="8" hidden="1"/>
    <cellStyle name="Hyperlink" xfId="2279" builtinId="8" hidden="1"/>
    <cellStyle name="Hyperlink" xfId="2281" builtinId="8" hidden="1"/>
    <cellStyle name="Hyperlink" xfId="2283" builtinId="8" hidden="1"/>
    <cellStyle name="Hyperlink" xfId="2285" builtinId="8" hidden="1"/>
    <cellStyle name="Hyperlink" xfId="2287" builtinId="8" hidden="1"/>
    <cellStyle name="Hyperlink" xfId="2289" builtinId="8" hidden="1"/>
    <cellStyle name="Hyperlink" xfId="2291" builtinId="8" hidden="1"/>
    <cellStyle name="Hyperlink" xfId="2293" builtinId="8" hidden="1"/>
    <cellStyle name="Hyperlink" xfId="2295" builtinId="8" hidden="1"/>
    <cellStyle name="Hyperlink" xfId="2297" builtinId="8" hidden="1"/>
    <cellStyle name="Hyperlink" xfId="2299" builtinId="8" hidden="1"/>
    <cellStyle name="Hyperlink" xfId="2301" builtinId="8" hidden="1"/>
    <cellStyle name="Hyperlink" xfId="2303" builtinId="8" hidden="1"/>
    <cellStyle name="Hyperlink" xfId="2305" builtinId="8" hidden="1"/>
    <cellStyle name="Hyperlink" xfId="2307" builtinId="8" hidden="1"/>
    <cellStyle name="Hyperlink" xfId="2309" builtinId="8" hidden="1"/>
    <cellStyle name="Hyperlink" xfId="2311" builtinId="8" hidden="1"/>
    <cellStyle name="Hyperlink" xfId="2313" builtinId="8" hidden="1"/>
    <cellStyle name="Hyperlink" xfId="2315" builtinId="8" hidden="1"/>
    <cellStyle name="Hyperlink" xfId="2317" builtinId="8" hidden="1"/>
    <cellStyle name="Hyperlink" xfId="2319" builtinId="8" hidden="1"/>
    <cellStyle name="Hyperlink" xfId="2321" builtinId="8" hidden="1"/>
    <cellStyle name="Hyperlink" xfId="2323" builtinId="8" hidden="1"/>
    <cellStyle name="Hyperlink" xfId="2325" builtinId="8" hidden="1"/>
    <cellStyle name="Hyperlink" xfId="2327" builtinId="8" hidden="1"/>
    <cellStyle name="Hyperlink" xfId="2329" builtinId="8" hidden="1"/>
    <cellStyle name="Hyperlink" xfId="2331" builtinId="8" hidden="1"/>
    <cellStyle name="Hyperlink" xfId="2333" builtinId="8" hidden="1"/>
    <cellStyle name="Hyperlink" xfId="2335" builtinId="8" hidden="1"/>
    <cellStyle name="Hyperlink" xfId="2337" builtinId="8" hidden="1"/>
    <cellStyle name="Hyperlink" xfId="2339" builtinId="8" hidden="1"/>
    <cellStyle name="Hyperlink" xfId="2341" builtinId="8" hidden="1"/>
    <cellStyle name="Hyperlink" xfId="2343" builtinId="8" hidden="1"/>
    <cellStyle name="Hyperlink" xfId="2345" builtinId="8" hidden="1"/>
    <cellStyle name="Hyperlink" xfId="2347" builtinId="8" hidden="1"/>
    <cellStyle name="Hyperlink" xfId="2349" builtinId="8" hidden="1"/>
    <cellStyle name="Hyperlink" xfId="2351" builtinId="8" hidden="1"/>
    <cellStyle name="Hyperlink" xfId="2353" builtinId="8" hidden="1"/>
    <cellStyle name="Hyperlink" xfId="2355" builtinId="8" hidden="1"/>
    <cellStyle name="Hyperlink" xfId="2357" builtinId="8" hidden="1"/>
    <cellStyle name="Hyperlink" xfId="2359" builtinId="8" hidden="1"/>
    <cellStyle name="Hyperlink" xfId="2361" builtinId="8" hidden="1"/>
    <cellStyle name="Hyperlink" xfId="2363" builtinId="8" hidden="1"/>
    <cellStyle name="Hyperlink" xfId="2365" builtinId="8" hidden="1"/>
    <cellStyle name="Hyperlink" xfId="2367" builtinId="8" hidden="1"/>
    <cellStyle name="Hyperlink" xfId="2369" builtinId="8" hidden="1"/>
    <cellStyle name="Hyperlink" xfId="2371" builtinId="8" hidden="1"/>
    <cellStyle name="Hyperlink" xfId="2373" builtinId="8" hidden="1"/>
    <cellStyle name="Hyperlink" xfId="2375" builtinId="8" hidden="1"/>
    <cellStyle name="Hyperlink" xfId="2377" builtinId="8" hidden="1"/>
    <cellStyle name="Hyperlink" xfId="2379" builtinId="8" hidden="1"/>
    <cellStyle name="Hyperlink" xfId="2381" builtinId="8" hidden="1"/>
    <cellStyle name="Hyperlink" xfId="2383" builtinId="8" hidden="1"/>
    <cellStyle name="Hyperlink" xfId="2385" builtinId="8" hidden="1"/>
    <cellStyle name="Hyperlink" xfId="2387" builtinId="8" hidden="1"/>
    <cellStyle name="Hyperlink" xfId="2389" builtinId="8" hidden="1"/>
    <cellStyle name="Hyperlink" xfId="2391" builtinId="8" hidden="1"/>
    <cellStyle name="Hyperlink" xfId="2393" builtinId="8" hidden="1"/>
    <cellStyle name="Hyperlink" xfId="2395" builtinId="8" hidden="1"/>
    <cellStyle name="Hyperlink" xfId="2397" builtinId="8" hidden="1"/>
    <cellStyle name="Hyperlink" xfId="2399" builtinId="8" hidden="1"/>
    <cellStyle name="Hyperlink" xfId="2401" builtinId="8" hidden="1"/>
    <cellStyle name="Hyperlink" xfId="2403" builtinId="8" hidden="1"/>
    <cellStyle name="Hyperlink" xfId="2405" builtinId="8" hidden="1"/>
    <cellStyle name="Hyperlink" xfId="2407" builtinId="8" hidden="1"/>
    <cellStyle name="Hyperlink" xfId="2409" builtinId="8" hidden="1"/>
    <cellStyle name="Hyperlink" xfId="2411" builtinId="8" hidden="1"/>
    <cellStyle name="Hyperlink" xfId="2413" builtinId="8" hidden="1"/>
    <cellStyle name="Hyperlink" xfId="2415" builtinId="8" hidden="1"/>
    <cellStyle name="Hyperlink" xfId="2417" builtinId="8" hidden="1"/>
    <cellStyle name="Hyperlink" xfId="2419" builtinId="8" hidden="1"/>
    <cellStyle name="Hyperlink" xfId="2421" builtinId="8" hidden="1"/>
    <cellStyle name="Hyperlink" xfId="2423" builtinId="8" hidden="1"/>
    <cellStyle name="Hyperlink" xfId="2425" builtinId="8" hidden="1"/>
    <cellStyle name="Hyperlink" xfId="2427" builtinId="8" hidden="1"/>
    <cellStyle name="Hyperlink" xfId="2429" builtinId="8" hidden="1"/>
    <cellStyle name="Hyperlink" xfId="2431" builtinId="8" hidden="1"/>
    <cellStyle name="Hyperlink" xfId="2433" builtinId="8" hidden="1"/>
    <cellStyle name="Hyperlink" xfId="2435" builtinId="8" hidden="1"/>
    <cellStyle name="Hyperlink" xfId="2437" builtinId="8" hidden="1"/>
    <cellStyle name="Hyperlink" xfId="2439" builtinId="8" hidden="1"/>
    <cellStyle name="Hyperlink" xfId="2441" builtinId="8" hidden="1"/>
    <cellStyle name="Hyperlink" xfId="2443" builtinId="8" hidden="1"/>
    <cellStyle name="Hyperlink" xfId="2445" builtinId="8" hidden="1"/>
    <cellStyle name="Hyperlink" xfId="2447" builtinId="8" hidden="1"/>
    <cellStyle name="Hyperlink" xfId="2449" builtinId="8" hidden="1"/>
    <cellStyle name="Hyperlink" xfId="2451" builtinId="8" hidden="1"/>
    <cellStyle name="Hyperlink" xfId="2453" builtinId="8" hidden="1"/>
    <cellStyle name="Hyperlink" xfId="2455" builtinId="8" hidden="1"/>
    <cellStyle name="Hyperlink" xfId="2457" builtinId="8" hidden="1"/>
    <cellStyle name="Hyperlink" xfId="2459" builtinId="8" hidden="1"/>
    <cellStyle name="Hyperlink" xfId="2461" builtinId="8" hidden="1"/>
    <cellStyle name="Hyperlink" xfId="2463" builtinId="8" hidden="1"/>
    <cellStyle name="Hyperlink" xfId="2465" builtinId="8" hidden="1"/>
    <cellStyle name="Hyperlink" xfId="2467" builtinId="8" hidden="1"/>
    <cellStyle name="Hyperlink" xfId="2469" builtinId="8" hidden="1"/>
    <cellStyle name="Hyperlink" xfId="2471" builtinId="8" hidden="1"/>
    <cellStyle name="Hyperlink" xfId="2473" builtinId="8" hidden="1"/>
    <cellStyle name="Hyperlink" xfId="2475" builtinId="8" hidden="1"/>
    <cellStyle name="Hyperlink" xfId="2477" builtinId="8" hidden="1"/>
    <cellStyle name="Hyperlink" xfId="2479" builtinId="8" hidden="1"/>
    <cellStyle name="Hyperlink" xfId="2481" builtinId="8" hidden="1"/>
    <cellStyle name="Hyperlink" xfId="2483" builtinId="8" hidden="1"/>
    <cellStyle name="Hyperlink" xfId="2485" builtinId="8" hidden="1"/>
    <cellStyle name="Hyperlink" xfId="2487" builtinId="8" hidden="1"/>
    <cellStyle name="Hyperlink" xfId="2489" builtinId="8" hidden="1"/>
    <cellStyle name="Hyperlink" xfId="2491" builtinId="8" hidden="1"/>
    <cellStyle name="Hyperlink" xfId="2493" builtinId="8" hidden="1"/>
    <cellStyle name="Hyperlink" xfId="2495" builtinId="8" hidden="1"/>
    <cellStyle name="Hyperlink" xfId="2497" builtinId="8" hidden="1"/>
    <cellStyle name="Hyperlink" xfId="2499" builtinId="8" hidden="1"/>
    <cellStyle name="Hyperlink" xfId="2501" builtinId="8" hidden="1"/>
    <cellStyle name="Hyperlink" xfId="2503" builtinId="8" hidden="1"/>
    <cellStyle name="Hyperlink" xfId="2505" builtinId="8" hidden="1"/>
    <cellStyle name="Hyperlink" xfId="2507" builtinId="8" hidden="1"/>
    <cellStyle name="Hyperlink" xfId="2509" builtinId="8" hidden="1"/>
    <cellStyle name="Hyperlink" xfId="2511" builtinId="8" hidden="1"/>
    <cellStyle name="Hyperlink" xfId="2513" builtinId="8" hidden="1"/>
    <cellStyle name="Hyperlink" xfId="2515" builtinId="8" hidden="1"/>
    <cellStyle name="Hyperlink" xfId="2517" builtinId="8" hidden="1"/>
    <cellStyle name="Hyperlink" xfId="2519" builtinId="8" hidden="1"/>
    <cellStyle name="Hyperlink" xfId="2521" builtinId="8" hidden="1"/>
    <cellStyle name="Hyperlink" xfId="2523" builtinId="8" hidden="1"/>
    <cellStyle name="Hyperlink" xfId="2525" builtinId="8" hidden="1"/>
    <cellStyle name="Hyperlink" xfId="2527" builtinId="8" hidden="1"/>
    <cellStyle name="Hyperlink" xfId="2529" builtinId="8" hidden="1"/>
    <cellStyle name="Hyperlink" xfId="2531" builtinId="8" hidden="1"/>
    <cellStyle name="Hyperlink" xfId="2533" builtinId="8" hidden="1"/>
    <cellStyle name="Hyperlink" xfId="2535" builtinId="8" hidden="1"/>
    <cellStyle name="Hyperlink" xfId="2537" builtinId="8" hidden="1"/>
    <cellStyle name="Hyperlink" xfId="2539" builtinId="8" hidden="1"/>
    <cellStyle name="Hyperlink" xfId="2541" builtinId="8" hidden="1"/>
    <cellStyle name="Hyperlink" xfId="2543" builtinId="8" hidden="1"/>
    <cellStyle name="Hyperlink" xfId="2545" builtinId="8" hidden="1"/>
    <cellStyle name="Hyperlink" xfId="2547" builtinId="8" hidden="1"/>
    <cellStyle name="Hyperlink" xfId="2549" builtinId="8" hidden="1"/>
    <cellStyle name="Hyperlink" xfId="2551" builtinId="8" hidden="1"/>
    <cellStyle name="Hyperlink" xfId="2553" builtinId="8" hidden="1"/>
    <cellStyle name="Hyperlink" xfId="2555" builtinId="8" hidden="1"/>
    <cellStyle name="Hyperlink" xfId="2557" builtinId="8" hidden="1"/>
    <cellStyle name="Hyperlink" xfId="2559" builtinId="8" hidden="1"/>
    <cellStyle name="Hyperlink" xfId="2561" builtinId="8" hidden="1"/>
    <cellStyle name="Hyperlink" xfId="2563" builtinId="8" hidden="1"/>
    <cellStyle name="Hyperlink" xfId="2565" builtinId="8" hidden="1"/>
    <cellStyle name="Hyperlink" xfId="2567" builtinId="8" hidden="1"/>
    <cellStyle name="Hyperlink" xfId="2569" builtinId="8" hidden="1"/>
    <cellStyle name="Hyperlink" xfId="2571" builtinId="8" hidden="1"/>
    <cellStyle name="Hyperlink" xfId="2573" builtinId="8" hidden="1"/>
    <cellStyle name="Hyperlink" xfId="2575" builtinId="8" hidden="1"/>
    <cellStyle name="Hyperlink" xfId="2577" builtinId="8" hidden="1"/>
    <cellStyle name="Hyperlink" xfId="2579" builtinId="8" hidden="1"/>
    <cellStyle name="Hyperlink" xfId="2581" builtinId="8" hidden="1"/>
    <cellStyle name="Hyperlink" xfId="2583" builtinId="8" hidden="1"/>
    <cellStyle name="Hyperlink" xfId="2585" builtinId="8" hidden="1"/>
    <cellStyle name="Hyperlink" xfId="2587" builtinId="8" hidden="1"/>
    <cellStyle name="Hyperlink" xfId="2589" builtinId="8" hidden="1"/>
    <cellStyle name="Hyperlink" xfId="2591" builtinId="8" hidden="1"/>
    <cellStyle name="Hyperlink" xfId="2593" builtinId="8" hidden="1"/>
    <cellStyle name="Hyperlink" xfId="2595" builtinId="8" hidden="1"/>
    <cellStyle name="Hyperlink" xfId="2597" builtinId="8" hidden="1"/>
    <cellStyle name="Hyperlink" xfId="2599" builtinId="8" hidden="1"/>
    <cellStyle name="Hyperlink" xfId="2601" builtinId="8" hidden="1"/>
    <cellStyle name="Hyperlink" xfId="2603" builtinId="8" hidden="1"/>
    <cellStyle name="Hyperlink" xfId="2605" builtinId="8" hidden="1"/>
    <cellStyle name="Hyperlink" xfId="2607" builtinId="8" hidden="1"/>
    <cellStyle name="Hyperlink" xfId="2609" builtinId="8" hidden="1"/>
    <cellStyle name="Hyperlink" xfId="2611" builtinId="8" hidden="1"/>
    <cellStyle name="Hyperlink" xfId="2613" builtinId="8" hidden="1"/>
    <cellStyle name="Hyperlink" xfId="2615" builtinId="8" hidden="1"/>
    <cellStyle name="Hyperlink" xfId="2617" builtinId="8" hidden="1"/>
    <cellStyle name="Hyperlink" xfId="2619" builtinId="8" hidden="1"/>
    <cellStyle name="Hyperlink" xfId="2621" builtinId="8" hidden="1"/>
    <cellStyle name="Hyperlink" xfId="2623" builtinId="8" hidden="1"/>
    <cellStyle name="Hyperlink" xfId="2625" builtinId="8" hidden="1"/>
    <cellStyle name="Hyperlink" xfId="2627" builtinId="8" hidden="1"/>
    <cellStyle name="Hyperlink" xfId="2629" builtinId="8" hidden="1"/>
    <cellStyle name="Hyperlink" xfId="2631" builtinId="8" hidden="1"/>
    <cellStyle name="Hyperlink" xfId="2633" builtinId="8" hidden="1"/>
    <cellStyle name="Hyperlink" xfId="2635" builtinId="8" hidden="1"/>
    <cellStyle name="Hyperlink" xfId="2637" builtinId="8" hidden="1"/>
    <cellStyle name="Hyperlink" xfId="2639" builtinId="8" hidden="1"/>
    <cellStyle name="Hyperlink" xfId="2641" builtinId="8" hidden="1"/>
    <cellStyle name="Hyperlink" xfId="2643" builtinId="8" hidden="1"/>
    <cellStyle name="Hyperlink" xfId="2645" builtinId="8" hidden="1"/>
    <cellStyle name="Hyperlink" xfId="2647" builtinId="8" hidden="1"/>
    <cellStyle name="Hyperlink" xfId="2649" builtinId="8" hidden="1"/>
    <cellStyle name="Hyperlink" xfId="2651" builtinId="8" hidden="1"/>
    <cellStyle name="Hyperlink" xfId="2653" builtinId="8" hidden="1"/>
    <cellStyle name="Hyperlink" xfId="2655" builtinId="8" hidden="1"/>
    <cellStyle name="Hyperlink" xfId="2657" builtinId="8" hidden="1"/>
    <cellStyle name="Hyperlink" xfId="2659" builtinId="8" hidden="1"/>
    <cellStyle name="Hyperlink" xfId="2661" builtinId="8" hidden="1"/>
    <cellStyle name="Hyperlink" xfId="2663" builtinId="8" hidden="1"/>
    <cellStyle name="Hyperlink" xfId="2665" builtinId="8" hidden="1"/>
    <cellStyle name="Hyperlink" xfId="2667" builtinId="8" hidden="1"/>
    <cellStyle name="Hyperlink" xfId="2669" builtinId="8" hidden="1"/>
    <cellStyle name="Hyperlink" xfId="2671" builtinId="8" hidden="1"/>
    <cellStyle name="Hyperlink" xfId="2673" builtinId="8" hidden="1"/>
    <cellStyle name="Hyperlink" xfId="2675" builtinId="8" hidden="1"/>
    <cellStyle name="Hyperlink" xfId="2677" builtinId="8" hidden="1"/>
    <cellStyle name="Hyperlink" xfId="2679" builtinId="8" hidden="1"/>
    <cellStyle name="Hyperlink" xfId="2681" builtinId="8" hidden="1"/>
    <cellStyle name="Hyperlink" xfId="2683" builtinId="8" hidden="1"/>
    <cellStyle name="Hyperlink" xfId="2685" builtinId="8" hidden="1"/>
    <cellStyle name="Hyperlink" xfId="2687" builtinId="8" hidden="1"/>
    <cellStyle name="Hyperlink" xfId="2689" builtinId="8" hidden="1"/>
    <cellStyle name="Hyperlink" xfId="2691" builtinId="8" hidden="1"/>
    <cellStyle name="Hyperlink" xfId="2693" builtinId="8" hidden="1"/>
    <cellStyle name="Hyperlink" xfId="2695" builtinId="8" hidden="1"/>
    <cellStyle name="Hyperlink" xfId="2697" builtinId="8" hidden="1"/>
    <cellStyle name="Hyperlink" xfId="2699" builtinId="8" hidden="1"/>
    <cellStyle name="Hyperlink" xfId="2701" builtinId="8" hidden="1"/>
    <cellStyle name="Hyperlink" xfId="2703" builtinId="8" hidden="1"/>
    <cellStyle name="Hyperlink" xfId="2705" builtinId="8" hidden="1"/>
    <cellStyle name="Hyperlink" xfId="2707" builtinId="8" hidden="1"/>
    <cellStyle name="Hyperlink" xfId="2709" builtinId="8" hidden="1"/>
    <cellStyle name="Hyperlink" xfId="2711" builtinId="8" hidden="1"/>
    <cellStyle name="Hyperlink" xfId="2713" builtinId="8" hidden="1"/>
    <cellStyle name="Hyperlink" xfId="2715" builtinId="8" hidden="1"/>
    <cellStyle name="Hyperlink" xfId="2717" builtinId="8" hidden="1"/>
    <cellStyle name="Hyperlink" xfId="2719" builtinId="8" hidden="1"/>
    <cellStyle name="Hyperlink" xfId="2721" builtinId="8" hidden="1"/>
    <cellStyle name="Hyperlink" xfId="2723" builtinId="8" hidden="1"/>
    <cellStyle name="Hyperlink" xfId="2725" builtinId="8" hidden="1"/>
    <cellStyle name="Hyperlink" xfId="2727" builtinId="8" hidden="1"/>
    <cellStyle name="Hyperlink" xfId="2729" builtinId="8" hidden="1"/>
    <cellStyle name="Hyperlink" xfId="2731" builtinId="8" hidden="1"/>
    <cellStyle name="Hyperlink" xfId="2733" builtinId="8" hidden="1"/>
    <cellStyle name="Hyperlink" xfId="2735" builtinId="8" hidden="1"/>
    <cellStyle name="Hyperlink" xfId="2737" builtinId="8" hidden="1"/>
    <cellStyle name="Hyperlink" xfId="2739" builtinId="8" hidden="1"/>
    <cellStyle name="Hyperlink" xfId="2741" builtinId="8" hidden="1"/>
    <cellStyle name="Hyperlink" xfId="2743" builtinId="8" hidden="1"/>
    <cellStyle name="Hyperlink" xfId="2745" builtinId="8" hidden="1"/>
    <cellStyle name="Hyperlink" xfId="2747" builtinId="8" hidden="1"/>
    <cellStyle name="Hyperlink" xfId="2749" builtinId="8" hidden="1"/>
    <cellStyle name="Hyperlink" xfId="2751" builtinId="8" hidden="1"/>
    <cellStyle name="Hyperlink" xfId="2753" builtinId="8" hidden="1"/>
    <cellStyle name="Hyperlink" xfId="2755" builtinId="8" hidden="1"/>
    <cellStyle name="Hyperlink" xfId="2757" builtinId="8" hidden="1"/>
    <cellStyle name="Hyperlink" xfId="2759" builtinId="8" hidden="1"/>
    <cellStyle name="Hyperlink" xfId="2761" builtinId="8" hidden="1"/>
    <cellStyle name="Hyperlink" xfId="2763" builtinId="8" hidden="1"/>
    <cellStyle name="Hyperlink" xfId="2765" builtinId="8" hidden="1"/>
    <cellStyle name="Hyperlink" xfId="2767" builtinId="8" hidden="1"/>
    <cellStyle name="Hyperlink" xfId="2769" builtinId="8" hidden="1"/>
    <cellStyle name="Hyperlink" xfId="2771" builtinId="8" hidden="1"/>
    <cellStyle name="Hyperlink" xfId="2773" builtinId="8" hidden="1"/>
    <cellStyle name="Hyperlink" xfId="2775" builtinId="8" hidden="1"/>
    <cellStyle name="Hyperlink" xfId="2777" builtinId="8" hidden="1"/>
    <cellStyle name="Hyperlink" xfId="2779" builtinId="8" hidden="1"/>
    <cellStyle name="Hyperlink" xfId="2781" builtinId="8" hidden="1"/>
    <cellStyle name="Hyperlink" xfId="2783" builtinId="8" hidden="1"/>
    <cellStyle name="Hyperlink" xfId="2785" builtinId="8" hidden="1"/>
    <cellStyle name="Hyperlink" xfId="2787" builtinId="8" hidden="1"/>
    <cellStyle name="Hyperlink" xfId="2789" builtinId="8" hidden="1"/>
    <cellStyle name="Hyperlink" xfId="2791" builtinId="8" hidden="1"/>
    <cellStyle name="Hyperlink" xfId="2793" builtinId="8" hidden="1"/>
    <cellStyle name="Hyperlink" xfId="2795" builtinId="8" hidden="1"/>
    <cellStyle name="Hyperlink" xfId="2797" builtinId="8" hidden="1"/>
    <cellStyle name="Hyperlink" xfId="2799" builtinId="8" hidden="1"/>
    <cellStyle name="Hyperlink" xfId="2801" builtinId="8" hidden="1"/>
    <cellStyle name="Hyperlink" xfId="2803" builtinId="8" hidden="1"/>
    <cellStyle name="Hyperlink" xfId="2805" builtinId="8" hidden="1"/>
    <cellStyle name="Hyperlink" xfId="2807" builtinId="8" hidden="1"/>
    <cellStyle name="Hyperlink" xfId="2809" builtinId="8" hidden="1"/>
    <cellStyle name="Hyperlink" xfId="2811" builtinId="8" hidden="1"/>
    <cellStyle name="Hyperlink" xfId="2813" builtinId="8" hidden="1"/>
    <cellStyle name="Hyperlink" xfId="2815" builtinId="8" hidden="1"/>
    <cellStyle name="Hyperlink" xfId="2817" builtinId="8" hidden="1"/>
    <cellStyle name="Hyperlink" xfId="2819" builtinId="8" hidden="1"/>
    <cellStyle name="Hyperlink" xfId="2821" builtinId="8" hidden="1"/>
    <cellStyle name="Hyperlink" xfId="2823" builtinId="8" hidden="1"/>
    <cellStyle name="Hyperlink" xfId="2825" builtinId="8" hidden="1"/>
    <cellStyle name="Hyperlink" xfId="2827" builtinId="8" hidden="1"/>
    <cellStyle name="Hyperlink" xfId="2829" builtinId="8" hidden="1"/>
    <cellStyle name="Hyperlink" xfId="2831" builtinId="8" hidden="1"/>
    <cellStyle name="Hyperlink" xfId="2833" builtinId="8" hidden="1"/>
    <cellStyle name="Hyperlink" xfId="2835" builtinId="8" hidden="1"/>
    <cellStyle name="Hyperlink" xfId="2837" builtinId="8" hidden="1"/>
    <cellStyle name="Hyperlink" xfId="2839" builtinId="8" hidden="1"/>
    <cellStyle name="Hyperlink" xfId="2841" builtinId="8" hidden="1"/>
    <cellStyle name="Hyperlink" xfId="2843" builtinId="8" hidden="1"/>
    <cellStyle name="Hyperlink" xfId="2845" builtinId="8" hidden="1"/>
    <cellStyle name="Hyperlink" xfId="2847" builtinId="8" hidden="1"/>
    <cellStyle name="Hyperlink" xfId="2849" builtinId="8" hidden="1"/>
    <cellStyle name="Hyperlink" xfId="2851" builtinId="8" hidden="1"/>
    <cellStyle name="Hyperlink" xfId="2853" builtinId="8" hidden="1"/>
    <cellStyle name="Hyperlink" xfId="2855" builtinId="8" hidden="1"/>
    <cellStyle name="Hyperlink" xfId="2857" builtinId="8" hidden="1"/>
    <cellStyle name="Hyperlink" xfId="2859" builtinId="8" hidden="1"/>
    <cellStyle name="Hyperlink" xfId="2861" builtinId="8" hidden="1"/>
    <cellStyle name="Hyperlink" xfId="2863" builtinId="8" hidden="1"/>
    <cellStyle name="Hyperlink" xfId="2865" builtinId="8" hidden="1"/>
    <cellStyle name="Hyperlink" xfId="2867" builtinId="8" hidden="1"/>
    <cellStyle name="Hyperlink" xfId="2869" builtinId="8" hidden="1"/>
    <cellStyle name="Hyperlink" xfId="2871" builtinId="8" hidden="1"/>
    <cellStyle name="Hyperlink" xfId="2873" builtinId="8" hidden="1"/>
    <cellStyle name="Hyperlink" xfId="2875" builtinId="8" hidden="1"/>
    <cellStyle name="Hyperlink" xfId="2877" builtinId="8" hidden="1"/>
    <cellStyle name="Hyperlink" xfId="2879" builtinId="8" hidden="1"/>
    <cellStyle name="Hyperlink" xfId="2881" builtinId="8" hidden="1"/>
    <cellStyle name="Hyperlink" xfId="2883" builtinId="8" hidden="1"/>
    <cellStyle name="Hyperlink" xfId="2885" builtinId="8" hidden="1"/>
    <cellStyle name="Hyperlink" xfId="2887" builtinId="8" hidden="1"/>
    <cellStyle name="Hyperlink" xfId="2889" builtinId="8" hidden="1"/>
    <cellStyle name="Hyperlink" xfId="2891" builtinId="8" hidden="1"/>
    <cellStyle name="Hyperlink" xfId="2893" builtinId="8" hidden="1"/>
    <cellStyle name="Hyperlink" xfId="2895" builtinId="8" hidden="1"/>
    <cellStyle name="Hyperlink" xfId="2897" builtinId="8" hidden="1"/>
    <cellStyle name="Hyperlink" xfId="2899" builtinId="8" hidden="1"/>
    <cellStyle name="Hyperlink" xfId="2901" builtinId="8" hidden="1"/>
    <cellStyle name="Hyperlink" xfId="2903" builtinId="8" hidden="1"/>
    <cellStyle name="Hyperlink" xfId="2905" builtinId="8" hidden="1"/>
    <cellStyle name="Hyperlink" xfId="2907" builtinId="8" hidden="1"/>
    <cellStyle name="Hyperlink" xfId="2909" builtinId="8" hidden="1"/>
    <cellStyle name="Hyperlink" xfId="2911" builtinId="8" hidden="1"/>
    <cellStyle name="Hyperlink" xfId="2913" builtinId="8" hidden="1"/>
    <cellStyle name="Hyperlink" xfId="2915" builtinId="8" hidden="1"/>
    <cellStyle name="Hyperlink" xfId="2917" builtinId="8" hidden="1"/>
    <cellStyle name="Hyperlink" xfId="2919" builtinId="8" hidden="1"/>
    <cellStyle name="Hyperlink" xfId="2921" builtinId="8" hidden="1"/>
    <cellStyle name="Hyperlink" xfId="2923" builtinId="8" hidden="1"/>
    <cellStyle name="Hyperlink" xfId="2925" builtinId="8" hidden="1"/>
    <cellStyle name="Hyperlink" xfId="2927" builtinId="8" hidden="1"/>
    <cellStyle name="Hyperlink" xfId="2929" builtinId="8" hidden="1"/>
    <cellStyle name="Hyperlink" xfId="2931" builtinId="8" hidden="1"/>
    <cellStyle name="Hyperlink" xfId="2933" builtinId="8" hidden="1"/>
    <cellStyle name="Hyperlink" xfId="2935" builtinId="8" hidden="1"/>
    <cellStyle name="Hyperlink" xfId="2937" builtinId="8" hidden="1"/>
    <cellStyle name="Hyperlink" xfId="2939" builtinId="8" hidden="1"/>
    <cellStyle name="Hyperlink" xfId="2941" builtinId="8" hidden="1"/>
    <cellStyle name="Hyperlink" xfId="2943" builtinId="8" hidden="1"/>
    <cellStyle name="Hyperlink" xfId="2945" builtinId="8" hidden="1"/>
    <cellStyle name="Hyperlink" xfId="2947" builtinId="8" hidden="1"/>
    <cellStyle name="Hyperlink" xfId="2949" builtinId="8" hidden="1"/>
    <cellStyle name="Hyperlink" xfId="2951" builtinId="8" hidden="1"/>
    <cellStyle name="Hyperlink" xfId="2953" builtinId="8" hidden="1"/>
    <cellStyle name="Hyperlink" xfId="2955" builtinId="8" hidden="1"/>
    <cellStyle name="Hyperlink" xfId="2957" builtinId="8" hidden="1"/>
    <cellStyle name="Hyperlink" xfId="2959" builtinId="8" hidden="1"/>
    <cellStyle name="Hyperlink" xfId="2961" builtinId="8" hidden="1"/>
    <cellStyle name="Hyperlink" xfId="2963" builtinId="8" hidden="1"/>
    <cellStyle name="Hyperlink" xfId="2965" builtinId="8" hidden="1"/>
    <cellStyle name="Hyperlink" xfId="2967" builtinId="8" hidden="1"/>
    <cellStyle name="Hyperlink" xfId="2969" builtinId="8" hidden="1"/>
    <cellStyle name="Hyperlink" xfId="2971" builtinId="8" hidden="1"/>
    <cellStyle name="Hyperlink" xfId="2973" builtinId="8" hidden="1"/>
    <cellStyle name="Hyperlink" xfId="2975" builtinId="8" hidden="1"/>
    <cellStyle name="Hyperlink" xfId="2977" builtinId="8" hidden="1"/>
    <cellStyle name="Hyperlink" xfId="2979" builtinId="8" hidden="1"/>
    <cellStyle name="Hyperlink" xfId="2981" builtinId="8" hidden="1"/>
    <cellStyle name="Hyperlink" xfId="2983" builtinId="8" hidden="1"/>
    <cellStyle name="Hyperlink" xfId="2985" builtinId="8" hidden="1"/>
    <cellStyle name="Hyperlink" xfId="2987" builtinId="8" hidden="1"/>
    <cellStyle name="Hyperlink" xfId="2989" builtinId="8" hidden="1"/>
    <cellStyle name="Hyperlink" xfId="2991" builtinId="8" hidden="1"/>
    <cellStyle name="Hyperlink" xfId="2993" builtinId="8" hidden="1"/>
    <cellStyle name="Hyperlink" xfId="2995" builtinId="8" hidden="1"/>
    <cellStyle name="Hyperlink" xfId="2997" builtinId="8" hidden="1"/>
    <cellStyle name="Hyperlink" xfId="2999" builtinId="8" hidden="1"/>
    <cellStyle name="Hyperlink" xfId="3001" builtinId="8" hidden="1"/>
    <cellStyle name="Hyperlink" xfId="3003" builtinId="8" hidden="1"/>
    <cellStyle name="Hyperlink" xfId="3005" builtinId="8" hidden="1"/>
    <cellStyle name="Hyperlink" xfId="3007" builtinId="8" hidden="1"/>
    <cellStyle name="Hyperlink" xfId="3009" builtinId="8" hidden="1"/>
    <cellStyle name="Hyperlink" xfId="3011" builtinId="8" hidden="1"/>
    <cellStyle name="Hyperlink" xfId="3013" builtinId="8" hidden="1"/>
    <cellStyle name="Hyperlink" xfId="3015" builtinId="8" hidden="1"/>
    <cellStyle name="Hyperlink" xfId="3017" builtinId="8" hidden="1"/>
    <cellStyle name="Hyperlink" xfId="3019" builtinId="8" hidden="1"/>
    <cellStyle name="Hyperlink" xfId="3021" builtinId="8" hidden="1"/>
    <cellStyle name="Hyperlink" xfId="3023" builtinId="8" hidden="1"/>
    <cellStyle name="Hyperlink" xfId="3025" builtinId="8" hidden="1"/>
    <cellStyle name="Hyperlink" xfId="3027" builtinId="8" hidden="1"/>
    <cellStyle name="Hyperlink" xfId="3029" builtinId="8" hidden="1"/>
    <cellStyle name="Hyperlink" xfId="3031" builtinId="8" hidden="1"/>
    <cellStyle name="Hyperlink" xfId="3033" builtinId="8" hidden="1"/>
    <cellStyle name="Hyperlink" xfId="3035" builtinId="8" hidden="1"/>
    <cellStyle name="Hyperlink" xfId="3037" builtinId="8" hidden="1"/>
    <cellStyle name="Hyperlink" xfId="3039" builtinId="8" hidden="1"/>
    <cellStyle name="Hyperlink" xfId="3041" builtinId="8" hidden="1"/>
    <cellStyle name="Hyperlink" xfId="3043" builtinId="8" hidden="1"/>
    <cellStyle name="Hyperlink" xfId="3045" builtinId="8" hidden="1"/>
    <cellStyle name="Hyperlink" xfId="3047" builtinId="8" hidden="1"/>
    <cellStyle name="Hyperlink" xfId="3049" builtinId="8" hidden="1"/>
    <cellStyle name="Hyperlink" xfId="3051" builtinId="8" hidden="1"/>
    <cellStyle name="Hyperlink" xfId="3053" builtinId="8" hidden="1"/>
    <cellStyle name="Hyperlink" xfId="3055" builtinId="8" hidden="1"/>
    <cellStyle name="Hyperlink" xfId="3057" builtinId="8" hidden="1"/>
    <cellStyle name="Hyperlink" xfId="3059" builtinId="8" hidden="1"/>
    <cellStyle name="Hyperlink" xfId="3061" builtinId="8" hidden="1"/>
    <cellStyle name="Hyperlink" xfId="3063" builtinId="8" hidden="1"/>
    <cellStyle name="Hyperlink" xfId="3065" builtinId="8" hidden="1"/>
    <cellStyle name="Hyperlink" xfId="3067" builtinId="8" hidden="1"/>
    <cellStyle name="Hyperlink" xfId="3069" builtinId="8" hidden="1"/>
    <cellStyle name="Hyperlink" xfId="3071" builtinId="8" hidden="1"/>
    <cellStyle name="Hyperlink" xfId="3073" builtinId="8" hidden="1"/>
    <cellStyle name="Hyperlink" xfId="3075" builtinId="8" hidden="1"/>
    <cellStyle name="Hyperlink" xfId="3077" builtinId="8" hidden="1"/>
    <cellStyle name="Hyperlink" xfId="3079" builtinId="8" hidden="1"/>
    <cellStyle name="Hyperlink" xfId="3081" builtinId="8" hidden="1"/>
    <cellStyle name="Hyperlink" xfId="3083" builtinId="8" hidden="1"/>
    <cellStyle name="Hyperlink" xfId="3085" builtinId="8" hidden="1"/>
    <cellStyle name="Hyperlink" xfId="3087" builtinId="8" hidden="1"/>
    <cellStyle name="Hyperlink" xfId="3089" builtinId="8" hidden="1"/>
    <cellStyle name="Hyperlink" xfId="3091" builtinId="8" hidden="1"/>
    <cellStyle name="Hyperlink" xfId="3093" builtinId="8" hidden="1"/>
    <cellStyle name="Hyperlink" xfId="3095" builtinId="8" hidden="1"/>
    <cellStyle name="Hyperlink" xfId="3097" builtinId="8" hidden="1"/>
    <cellStyle name="Hyperlink" xfId="3099" builtinId="8" hidden="1"/>
    <cellStyle name="Hyperlink" xfId="3101" builtinId="8" hidden="1"/>
    <cellStyle name="Hyperlink" xfId="3103" builtinId="8" hidden="1"/>
    <cellStyle name="Hyperlink" xfId="3105" builtinId="8" hidden="1"/>
    <cellStyle name="Hyperlink" xfId="3107" builtinId="8" hidden="1"/>
    <cellStyle name="Hyperlink" xfId="3109" builtinId="8" hidden="1"/>
    <cellStyle name="Hyperlink" xfId="3111" builtinId="8" hidden="1"/>
    <cellStyle name="Hyperlink" xfId="3113" builtinId="8" hidden="1"/>
    <cellStyle name="Hyperlink" xfId="3115" builtinId="8" hidden="1"/>
    <cellStyle name="Hyperlink" xfId="3117" builtinId="8" hidden="1"/>
    <cellStyle name="Hyperlink" xfId="3119" builtinId="8" hidden="1"/>
    <cellStyle name="Hyperlink" xfId="3121" builtinId="8" hidden="1"/>
    <cellStyle name="Hyperlink" xfId="3123" builtinId="8" hidden="1"/>
    <cellStyle name="Hyperlink" xfId="3125" builtinId="8" hidden="1"/>
    <cellStyle name="Hyperlink" xfId="3127" builtinId="8" hidden="1"/>
    <cellStyle name="Hyperlink" xfId="3129" builtinId="8" hidden="1"/>
    <cellStyle name="Hyperlink" xfId="3131" builtinId="8" hidden="1"/>
    <cellStyle name="Hyperlink" xfId="3133" builtinId="8" hidden="1"/>
    <cellStyle name="Hyperlink" xfId="3135" builtinId="8" hidden="1"/>
    <cellStyle name="Hyperlink" xfId="3137" builtinId="8" hidden="1"/>
    <cellStyle name="Hyperlink" xfId="3139" builtinId="8" hidden="1"/>
    <cellStyle name="Hyperlink" xfId="3141" builtinId="8" hidden="1"/>
    <cellStyle name="Hyperlink" xfId="3143" builtinId="8" hidden="1"/>
    <cellStyle name="Hyperlink" xfId="3145" builtinId="8" hidden="1"/>
    <cellStyle name="Hyperlink" xfId="3147" builtinId="8" hidden="1"/>
    <cellStyle name="Hyperlink" xfId="3149" builtinId="8" hidden="1"/>
    <cellStyle name="Hyperlink" xfId="3151" builtinId="8" hidden="1"/>
    <cellStyle name="Hyperlink" xfId="3153" builtinId="8" hidden="1"/>
    <cellStyle name="Hyperlink" xfId="3155" builtinId="8" hidden="1"/>
    <cellStyle name="Hyperlink" xfId="3157" builtinId="8" hidden="1"/>
    <cellStyle name="Hyperlink" xfId="3159" builtinId="8" hidden="1"/>
    <cellStyle name="Hyperlink" xfId="3161" builtinId="8" hidden="1"/>
    <cellStyle name="Hyperlink" xfId="3163" builtinId="8" hidden="1"/>
    <cellStyle name="Hyperlink" xfId="3165" builtinId="8" hidden="1"/>
    <cellStyle name="Hyperlink" xfId="3167" builtinId="8" hidden="1"/>
    <cellStyle name="Hyperlink" xfId="3169" builtinId="8" hidden="1"/>
    <cellStyle name="Hyperlink" xfId="3171" builtinId="8" hidden="1"/>
    <cellStyle name="Hyperlink" xfId="3173" builtinId="8" hidden="1"/>
    <cellStyle name="Hyperlink" xfId="3175" builtinId="8" hidden="1"/>
    <cellStyle name="Hyperlink" xfId="3177" builtinId="8" hidden="1"/>
    <cellStyle name="Hyperlink" xfId="3179" builtinId="8" hidden="1"/>
    <cellStyle name="Hyperlink" xfId="3181" builtinId="8" hidden="1"/>
    <cellStyle name="Hyperlink" xfId="3183" builtinId="8" hidden="1"/>
    <cellStyle name="Hyperlink" xfId="3185" builtinId="8" hidden="1"/>
    <cellStyle name="Hyperlink" xfId="3187" builtinId="8" hidden="1"/>
    <cellStyle name="Hyperlink" xfId="3189" builtinId="8" hidden="1"/>
    <cellStyle name="Hyperlink" xfId="3191" builtinId="8" hidden="1"/>
    <cellStyle name="Hyperlink" xfId="3193" builtinId="8" hidden="1"/>
    <cellStyle name="Hyperlink" xfId="3195" builtinId="8" hidden="1"/>
    <cellStyle name="Hyperlink" xfId="3197" builtinId="8" hidden="1"/>
    <cellStyle name="Hyperlink" xfId="3199" builtinId="8" hidden="1"/>
    <cellStyle name="Hyperlink" xfId="3201" builtinId="8" hidden="1"/>
    <cellStyle name="Hyperlink" xfId="3203" builtinId="8" hidden="1"/>
    <cellStyle name="Hyperlink" xfId="3205" builtinId="8" hidden="1"/>
    <cellStyle name="Hyperlink" xfId="3207" builtinId="8" hidden="1"/>
    <cellStyle name="Hyperlink" xfId="3209" builtinId="8" hidden="1"/>
    <cellStyle name="Hyperlink" xfId="3211" builtinId="8" hidden="1"/>
    <cellStyle name="Hyperlink" xfId="3213" builtinId="8" hidden="1"/>
    <cellStyle name="Hyperlink" xfId="3215" builtinId="8" hidden="1"/>
    <cellStyle name="Hyperlink" xfId="3217" builtinId="8" hidden="1"/>
    <cellStyle name="Hyperlink" xfId="3219" builtinId="8" hidden="1"/>
    <cellStyle name="Hyperlink" xfId="3221" builtinId="8" hidden="1"/>
    <cellStyle name="Hyperlink" xfId="3223" builtinId="8" hidden="1"/>
    <cellStyle name="Hyperlink" xfId="3225" builtinId="8" hidden="1"/>
    <cellStyle name="Hyperlink" xfId="3227" builtinId="8" hidden="1"/>
    <cellStyle name="Hyperlink" xfId="3229" builtinId="8" hidden="1"/>
    <cellStyle name="Hyperlink" xfId="3231" builtinId="8" hidden="1"/>
    <cellStyle name="Hyperlink" xfId="3233" builtinId="8" hidden="1"/>
    <cellStyle name="Hyperlink" xfId="3235" builtinId="8" hidden="1"/>
    <cellStyle name="Hyperlink" xfId="3237" builtinId="8" hidden="1"/>
    <cellStyle name="Hyperlink" xfId="3239" builtinId="8" hidden="1"/>
    <cellStyle name="Hyperlink" xfId="3241" builtinId="8" hidden="1"/>
    <cellStyle name="Hyperlink" xfId="3243" builtinId="8" hidden="1"/>
    <cellStyle name="Hyperlink" xfId="3245" builtinId="8" hidden="1"/>
    <cellStyle name="Hyperlink" xfId="3247" builtinId="8" hidden="1"/>
    <cellStyle name="Hyperlink" xfId="3249" builtinId="8" hidden="1"/>
    <cellStyle name="Hyperlink" xfId="3251" builtinId="8" hidden="1"/>
    <cellStyle name="Hyperlink" xfId="3253" builtinId="8" hidden="1"/>
    <cellStyle name="Hyperlink" xfId="3255" builtinId="8" hidden="1"/>
    <cellStyle name="Hyperlink" xfId="3257" builtinId="8" hidden="1"/>
    <cellStyle name="Hyperlink" xfId="3259" builtinId="8" hidden="1"/>
    <cellStyle name="Hyperlink" xfId="3261" builtinId="8" hidden="1"/>
    <cellStyle name="Hyperlink" xfId="3263" builtinId="8" hidden="1"/>
    <cellStyle name="Hyperlink" xfId="3265" builtinId="8" hidden="1"/>
    <cellStyle name="Hyperlink" xfId="3267" builtinId="8" hidden="1"/>
    <cellStyle name="Hyperlink" xfId="3269" builtinId="8" hidden="1"/>
    <cellStyle name="Hyperlink" xfId="3271" builtinId="8" hidden="1"/>
    <cellStyle name="Hyperlink" xfId="3273" builtinId="8" hidden="1"/>
    <cellStyle name="Hyperlink" xfId="3275" builtinId="8" hidden="1"/>
    <cellStyle name="Hyperlink" xfId="3277" builtinId="8" hidden="1"/>
    <cellStyle name="Hyperlink" xfId="3279" builtinId="8" hidden="1"/>
    <cellStyle name="Hyperlink" xfId="3281" builtinId="8" hidden="1"/>
    <cellStyle name="Hyperlink" xfId="3283" builtinId="8" hidden="1"/>
    <cellStyle name="Hyperlink" xfId="3285" builtinId="8" hidden="1"/>
    <cellStyle name="Hyperlink" xfId="3287" builtinId="8" hidden="1"/>
    <cellStyle name="Hyperlink" xfId="3289" builtinId="8" hidden="1"/>
    <cellStyle name="Hyperlink" xfId="3291" builtinId="8" hidden="1"/>
    <cellStyle name="Hyperlink" xfId="3293" builtinId="8" hidden="1"/>
    <cellStyle name="Hyperlink" xfId="3295" builtinId="8" hidden="1"/>
    <cellStyle name="Hyperlink" xfId="3297" builtinId="8" hidden="1"/>
    <cellStyle name="Hyperlink" xfId="3299" builtinId="8" hidden="1"/>
    <cellStyle name="Hyperlink" xfId="3301" builtinId="8" hidden="1"/>
    <cellStyle name="Hyperlink" xfId="3303" builtinId="8" hidden="1"/>
    <cellStyle name="Hyperlink" xfId="3305" builtinId="8" hidden="1"/>
    <cellStyle name="Hyperlink" xfId="3307" builtinId="8" hidden="1"/>
    <cellStyle name="Hyperlink" xfId="3309" builtinId="8" hidden="1"/>
    <cellStyle name="Hyperlink" xfId="3311" builtinId="8" hidden="1"/>
    <cellStyle name="Hyperlink" xfId="3313" builtinId="8" hidden="1"/>
    <cellStyle name="Hyperlink" xfId="3315" builtinId="8" hidden="1"/>
    <cellStyle name="Hyperlink" xfId="3317" builtinId="8" hidden="1"/>
    <cellStyle name="Hyperlink" xfId="3319" builtinId="8" hidden="1"/>
    <cellStyle name="Hyperlink" xfId="3321" builtinId="8" hidden="1"/>
    <cellStyle name="Hyperlink" xfId="3323" builtinId="8" hidden="1"/>
    <cellStyle name="Hyperlink" xfId="3325" builtinId="8" hidden="1"/>
    <cellStyle name="Hyperlink" xfId="3327" builtinId="8" hidden="1"/>
    <cellStyle name="Hyperlink" xfId="3329" builtinId="8" hidden="1"/>
    <cellStyle name="Hyperlink" xfId="3331" builtinId="8" hidden="1"/>
    <cellStyle name="Hyperlink" xfId="3333" builtinId="8" hidden="1"/>
    <cellStyle name="Hyperlink" xfId="3335" builtinId="8" hidden="1"/>
    <cellStyle name="Hyperlink" xfId="3337" builtinId="8" hidden="1"/>
    <cellStyle name="Hyperlink" xfId="3339" builtinId="8" hidden="1"/>
    <cellStyle name="Hyperlink" xfId="3341" builtinId="8" hidden="1"/>
    <cellStyle name="Hyperlink" xfId="3343" builtinId="8" hidden="1"/>
    <cellStyle name="Hyperlink" xfId="3345" builtinId="8" hidden="1"/>
    <cellStyle name="Hyperlink" xfId="3347" builtinId="8" hidden="1"/>
    <cellStyle name="Hyperlink" xfId="3349" builtinId="8" hidden="1"/>
    <cellStyle name="Hyperlink" xfId="3351" builtinId="8" hidden="1"/>
    <cellStyle name="Hyperlink" xfId="3353" builtinId="8" hidden="1"/>
    <cellStyle name="Hyperlink" xfId="3355" builtinId="8" hidden="1"/>
    <cellStyle name="Hyperlink" xfId="3357" builtinId="8" hidden="1"/>
    <cellStyle name="Hyperlink" xfId="3359" builtinId="8" hidden="1"/>
    <cellStyle name="Hyperlink" xfId="3361" builtinId="8" hidden="1"/>
    <cellStyle name="Hyperlink" xfId="3363" builtinId="8" hidden="1"/>
    <cellStyle name="Hyperlink" xfId="3365" builtinId="8" hidden="1"/>
    <cellStyle name="Hyperlink" xfId="3367" builtinId="8" hidden="1"/>
    <cellStyle name="Hyperlink" xfId="3369" builtinId="8" hidden="1"/>
    <cellStyle name="Hyperlink" xfId="3371" builtinId="8" hidden="1"/>
    <cellStyle name="Hyperlink" xfId="3373" builtinId="8" hidden="1"/>
    <cellStyle name="Hyperlink" xfId="3375" builtinId="8" hidden="1"/>
    <cellStyle name="Hyperlink" xfId="3377" builtinId="8" hidden="1"/>
    <cellStyle name="Hyperlink" xfId="3379" builtinId="8" hidden="1"/>
    <cellStyle name="Hyperlink" xfId="3381" builtinId="8" hidden="1"/>
    <cellStyle name="Hyperlink" xfId="3383" builtinId="8" hidden="1"/>
    <cellStyle name="Hyperlink" xfId="3385" builtinId="8" hidden="1"/>
    <cellStyle name="Hyperlink" xfId="3387" builtinId="8" hidden="1"/>
    <cellStyle name="Hyperlink" xfId="3389" builtinId="8" hidden="1"/>
    <cellStyle name="Hyperlink" xfId="3391" builtinId="8" hidden="1"/>
    <cellStyle name="Hyperlink" xfId="3393" builtinId="8" hidden="1"/>
    <cellStyle name="Hyperlink" xfId="3395" builtinId="8" hidden="1"/>
    <cellStyle name="Hyperlink" xfId="3397" builtinId="8" hidden="1"/>
    <cellStyle name="Hyperlink" xfId="3399" builtinId="8" hidden="1"/>
    <cellStyle name="Hyperlink" xfId="3401" builtinId="8" hidden="1"/>
    <cellStyle name="Hyperlink" xfId="3403" builtinId="8" hidden="1"/>
    <cellStyle name="Hyperlink" xfId="3405" builtinId="8" hidden="1"/>
    <cellStyle name="Hyperlink" xfId="3407" builtinId="8" hidden="1"/>
    <cellStyle name="Hyperlink" xfId="3409" builtinId="8" hidden="1"/>
    <cellStyle name="Hyperlink" xfId="3411" builtinId="8" hidden="1"/>
    <cellStyle name="Hyperlink" xfId="3413" builtinId="8" hidden="1"/>
    <cellStyle name="Hyperlink" xfId="3415" builtinId="8" hidden="1"/>
    <cellStyle name="Hyperlink" xfId="3417" builtinId="8" hidden="1"/>
    <cellStyle name="Hyperlink" xfId="3419" builtinId="8" hidden="1"/>
    <cellStyle name="Hyperlink" xfId="3421" builtinId="8" hidden="1"/>
    <cellStyle name="Hyperlink" xfId="3423" builtinId="8" hidden="1"/>
    <cellStyle name="Hyperlink" xfId="3425" builtinId="8" hidden="1"/>
    <cellStyle name="Hyperlink" xfId="3427" builtinId="8" hidden="1"/>
    <cellStyle name="Hyperlink" xfId="3429" builtinId="8" hidden="1"/>
    <cellStyle name="Hyperlink" xfId="3431" builtinId="8" hidden="1"/>
    <cellStyle name="Hyperlink" xfId="3433" builtinId="8" hidden="1"/>
    <cellStyle name="Hyperlink" xfId="3435" builtinId="8" hidden="1"/>
    <cellStyle name="Hyperlink" xfId="3437" builtinId="8" hidden="1"/>
    <cellStyle name="Hyperlink" xfId="3439" builtinId="8" hidden="1"/>
    <cellStyle name="Hyperlink" xfId="3441" builtinId="8" hidden="1"/>
    <cellStyle name="Hyperlink" xfId="3443" builtinId="8" hidden="1"/>
    <cellStyle name="Hyperlink" xfId="3445" builtinId="8" hidden="1"/>
    <cellStyle name="Hyperlink" xfId="3447" builtinId="8" hidden="1"/>
    <cellStyle name="Hyperlink" xfId="3449" builtinId="8" hidden="1"/>
    <cellStyle name="Hyperlink" xfId="3451" builtinId="8" hidden="1"/>
    <cellStyle name="Hyperlink" xfId="3453" builtinId="8" hidden="1"/>
    <cellStyle name="Hyperlink" xfId="3455" builtinId="8" hidden="1"/>
    <cellStyle name="Hyperlink" xfId="3457" builtinId="8" hidden="1"/>
    <cellStyle name="Hyperlink" xfId="3459" builtinId="8" hidden="1"/>
    <cellStyle name="Hyperlink" xfId="3461" builtinId="8" hidden="1"/>
    <cellStyle name="Hyperlink" xfId="3463" builtinId="8" hidden="1"/>
    <cellStyle name="Hyperlink" xfId="3465" builtinId="8" hidden="1"/>
    <cellStyle name="Hyperlink" xfId="3467" builtinId="8" hidden="1"/>
    <cellStyle name="Hyperlink" xfId="3469" builtinId="8" hidden="1"/>
    <cellStyle name="Hyperlink" xfId="3471" builtinId="8" hidden="1"/>
    <cellStyle name="Hyperlink" xfId="3473" builtinId="8" hidden="1"/>
    <cellStyle name="Hyperlink" xfId="3475" builtinId="8" hidden="1"/>
    <cellStyle name="Hyperlink" xfId="3477" builtinId="8" hidden="1"/>
    <cellStyle name="Hyperlink" xfId="3479" builtinId="8" hidden="1"/>
    <cellStyle name="Hyperlink" xfId="3481" builtinId="8" hidden="1"/>
    <cellStyle name="Hyperlink" xfId="3483" builtinId="8" hidden="1"/>
    <cellStyle name="Hyperlink" xfId="3485" builtinId="8" hidden="1"/>
    <cellStyle name="Hyperlink" xfId="3487" builtinId="8" hidden="1"/>
    <cellStyle name="Hyperlink" xfId="3489" builtinId="8" hidden="1"/>
    <cellStyle name="Hyperlink" xfId="3491" builtinId="8" hidden="1"/>
    <cellStyle name="Hyperlink" xfId="3493" builtinId="8" hidden="1"/>
    <cellStyle name="Hyperlink" xfId="3495" builtinId="8" hidden="1"/>
    <cellStyle name="Hyperlink" xfId="3497" builtinId="8" hidden="1"/>
    <cellStyle name="Hyperlink" xfId="3499" builtinId="8" hidden="1"/>
    <cellStyle name="Hyperlink" xfId="3501" builtinId="8" hidden="1"/>
    <cellStyle name="Hyperlink" xfId="3503" builtinId="8" hidden="1"/>
    <cellStyle name="Hyperlink" xfId="3505" builtinId="8" hidden="1"/>
    <cellStyle name="Hyperlink" xfId="3507" builtinId="8" hidden="1"/>
    <cellStyle name="Hyperlink" xfId="3509" builtinId="8" hidden="1"/>
    <cellStyle name="Hyperlink" xfId="3511" builtinId="8" hidden="1"/>
    <cellStyle name="Hyperlink" xfId="3513" builtinId="8" hidden="1"/>
    <cellStyle name="Hyperlink" xfId="3515" builtinId="8" hidden="1"/>
    <cellStyle name="Hyperlink" xfId="3517" builtinId="8" hidden="1"/>
    <cellStyle name="Hyperlink" xfId="3519" builtinId="8" hidden="1"/>
    <cellStyle name="Hyperlink" xfId="3521" builtinId="8" hidden="1"/>
    <cellStyle name="Hyperlink" xfId="3523" builtinId="8" hidden="1"/>
    <cellStyle name="Hyperlink" xfId="3525" builtinId="8" hidden="1"/>
    <cellStyle name="Hyperlink" xfId="3527" builtinId="8" hidden="1"/>
    <cellStyle name="Hyperlink" xfId="3529" builtinId="8" hidden="1"/>
    <cellStyle name="Hyperlink" xfId="3531" builtinId="8" hidden="1"/>
    <cellStyle name="Hyperlink" xfId="3533" builtinId="8" hidden="1"/>
    <cellStyle name="Hyperlink" xfId="3535" builtinId="8" hidden="1"/>
    <cellStyle name="Hyperlink" xfId="3537" builtinId="8" hidden="1"/>
    <cellStyle name="Hyperlink" xfId="3539" builtinId="8" hidden="1"/>
    <cellStyle name="Hyperlink" xfId="3541" builtinId="8" hidden="1"/>
    <cellStyle name="Hyperlink" xfId="3543" builtinId="8" hidden="1"/>
    <cellStyle name="Hyperlink" xfId="3545" builtinId="8" hidden="1"/>
    <cellStyle name="Hyperlink" xfId="3547" builtinId="8" hidden="1"/>
    <cellStyle name="Hyperlink" xfId="3549" builtinId="8" hidden="1"/>
    <cellStyle name="Hyperlink" xfId="3551" builtinId="8" hidden="1"/>
    <cellStyle name="Hyperlink" xfId="3553" builtinId="8" hidden="1"/>
    <cellStyle name="Hyperlink" xfId="3555" builtinId="8" hidden="1"/>
    <cellStyle name="Hyperlink" xfId="3557" builtinId="8" hidden="1"/>
    <cellStyle name="Hyperlink" xfId="3559" builtinId="8" hidden="1"/>
    <cellStyle name="Hyperlink" xfId="3561" builtinId="8" hidden="1"/>
    <cellStyle name="Hyperlink" xfId="3563" builtinId="8" hidden="1"/>
    <cellStyle name="Hyperlink" xfId="3565" builtinId="8" hidden="1"/>
    <cellStyle name="Hyperlink" xfId="3567" builtinId="8" hidden="1"/>
    <cellStyle name="Hyperlink" xfId="3569" builtinId="8" hidden="1"/>
    <cellStyle name="Hyperlink" xfId="3571" builtinId="8" hidden="1"/>
    <cellStyle name="Hyperlink" xfId="3573" builtinId="8" hidden="1"/>
    <cellStyle name="Hyperlink" xfId="3575" builtinId="8" hidden="1"/>
    <cellStyle name="Hyperlink" xfId="3577" builtinId="8" hidden="1"/>
    <cellStyle name="Hyperlink" xfId="3579" builtinId="8" hidden="1"/>
    <cellStyle name="Hyperlink" xfId="3581" builtinId="8" hidden="1"/>
    <cellStyle name="Hyperlink" xfId="3583" builtinId="8" hidden="1"/>
    <cellStyle name="Hyperlink" xfId="3585" builtinId="8" hidden="1"/>
    <cellStyle name="Hyperlink" xfId="3587" builtinId="8" hidden="1"/>
    <cellStyle name="Hyperlink" xfId="3589" builtinId="8" hidden="1"/>
    <cellStyle name="Hyperlink" xfId="3591" builtinId="8" hidden="1"/>
    <cellStyle name="Hyperlink" xfId="3593" builtinId="8" hidden="1"/>
    <cellStyle name="Hyperlink" xfId="3595" builtinId="8" hidden="1"/>
    <cellStyle name="Hyperlink" xfId="3597" builtinId="8" hidden="1"/>
    <cellStyle name="Hyperlink" xfId="3599" builtinId="8" hidden="1"/>
    <cellStyle name="Hyperlink" xfId="3601" builtinId="8" hidden="1"/>
    <cellStyle name="Hyperlink" xfId="3603" builtinId="8" hidden="1"/>
    <cellStyle name="Hyperlink" xfId="3605" builtinId="8" hidden="1"/>
    <cellStyle name="Hyperlink" xfId="3607" builtinId="8" hidden="1"/>
    <cellStyle name="Hyperlink" xfId="3609" builtinId="8" hidden="1"/>
    <cellStyle name="Hyperlink" xfId="3611" builtinId="8" hidden="1"/>
    <cellStyle name="Hyperlink" xfId="3613" builtinId="8" hidden="1"/>
    <cellStyle name="Hyperlink" xfId="3615" builtinId="8" hidden="1"/>
    <cellStyle name="Hyperlink" xfId="3617" builtinId="8" hidden="1"/>
    <cellStyle name="Hyperlink" xfId="3619" builtinId="8" hidden="1"/>
    <cellStyle name="Hyperlink" xfId="3621" builtinId="8" hidden="1"/>
    <cellStyle name="Hyperlink" xfId="3623" builtinId="8" hidden="1"/>
    <cellStyle name="Hyperlink" xfId="3625" builtinId="8" hidden="1"/>
    <cellStyle name="Hyperlink" xfId="3627" builtinId="8" hidden="1"/>
    <cellStyle name="Hyperlink" xfId="3629" builtinId="8" hidden="1"/>
    <cellStyle name="Hyperlink" xfId="3631" builtinId="8" hidden="1"/>
    <cellStyle name="Hyperlink" xfId="3633" builtinId="8" hidden="1"/>
    <cellStyle name="Hyperlink" xfId="3635" builtinId="8" hidden="1"/>
    <cellStyle name="Hyperlink" xfId="3637" builtinId="8" hidden="1"/>
    <cellStyle name="Hyperlink" xfId="3639" builtinId="8" hidden="1"/>
    <cellStyle name="Hyperlink" xfId="3641" builtinId="8" hidden="1"/>
    <cellStyle name="Hyperlink" xfId="3643" builtinId="8" hidden="1"/>
    <cellStyle name="Hyperlink" xfId="3645" builtinId="8" hidden="1"/>
    <cellStyle name="Hyperlink" xfId="3647" builtinId="8" hidden="1"/>
    <cellStyle name="Hyperlink" xfId="3649" builtinId="8" hidden="1"/>
    <cellStyle name="Hyperlink" xfId="3651" builtinId="8" hidden="1"/>
    <cellStyle name="Hyperlink" xfId="3653" builtinId="8" hidden="1"/>
    <cellStyle name="Hyperlink" xfId="3655" builtinId="8" hidden="1"/>
    <cellStyle name="Hyperlink" xfId="3657" builtinId="8" hidden="1"/>
    <cellStyle name="Hyperlink" xfId="3659" builtinId="8" hidden="1"/>
    <cellStyle name="Hyperlink" xfId="3661" builtinId="8" hidden="1"/>
    <cellStyle name="Hyperlink" xfId="3663" builtinId="8" hidden="1"/>
    <cellStyle name="Hyperlink" xfId="3665" builtinId="8" hidden="1"/>
    <cellStyle name="Hyperlink" xfId="3667" builtinId="8" hidden="1"/>
    <cellStyle name="Hyperlink" xfId="3669" builtinId="8" hidden="1"/>
    <cellStyle name="Hyperlink" xfId="3671" builtinId="8" hidden="1"/>
    <cellStyle name="Hyperlink" xfId="3673" builtinId="8" hidden="1"/>
    <cellStyle name="Hyperlink" xfId="3675" builtinId="8" hidden="1"/>
    <cellStyle name="Hyperlink" xfId="3677" builtinId="8" hidden="1"/>
    <cellStyle name="Hyperlink" xfId="3679" builtinId="8" hidden="1"/>
    <cellStyle name="Hyperlink" xfId="3681" builtinId="8" hidden="1"/>
    <cellStyle name="Hyperlink" xfId="3683" builtinId="8" hidden="1"/>
    <cellStyle name="Hyperlink" xfId="3685" builtinId="8" hidden="1"/>
    <cellStyle name="Hyperlink" xfId="3687" builtinId="8" hidden="1"/>
    <cellStyle name="Hyperlink" xfId="3689" builtinId="8" hidden="1"/>
    <cellStyle name="Hyperlink" xfId="3691" builtinId="8" hidden="1"/>
    <cellStyle name="Hyperlink" xfId="3693" builtinId="8" hidden="1"/>
    <cellStyle name="Hyperlink" xfId="3695" builtinId="8" hidden="1"/>
    <cellStyle name="Hyperlink" xfId="3697" builtinId="8" hidden="1"/>
    <cellStyle name="Hyperlink" xfId="3699" builtinId="8" hidden="1"/>
    <cellStyle name="Hyperlink" xfId="3701" builtinId="8" hidden="1"/>
    <cellStyle name="Hyperlink" xfId="3703" builtinId="8" hidden="1"/>
    <cellStyle name="Hyperlink" xfId="3705" builtinId="8" hidden="1"/>
    <cellStyle name="Hyperlink" xfId="3707" builtinId="8" hidden="1"/>
    <cellStyle name="Hyperlink" xfId="3709" builtinId="8" hidden="1"/>
    <cellStyle name="Hyperlink" xfId="3711" builtinId="8" hidden="1"/>
    <cellStyle name="Hyperlink" xfId="3713" builtinId="8" hidden="1"/>
    <cellStyle name="Hyperlink" xfId="3715" builtinId="8" hidden="1"/>
    <cellStyle name="Hyperlink" xfId="3717" builtinId="8" hidden="1"/>
    <cellStyle name="Hyperlink" xfId="3719" builtinId="8" hidden="1"/>
    <cellStyle name="Hyperlink" xfId="3721" builtinId="8" hidden="1"/>
    <cellStyle name="Hyperlink" xfId="3723" builtinId="8" hidden="1"/>
    <cellStyle name="Hyperlink" xfId="3725" builtinId="8" hidden="1"/>
    <cellStyle name="Hyperlink" xfId="3727" builtinId="8" hidden="1"/>
    <cellStyle name="Hyperlink" xfId="3729" builtinId="8" hidden="1"/>
    <cellStyle name="Hyperlink" xfId="3731" builtinId="8" hidden="1"/>
    <cellStyle name="Hyperlink" xfId="3733" builtinId="8" hidden="1"/>
    <cellStyle name="Hyperlink" xfId="3735" builtinId="8" hidden="1"/>
    <cellStyle name="Hyperlink" xfId="3737" builtinId="8" hidden="1"/>
    <cellStyle name="Hyperlink" xfId="3739" builtinId="8" hidden="1"/>
    <cellStyle name="Hyperlink" xfId="3741" builtinId="8" hidden="1"/>
    <cellStyle name="Hyperlink" xfId="3743" builtinId="8" hidden="1"/>
    <cellStyle name="Hyperlink" xfId="3745" builtinId="8" hidden="1"/>
    <cellStyle name="Hyperlink" xfId="3747" builtinId="8" hidden="1"/>
    <cellStyle name="Hyperlink" xfId="3749" builtinId="8" hidden="1"/>
    <cellStyle name="Hyperlink" xfId="3751" builtinId="8" hidden="1"/>
    <cellStyle name="Hyperlink" xfId="3753" builtinId="8" hidden="1"/>
    <cellStyle name="Hyperlink" xfId="3755" builtinId="8" hidden="1"/>
    <cellStyle name="Hyperlink" xfId="3757" builtinId="8" hidden="1"/>
    <cellStyle name="Hyperlink" xfId="3759" builtinId="8" hidden="1"/>
    <cellStyle name="Hyperlink" xfId="3761" builtinId="8" hidden="1"/>
    <cellStyle name="Hyperlink" xfId="3763" builtinId="8" hidden="1"/>
    <cellStyle name="Hyperlink" xfId="3765" builtinId="8" hidden="1"/>
    <cellStyle name="Hyperlink" xfId="3767" builtinId="8" hidden="1"/>
    <cellStyle name="Hyperlink" xfId="3769" builtinId="8" hidden="1"/>
    <cellStyle name="Hyperlink" xfId="3771" builtinId="8" hidden="1"/>
    <cellStyle name="Hyperlink" xfId="3773" builtinId="8" hidden="1"/>
    <cellStyle name="Hyperlink" xfId="3775" builtinId="8" hidden="1"/>
    <cellStyle name="Hyperlink" xfId="3777" builtinId="8" hidden="1"/>
    <cellStyle name="Hyperlink" xfId="3779" builtinId="8" hidden="1"/>
    <cellStyle name="Hyperlink" xfId="3781" builtinId="8" hidden="1"/>
    <cellStyle name="Hyperlink" xfId="3783" builtinId="8" hidden="1"/>
    <cellStyle name="Hyperlink" xfId="3785" builtinId="8" hidden="1"/>
    <cellStyle name="Hyperlink" xfId="3787" builtinId="8" hidden="1"/>
    <cellStyle name="Hyperlink" xfId="3789" builtinId="8" hidden="1"/>
    <cellStyle name="Hyperlink" xfId="3791" builtinId="8" hidden="1"/>
    <cellStyle name="Hyperlink" xfId="3793" builtinId="8" hidden="1"/>
    <cellStyle name="Hyperlink" xfId="3795" builtinId="8" hidden="1"/>
    <cellStyle name="Hyperlink" xfId="3797" builtinId="8" hidden="1"/>
    <cellStyle name="Hyperlink" xfId="3799" builtinId="8" hidden="1"/>
    <cellStyle name="Hyperlink" xfId="3801" builtinId="8" hidden="1"/>
    <cellStyle name="Hyperlink" xfId="3803" builtinId="8" hidden="1"/>
    <cellStyle name="Hyperlink" xfId="3805" builtinId="8" hidden="1"/>
    <cellStyle name="Hyperlink" xfId="3807" builtinId="8" hidden="1"/>
    <cellStyle name="Hyperlink" xfId="3809" builtinId="8" hidden="1"/>
    <cellStyle name="Hyperlink" xfId="3811" builtinId="8" hidden="1"/>
    <cellStyle name="Hyperlink" xfId="3813" builtinId="8" hidden="1"/>
    <cellStyle name="Hyperlink" xfId="3815" builtinId="8" hidden="1"/>
    <cellStyle name="Hyperlink" xfId="3817" builtinId="8" hidden="1"/>
    <cellStyle name="Hyperlink" xfId="3819" builtinId="8" hidden="1"/>
    <cellStyle name="Hyperlink" xfId="3821" builtinId="8" hidden="1"/>
    <cellStyle name="Hyperlink" xfId="3823" builtinId="8" hidden="1"/>
    <cellStyle name="Hyperlink" xfId="3825" builtinId="8" hidden="1"/>
    <cellStyle name="Hyperlink" xfId="3827" builtinId="8" hidden="1"/>
    <cellStyle name="Hyperlink" xfId="3829" builtinId="8" hidden="1"/>
    <cellStyle name="Hyperlink" xfId="3831" builtinId="8" hidden="1"/>
    <cellStyle name="Hyperlink" xfId="3833" builtinId="8" hidden="1"/>
    <cellStyle name="Hyperlink" xfId="3835" builtinId="8" hidden="1"/>
    <cellStyle name="Hyperlink" xfId="3837" builtinId="8" hidden="1"/>
    <cellStyle name="Hyperlink" xfId="3839" builtinId="8" hidden="1"/>
    <cellStyle name="Hyperlink" xfId="3841" builtinId="8" hidden="1"/>
    <cellStyle name="Hyperlink" xfId="3843" builtinId="8" hidden="1"/>
    <cellStyle name="Hyperlink" xfId="3845" builtinId="8" hidden="1"/>
    <cellStyle name="Hyperlink" xfId="3847" builtinId="8" hidden="1"/>
    <cellStyle name="Hyperlink" xfId="3849" builtinId="8" hidden="1"/>
    <cellStyle name="Hyperlink" xfId="3851" builtinId="8" hidden="1"/>
    <cellStyle name="Hyperlink" xfId="3853" builtinId="8" hidden="1"/>
    <cellStyle name="Hyperlink" xfId="3855" builtinId="8" hidden="1"/>
    <cellStyle name="Hyperlink" xfId="3857" builtinId="8" hidden="1"/>
    <cellStyle name="Hyperlink" xfId="3859" builtinId="8" hidden="1"/>
    <cellStyle name="Hyperlink" xfId="3861" builtinId="8" hidden="1"/>
    <cellStyle name="Hyperlink" xfId="3863" builtinId="8" hidden="1"/>
    <cellStyle name="Hyperlink" xfId="3865" builtinId="8" hidden="1"/>
    <cellStyle name="Hyperlink" xfId="3867" builtinId="8" hidden="1"/>
    <cellStyle name="Hyperlink" xfId="3869" builtinId="8" hidden="1"/>
    <cellStyle name="Hyperlink" xfId="3871" builtinId="8" hidden="1"/>
    <cellStyle name="Hyperlink" xfId="3873" builtinId="8" hidden="1"/>
    <cellStyle name="Hyperlink" xfId="3875" builtinId="8" hidden="1"/>
    <cellStyle name="Hyperlink" xfId="3877" builtinId="8" hidden="1"/>
    <cellStyle name="Hyperlink" xfId="3879" builtinId="8" hidden="1"/>
    <cellStyle name="Hyperlink" xfId="3881" builtinId="8" hidden="1"/>
    <cellStyle name="Hyperlink" xfId="3883" builtinId="8" hidden="1"/>
    <cellStyle name="Hyperlink" xfId="3885" builtinId="8" hidden="1"/>
    <cellStyle name="Hyperlink" xfId="3887" builtinId="8" hidden="1"/>
    <cellStyle name="Hyperlink" xfId="3889" builtinId="8" hidden="1"/>
    <cellStyle name="Hyperlink" xfId="3891" builtinId="8" hidden="1"/>
    <cellStyle name="Hyperlink" xfId="3893" builtinId="8" hidden="1"/>
    <cellStyle name="Hyperlink" xfId="3895" builtinId="8" hidden="1"/>
    <cellStyle name="Hyperlink" xfId="3897" builtinId="8" hidden="1"/>
    <cellStyle name="Hyperlink" xfId="3899" builtinId="8" hidden="1"/>
    <cellStyle name="Hyperlink" xfId="3901" builtinId="8" hidden="1"/>
    <cellStyle name="Hyperlink" xfId="3903" builtinId="8" hidden="1"/>
    <cellStyle name="Hyperlink" xfId="3905" builtinId="8" hidden="1"/>
    <cellStyle name="Hyperlink" xfId="3907" builtinId="8" hidden="1"/>
    <cellStyle name="Hyperlink" xfId="3909" builtinId="8" hidden="1"/>
    <cellStyle name="Hyperlink" xfId="3911" builtinId="8" hidden="1"/>
    <cellStyle name="Hyperlink" xfId="3913" builtinId="8" hidden="1"/>
    <cellStyle name="Hyperlink" xfId="3915" builtinId="8" hidden="1"/>
    <cellStyle name="Hyperlink" xfId="3917" builtinId="8" hidden="1"/>
    <cellStyle name="Hyperlink" xfId="3919" builtinId="8" hidden="1"/>
    <cellStyle name="Hyperlink" xfId="3921" builtinId="8" hidden="1"/>
    <cellStyle name="Hyperlink" xfId="3923" builtinId="8" hidden="1"/>
    <cellStyle name="Hyperlink" xfId="3925" builtinId="8" hidden="1"/>
    <cellStyle name="Hyperlink" xfId="3927" builtinId="8" hidden="1"/>
    <cellStyle name="Hyperlink" xfId="3929" builtinId="8" hidden="1"/>
    <cellStyle name="Hyperlink" xfId="3931" builtinId="8" hidden="1"/>
    <cellStyle name="Hyperlink" xfId="3933" builtinId="8" hidden="1"/>
    <cellStyle name="Hyperlink" xfId="3935" builtinId="8" hidden="1"/>
    <cellStyle name="Hyperlink" xfId="3937" builtinId="8" hidden="1"/>
    <cellStyle name="Hyperlink" xfId="3939" builtinId="8" hidden="1"/>
    <cellStyle name="Hyperlink" xfId="3941" builtinId="8" hidden="1"/>
    <cellStyle name="Hyperlink" xfId="3943" builtinId="8" hidden="1"/>
    <cellStyle name="Hyperlink" xfId="3945" builtinId="8" hidden="1"/>
    <cellStyle name="Hyperlink" xfId="3947" builtinId="8" hidden="1"/>
    <cellStyle name="Hyperlink" xfId="3949" builtinId="8" hidden="1"/>
    <cellStyle name="Hyperlink" xfId="3951" builtinId="8" hidden="1"/>
    <cellStyle name="Hyperlink" xfId="3953" builtinId="8" hidden="1"/>
    <cellStyle name="Hyperlink" xfId="3955" builtinId="8" hidden="1"/>
    <cellStyle name="Hyperlink" xfId="3957" builtinId="8" hidden="1"/>
    <cellStyle name="Hyperlink" xfId="3959" builtinId="8" hidden="1"/>
    <cellStyle name="Hyperlink" xfId="3961" builtinId="8" hidden="1"/>
    <cellStyle name="Hyperlink" xfId="3963" builtinId="8" hidden="1"/>
    <cellStyle name="Hyperlink" xfId="3965" builtinId="8" hidden="1"/>
    <cellStyle name="Hyperlink" xfId="3967" builtinId="8" hidden="1"/>
    <cellStyle name="Hyperlink" xfId="3969" builtinId="8" hidden="1"/>
    <cellStyle name="Hyperlink" xfId="3971" builtinId="8" hidden="1"/>
    <cellStyle name="Hyperlink" xfId="3973" builtinId="8" hidden="1"/>
    <cellStyle name="Hyperlink" xfId="3975" builtinId="8" hidden="1"/>
    <cellStyle name="Hyperlink" xfId="3977" builtinId="8" hidden="1"/>
    <cellStyle name="Hyperlink" xfId="3979" builtinId="8" hidden="1"/>
    <cellStyle name="Hyperlink" xfId="3981" builtinId="8" hidden="1"/>
    <cellStyle name="Hyperlink" xfId="3983" builtinId="8" hidden="1"/>
    <cellStyle name="Hyperlink" xfId="3985" builtinId="8" hidden="1"/>
    <cellStyle name="Hyperlink" xfId="3987" builtinId="8" hidden="1"/>
    <cellStyle name="Hyperlink" xfId="3989" builtinId="8" hidden="1"/>
    <cellStyle name="Hyperlink" xfId="3991" builtinId="8" hidden="1"/>
    <cellStyle name="Hyperlink" xfId="3993" builtinId="8" hidden="1"/>
    <cellStyle name="Hyperlink" xfId="3995" builtinId="8" hidden="1"/>
    <cellStyle name="Hyperlink" xfId="3997" builtinId="8" hidden="1"/>
    <cellStyle name="Hyperlink" xfId="3999" builtinId="8" hidden="1"/>
    <cellStyle name="Hyperlink" xfId="4001" builtinId="8" hidden="1"/>
    <cellStyle name="Hyperlink" xfId="4003" builtinId="8" hidden="1"/>
    <cellStyle name="Hyperlink" xfId="4005" builtinId="8" hidden="1"/>
    <cellStyle name="Hyperlink" xfId="4007" builtinId="8" hidden="1"/>
    <cellStyle name="Hyperlink" xfId="4009" builtinId="8" hidden="1"/>
    <cellStyle name="Hyperlink" xfId="4011" builtinId="8" hidden="1"/>
    <cellStyle name="Hyperlink" xfId="4013" builtinId="8" hidden="1"/>
    <cellStyle name="Hyperlink" xfId="4015" builtinId="8" hidden="1"/>
    <cellStyle name="Hyperlink" xfId="4017" builtinId="8" hidden="1"/>
    <cellStyle name="Hyperlink" xfId="4019" builtinId="8" hidden="1"/>
    <cellStyle name="Hyperlink" xfId="4021" builtinId="8" hidden="1"/>
    <cellStyle name="Hyperlink" xfId="4023" builtinId="8" hidden="1"/>
    <cellStyle name="Hyperlink" xfId="4025" builtinId="8" hidden="1"/>
    <cellStyle name="Hyperlink" xfId="4027" builtinId="8" hidden="1"/>
    <cellStyle name="Hyperlink" xfId="4029" builtinId="8" hidden="1"/>
    <cellStyle name="Hyperlink" xfId="4031" builtinId="8" hidden="1"/>
    <cellStyle name="Hyperlink" xfId="4033" builtinId="8" hidden="1"/>
    <cellStyle name="Hyperlink" xfId="4035" builtinId="8" hidden="1"/>
    <cellStyle name="Hyperlink" xfId="4037" builtinId="8" hidden="1"/>
    <cellStyle name="Hyperlink" xfId="4039" builtinId="8" hidden="1"/>
    <cellStyle name="Hyperlink" xfId="4041" builtinId="8" hidden="1"/>
    <cellStyle name="Hyperlink" xfId="4043" builtinId="8" hidden="1"/>
    <cellStyle name="Hyperlink" xfId="4045" builtinId="8" hidden="1"/>
    <cellStyle name="Hyperlink" xfId="4047" builtinId="8" hidden="1"/>
    <cellStyle name="Hyperlink" xfId="4049" builtinId="8" hidden="1"/>
    <cellStyle name="Hyperlink" xfId="4051" builtinId="8" hidden="1"/>
    <cellStyle name="Hyperlink" xfId="4053" builtinId="8" hidden="1"/>
    <cellStyle name="Hyperlink" xfId="4055" builtinId="8" hidden="1"/>
    <cellStyle name="Hyperlink" xfId="4057" builtinId="8" hidden="1"/>
    <cellStyle name="Hyperlink" xfId="4059" builtinId="8" hidden="1"/>
    <cellStyle name="Hyperlink" xfId="4061" builtinId="8" hidden="1"/>
    <cellStyle name="Hyperlink" xfId="4063" builtinId="8" hidden="1"/>
    <cellStyle name="Hyperlink" xfId="4065" builtinId="8" hidden="1"/>
    <cellStyle name="Hyperlink" xfId="4067" builtinId="8" hidden="1"/>
    <cellStyle name="Hyperlink" xfId="4069" builtinId="8" hidden="1"/>
    <cellStyle name="Hyperlink" xfId="4071" builtinId="8" hidden="1"/>
    <cellStyle name="Hyperlink" xfId="4073" builtinId="8" hidden="1"/>
    <cellStyle name="Hyperlink" xfId="4075" builtinId="8" hidden="1"/>
    <cellStyle name="Hyperlink" xfId="4077" builtinId="8" hidden="1"/>
    <cellStyle name="Hyperlink" xfId="4079" builtinId="8" hidden="1"/>
    <cellStyle name="Hyperlink" xfId="4081" builtinId="8" hidden="1"/>
    <cellStyle name="Hyperlink" xfId="4083" builtinId="8" hidden="1"/>
    <cellStyle name="Hyperlink" xfId="4085" builtinId="8" hidden="1"/>
    <cellStyle name="Hyperlink" xfId="4087" builtinId="8" hidden="1"/>
    <cellStyle name="Hyperlink" xfId="4089" builtinId="8" hidden="1"/>
    <cellStyle name="Hyperlink" xfId="4091" builtinId="8" hidden="1"/>
    <cellStyle name="Hyperlink" xfId="4093" builtinId="8" hidden="1"/>
    <cellStyle name="Hyperlink" xfId="4095" builtinId="8" hidden="1"/>
    <cellStyle name="Hyperlink" xfId="4097" builtinId="8" hidden="1"/>
    <cellStyle name="Hyperlink" xfId="4099" builtinId="8" hidden="1"/>
    <cellStyle name="Hyperlink" xfId="4101" builtinId="8" hidden="1"/>
    <cellStyle name="Hyperlink" xfId="4103" builtinId="8" hidden="1"/>
    <cellStyle name="Hyperlink" xfId="4105" builtinId="8" hidden="1"/>
    <cellStyle name="Hyperlink" xfId="4107" builtinId="8" hidden="1"/>
    <cellStyle name="Hyperlink" xfId="4109" builtinId="8" hidden="1"/>
    <cellStyle name="Hyperlink" xfId="4111" builtinId="8" hidden="1"/>
    <cellStyle name="Hyperlink" xfId="4113" builtinId="8" hidden="1"/>
    <cellStyle name="Hyperlink" xfId="4115" builtinId="8" hidden="1"/>
    <cellStyle name="Hyperlink" xfId="4117" builtinId="8" hidden="1"/>
    <cellStyle name="Hyperlink" xfId="4119" builtinId="8" hidden="1"/>
    <cellStyle name="Hyperlink" xfId="4121" builtinId="8" hidden="1"/>
    <cellStyle name="Hyperlink" xfId="4123" builtinId="8" hidden="1"/>
    <cellStyle name="Hyperlink" xfId="4125" builtinId="8" hidden="1"/>
    <cellStyle name="Hyperlink" xfId="4127" builtinId="8" hidden="1"/>
    <cellStyle name="Hyperlink" xfId="4129" builtinId="8" hidden="1"/>
    <cellStyle name="Hyperlink" xfId="4131" builtinId="8" hidden="1"/>
    <cellStyle name="Hyperlink" xfId="4133" builtinId="8" hidden="1"/>
    <cellStyle name="Hyperlink" xfId="4135" builtinId="8" hidden="1"/>
    <cellStyle name="Hyperlink" xfId="4137" builtinId="8" hidden="1"/>
    <cellStyle name="Hyperlink" xfId="4139" builtinId="8" hidden="1"/>
    <cellStyle name="Hyperlink" xfId="4141" builtinId="8" hidden="1"/>
    <cellStyle name="Hyperlink" xfId="4143" builtinId="8" hidden="1"/>
    <cellStyle name="Hyperlink" xfId="4145" builtinId="8" hidden="1"/>
    <cellStyle name="Hyperlink" xfId="4147" builtinId="8" hidden="1"/>
    <cellStyle name="Hyperlink" xfId="4149" builtinId="8" hidden="1"/>
    <cellStyle name="Hyperlink" xfId="4151" builtinId="8" hidden="1"/>
    <cellStyle name="Hyperlink" xfId="4153" builtinId="8" hidden="1"/>
    <cellStyle name="Hyperlink" xfId="4155" builtinId="8" hidden="1"/>
    <cellStyle name="Hyperlink" xfId="4157" builtinId="8" hidden="1"/>
    <cellStyle name="Hyperlink" xfId="4159" builtinId="8" hidden="1"/>
    <cellStyle name="Hyperlink" xfId="4161" builtinId="8" hidden="1"/>
    <cellStyle name="Hyperlink" xfId="4163" builtinId="8" hidden="1"/>
    <cellStyle name="Hyperlink" xfId="4165" builtinId="8" hidden="1"/>
    <cellStyle name="Hyperlink" xfId="4167" builtinId="8" hidden="1"/>
    <cellStyle name="Hyperlink" xfId="4169" builtinId="8" hidden="1"/>
    <cellStyle name="Hyperlink" xfId="4171" builtinId="8" hidden="1"/>
    <cellStyle name="Hyperlink" xfId="4173" builtinId="8" hidden="1"/>
    <cellStyle name="Hyperlink" xfId="4175" builtinId="8" hidden="1"/>
    <cellStyle name="Hyperlink" xfId="4177" builtinId="8" hidden="1"/>
    <cellStyle name="Hyperlink" xfId="4179" builtinId="8" hidden="1"/>
    <cellStyle name="Hyperlink" xfId="4181" builtinId="8" hidden="1"/>
    <cellStyle name="Hyperlink" xfId="4186" builtinId="8" hidden="1"/>
    <cellStyle name="Hyperlink" xfId="4188" builtinId="8" hidden="1"/>
    <cellStyle name="Hyperlink" xfId="4190" builtinId="8" hidden="1"/>
    <cellStyle name="Hyperlink" xfId="4192" builtinId="8" hidden="1"/>
    <cellStyle name="Hyperlink" xfId="4194" builtinId="8" hidden="1"/>
    <cellStyle name="Hyperlink" xfId="4196" builtinId="8" hidden="1"/>
    <cellStyle name="Hyperlink" xfId="4198" builtinId="8" hidden="1"/>
    <cellStyle name="Hyperlink" xfId="4200" builtinId="8" hidden="1"/>
    <cellStyle name="Hyperlink" xfId="4202" builtinId="8" hidden="1"/>
    <cellStyle name="Hyperlink" xfId="4204" builtinId="8" hidden="1"/>
    <cellStyle name="Hyperlink" xfId="4206" builtinId="8" hidden="1"/>
    <cellStyle name="Hyperlink" xfId="4208" builtinId="8" hidden="1"/>
    <cellStyle name="Hyperlink" xfId="4210" builtinId="8" hidden="1"/>
    <cellStyle name="Hyperlink" xfId="4212" builtinId="8" hidden="1"/>
    <cellStyle name="Hyperlink" xfId="4214" builtinId="8" hidden="1"/>
    <cellStyle name="Hyperlink" xfId="4216" builtinId="8" hidden="1"/>
    <cellStyle name="Hyperlink" xfId="4218" builtinId="8" hidden="1"/>
    <cellStyle name="Hyperlink" xfId="4220" builtinId="8" hidden="1"/>
    <cellStyle name="Hyperlink" xfId="4222" builtinId="8" hidden="1"/>
    <cellStyle name="Hyperlink" xfId="4224" builtinId="8" hidden="1"/>
    <cellStyle name="Hyperlink" xfId="4226" builtinId="8" hidden="1"/>
    <cellStyle name="Hyperlink" xfId="4228" builtinId="8" hidden="1"/>
    <cellStyle name="Hyperlink" xfId="4230" builtinId="8" hidden="1"/>
    <cellStyle name="Hyperlink" xfId="4232" builtinId="8" hidden="1"/>
    <cellStyle name="Hyperlink" xfId="4234" builtinId="8" hidden="1"/>
    <cellStyle name="Hyperlink" xfId="4236" builtinId="8" hidden="1"/>
    <cellStyle name="Hyperlink" xfId="4238" builtinId="8" hidden="1"/>
    <cellStyle name="Hyperlink" xfId="4240" builtinId="8" hidden="1"/>
    <cellStyle name="Hyperlink" xfId="4242" builtinId="8" hidden="1"/>
    <cellStyle name="Hyperlink" xfId="4244" builtinId="8" hidden="1"/>
    <cellStyle name="Hyperlink" xfId="4246" builtinId="8" hidden="1"/>
    <cellStyle name="Hyperlink" xfId="4248" builtinId="8" hidden="1"/>
    <cellStyle name="Hyperlink" xfId="4250" builtinId="8" hidden="1"/>
    <cellStyle name="Hyperlink" xfId="4252" builtinId="8" hidden="1"/>
    <cellStyle name="Hyperlink" xfId="4254" builtinId="8" hidden="1"/>
    <cellStyle name="Hyperlink" xfId="4256" builtinId="8" hidden="1"/>
    <cellStyle name="Hyperlink" xfId="4258" builtinId="8" hidden="1"/>
    <cellStyle name="Hyperlink" xfId="4260" builtinId="8" hidden="1"/>
    <cellStyle name="Hyperlink" xfId="4262" builtinId="8" hidden="1"/>
    <cellStyle name="Hyperlink" xfId="4264" builtinId="8" hidden="1"/>
    <cellStyle name="Hyperlink" xfId="4266" builtinId="8" hidden="1"/>
    <cellStyle name="Hyperlink" xfId="4268" builtinId="8" hidden="1"/>
    <cellStyle name="Hyperlink" xfId="4270" builtinId="8" hidden="1"/>
    <cellStyle name="Hyperlink" xfId="4272" builtinId="8" hidden="1"/>
    <cellStyle name="Hyperlink" xfId="4274" builtinId="8" hidden="1"/>
    <cellStyle name="Hyperlink" xfId="4276" builtinId="8" hidden="1"/>
    <cellStyle name="Hyperlink" xfId="4278" builtinId="8" hidden="1"/>
    <cellStyle name="Hyperlink" xfId="4280" builtinId="8" hidden="1"/>
    <cellStyle name="Hyperlink" xfId="4282" builtinId="8" hidden="1"/>
    <cellStyle name="Hyperlink" xfId="4284" builtinId="8" hidden="1"/>
    <cellStyle name="Hyperlink" xfId="4286" builtinId="8" hidden="1"/>
    <cellStyle name="Hyperlink" xfId="4288" builtinId="8" hidden="1"/>
    <cellStyle name="Hyperlink" xfId="4290" builtinId="8" hidden="1"/>
    <cellStyle name="Hyperlink" xfId="4292" builtinId="8" hidden="1"/>
    <cellStyle name="Hyperlink" xfId="4294" builtinId="8" hidden="1"/>
    <cellStyle name="Hyperlink" xfId="4296" builtinId="8" hidden="1"/>
    <cellStyle name="Hyperlink" xfId="4298" builtinId="8" hidden="1"/>
    <cellStyle name="Hyperlink" xfId="4300" builtinId="8" hidden="1"/>
    <cellStyle name="Hyperlink" xfId="4302" builtinId="8" hidden="1"/>
    <cellStyle name="Hyperlink" xfId="4304" builtinId="8" hidden="1"/>
    <cellStyle name="Hyperlink" xfId="4306" builtinId="8" hidden="1"/>
    <cellStyle name="Hyperlink" xfId="4308" builtinId="8" hidden="1"/>
    <cellStyle name="Hyperlink" xfId="4310" builtinId="8" hidden="1"/>
    <cellStyle name="Hyperlink" xfId="4312" builtinId="8" hidden="1"/>
    <cellStyle name="Hyperlink" xfId="4314" builtinId="8" hidden="1"/>
    <cellStyle name="Hyperlink" xfId="4316" builtinId="8" hidden="1"/>
    <cellStyle name="Hyperlink" xfId="4318" builtinId="8" hidden="1"/>
    <cellStyle name="Hyperlink" xfId="4320" builtinId="8" hidden="1"/>
    <cellStyle name="Hyperlink" xfId="4322" builtinId="8" hidden="1"/>
    <cellStyle name="Hyperlink" xfId="4324" builtinId="8" hidden="1"/>
    <cellStyle name="Hyperlink" xfId="4326" builtinId="8" hidden="1"/>
    <cellStyle name="Hyperlink" xfId="4328" builtinId="8" hidden="1"/>
    <cellStyle name="Hyperlink" xfId="4330" builtinId="8" hidden="1"/>
    <cellStyle name="Hyperlink" xfId="4332" builtinId="8" hidden="1"/>
    <cellStyle name="Hyperlink" xfId="4334" builtinId="8" hidden="1"/>
    <cellStyle name="Hyperlink" xfId="4336" builtinId="8" hidden="1"/>
    <cellStyle name="Hyperlink" xfId="4338" builtinId="8" hidden="1"/>
    <cellStyle name="Hyperlink" xfId="4340" builtinId="8" hidden="1"/>
    <cellStyle name="Hyperlink" xfId="4342" builtinId="8" hidden="1"/>
    <cellStyle name="Hyperlink" xfId="4344" builtinId="8" hidden="1"/>
    <cellStyle name="Hyperlink" xfId="4346" builtinId="8" hidden="1"/>
    <cellStyle name="Hyperlink" xfId="4348" builtinId="8" hidden="1"/>
    <cellStyle name="Hyperlink" xfId="4350" builtinId="8" hidden="1"/>
    <cellStyle name="Hyperlink" xfId="4352" builtinId="8" hidden="1"/>
    <cellStyle name="Hyperlink" xfId="4354" builtinId="8" hidden="1"/>
    <cellStyle name="Hyperlink" xfId="4356" builtinId="8" hidden="1"/>
    <cellStyle name="Hyperlink" xfId="4358" builtinId="8" hidden="1"/>
    <cellStyle name="Hyperlink" xfId="4360" builtinId="8" hidden="1"/>
    <cellStyle name="Hyperlink" xfId="4362" builtinId="8" hidden="1"/>
    <cellStyle name="Hyperlink" xfId="4364" builtinId="8" hidden="1"/>
    <cellStyle name="Hyperlink" xfId="4366" builtinId="8" hidden="1"/>
    <cellStyle name="Hyperlink" xfId="4368" builtinId="8" hidden="1"/>
    <cellStyle name="Hyperlink" xfId="4370" builtinId="8" hidden="1"/>
    <cellStyle name="Hyperlink" xfId="4372" builtinId="8" hidden="1"/>
    <cellStyle name="Hyperlink" xfId="4374" builtinId="8" hidden="1"/>
    <cellStyle name="Hyperlink" xfId="4376" builtinId="8" hidden="1"/>
    <cellStyle name="Hyperlink" xfId="4378" builtinId="8" hidden="1"/>
    <cellStyle name="Hyperlink" xfId="4380" builtinId="8" hidden="1"/>
    <cellStyle name="Hyperlink" xfId="4382" builtinId="8" hidden="1"/>
    <cellStyle name="Hyperlink" xfId="4384" builtinId="8" hidden="1"/>
    <cellStyle name="Hyperlink" xfId="4386" builtinId="8" hidden="1"/>
    <cellStyle name="Hyperlink" xfId="4388" builtinId="8" hidden="1"/>
    <cellStyle name="Hyperlink" xfId="4390" builtinId="8" hidden="1"/>
    <cellStyle name="Hyperlink" xfId="4392" builtinId="8" hidden="1"/>
    <cellStyle name="Hyperlink" xfId="4394" builtinId="8" hidden="1"/>
    <cellStyle name="Hyperlink" xfId="4396" builtinId="8" hidden="1"/>
    <cellStyle name="Hyperlink" xfId="4398" builtinId="8" hidden="1"/>
    <cellStyle name="Hyperlink" xfId="4400" builtinId="8" hidden="1"/>
    <cellStyle name="Hyperlink" xfId="4402" builtinId="8" hidden="1"/>
    <cellStyle name="Hyperlink" xfId="4404" builtinId="8" hidden="1"/>
    <cellStyle name="Hyperlink" xfId="4406" builtinId="8" hidden="1"/>
    <cellStyle name="Hyperlink" xfId="4408" builtinId="8" hidden="1"/>
    <cellStyle name="Hyperlink" xfId="4410" builtinId="8" hidden="1"/>
    <cellStyle name="Hyperlink" xfId="4412" builtinId="8" hidden="1"/>
    <cellStyle name="Hyperlink" xfId="4414" builtinId="8" hidden="1"/>
    <cellStyle name="Hyperlink" xfId="4416" builtinId="8" hidden="1"/>
    <cellStyle name="Hyperlink" xfId="4418" builtinId="8" hidden="1"/>
    <cellStyle name="Hyperlink" xfId="4420" builtinId="8" hidden="1"/>
    <cellStyle name="Hyperlink" xfId="4422" builtinId="8" hidden="1"/>
    <cellStyle name="Hyperlink" xfId="4424" builtinId="8" hidden="1"/>
    <cellStyle name="Hyperlink" xfId="4426" builtinId="8" hidden="1"/>
    <cellStyle name="Hyperlink" xfId="4428" builtinId="8" hidden="1"/>
    <cellStyle name="Hyperlink" xfId="4430" builtinId="8" hidden="1"/>
    <cellStyle name="Hyperlink" xfId="4432" builtinId="8" hidden="1"/>
    <cellStyle name="Hyperlink" xfId="4434" builtinId="8" hidden="1"/>
    <cellStyle name="Hyperlink" xfId="4436" builtinId="8" hidden="1"/>
    <cellStyle name="Hyperlink" xfId="4438" builtinId="8" hidden="1"/>
    <cellStyle name="Hyperlink" xfId="4440" builtinId="8" hidden="1"/>
    <cellStyle name="Hyperlink" xfId="4442" builtinId="8" hidden="1"/>
    <cellStyle name="Hyperlink" xfId="4444" builtinId="8" hidden="1"/>
    <cellStyle name="Hyperlink" xfId="4446" builtinId="8" hidden="1"/>
    <cellStyle name="Hyperlink" xfId="4448" builtinId="8" hidden="1"/>
    <cellStyle name="Hyperlink" xfId="4450" builtinId="8" hidden="1"/>
    <cellStyle name="Hyperlink" xfId="4452" builtinId="8" hidden="1"/>
    <cellStyle name="Hyperlink" xfId="4454" builtinId="8" hidden="1"/>
    <cellStyle name="Hyperlink" xfId="4456" builtinId="8" hidden="1"/>
    <cellStyle name="Hyperlink" xfId="4458" builtinId="8" hidden="1"/>
    <cellStyle name="Hyperlink" xfId="4460" builtinId="8" hidden="1"/>
    <cellStyle name="Hyperlink" xfId="4462" builtinId="8" hidden="1"/>
    <cellStyle name="Hyperlink" xfId="4464" builtinId="8" hidden="1"/>
    <cellStyle name="Hyperlink" xfId="4466" builtinId="8" hidden="1"/>
    <cellStyle name="Hyperlink" xfId="4468" builtinId="8" hidden="1"/>
    <cellStyle name="Hyperlink" xfId="4470" builtinId="8" hidden="1"/>
    <cellStyle name="Hyperlink" xfId="4472" builtinId="8" hidden="1"/>
    <cellStyle name="Hyperlink" xfId="4474" builtinId="8" hidden="1"/>
    <cellStyle name="Hyperlink" xfId="4476" builtinId="8" hidden="1"/>
    <cellStyle name="Hyperlink" xfId="4478" builtinId="8" hidden="1"/>
    <cellStyle name="Hyperlink" xfId="4480" builtinId="8" hidden="1"/>
    <cellStyle name="Hyperlink" xfId="4482" builtinId="8" hidden="1"/>
    <cellStyle name="Hyperlink" xfId="4484" builtinId="8" hidden="1"/>
    <cellStyle name="Hyperlink" xfId="4486" builtinId="8" hidden="1"/>
    <cellStyle name="Hyperlink" xfId="4488" builtinId="8" hidden="1"/>
    <cellStyle name="Hyperlink" xfId="4490" builtinId="8" hidden="1"/>
    <cellStyle name="Hyperlink" xfId="4492" builtinId="8" hidden="1"/>
    <cellStyle name="Hyperlink" xfId="4494" builtinId="8" hidden="1"/>
    <cellStyle name="Hyperlink" xfId="4496" builtinId="8" hidden="1"/>
    <cellStyle name="Hyperlink" xfId="4498" builtinId="8" hidden="1"/>
    <cellStyle name="Hyperlink" xfId="4500" builtinId="8" hidden="1"/>
    <cellStyle name="Hyperlink" xfId="4502" builtinId="8" hidden="1"/>
    <cellStyle name="Hyperlink" xfId="4504" builtinId="8" hidden="1"/>
    <cellStyle name="Hyperlink" xfId="4506" builtinId="8" hidden="1"/>
    <cellStyle name="Hyperlink" xfId="4508" builtinId="8" hidden="1"/>
    <cellStyle name="Hyperlink" xfId="4510" builtinId="8" hidden="1"/>
    <cellStyle name="Hyperlink" xfId="4512" builtinId="8" hidden="1"/>
    <cellStyle name="Hyperlink" xfId="4514" builtinId="8" hidden="1"/>
    <cellStyle name="Hyperlink" xfId="4516" builtinId="8" hidden="1"/>
    <cellStyle name="Hyperlink" xfId="4518" builtinId="8" hidden="1"/>
    <cellStyle name="Hyperlink" xfId="4520" builtinId="8" hidden="1"/>
    <cellStyle name="Hyperlink" xfId="4522" builtinId="8" hidden="1"/>
    <cellStyle name="Hyperlink" xfId="4524" builtinId="8" hidden="1"/>
    <cellStyle name="Hyperlink" xfId="4526" builtinId="8" hidden="1"/>
    <cellStyle name="Hyperlink" xfId="4528" builtinId="8" hidden="1"/>
    <cellStyle name="Hyperlink" xfId="4530" builtinId="8" hidden="1"/>
    <cellStyle name="Hyperlink" xfId="4532" builtinId="8" hidden="1"/>
    <cellStyle name="Hyperlink" xfId="4534" builtinId="8" hidden="1"/>
    <cellStyle name="Hyperlink" xfId="4536" builtinId="8" hidden="1"/>
    <cellStyle name="Hyperlink" xfId="4538" builtinId="8" hidden="1"/>
    <cellStyle name="Hyperlink" xfId="4540" builtinId="8" hidden="1"/>
    <cellStyle name="Hyperlink" xfId="4542" builtinId="8" hidden="1"/>
    <cellStyle name="Hyperlink" xfId="4544" builtinId="8" hidden="1"/>
    <cellStyle name="Hyperlink" xfId="4546" builtinId="8" hidden="1"/>
    <cellStyle name="Hyperlink" xfId="4548" builtinId="8" hidden="1"/>
    <cellStyle name="Hyperlink" xfId="4550" builtinId="8" hidden="1"/>
    <cellStyle name="Hyperlink" xfId="4552" builtinId="8" hidden="1"/>
    <cellStyle name="Hyperlink" xfId="4554" builtinId="8" hidden="1"/>
    <cellStyle name="Hyperlink" xfId="4556" builtinId="8" hidden="1"/>
    <cellStyle name="Hyperlink" xfId="4558" builtinId="8" hidden="1"/>
    <cellStyle name="Hyperlink" xfId="4560" builtinId="8" hidden="1"/>
    <cellStyle name="Hyperlink" xfId="4562" builtinId="8" hidden="1"/>
    <cellStyle name="Hyperlink" xfId="4564" builtinId="8" hidden="1"/>
    <cellStyle name="Hyperlink" xfId="4566" builtinId="8" hidden="1"/>
    <cellStyle name="Hyperlink" xfId="4568" builtinId="8" hidden="1"/>
    <cellStyle name="Hyperlink" xfId="4570" builtinId="8" hidden="1"/>
    <cellStyle name="Hyperlink" xfId="4572" builtinId="8" hidden="1"/>
    <cellStyle name="Hyperlink" xfId="4574" builtinId="8" hidden="1"/>
    <cellStyle name="Hyperlink" xfId="4576" builtinId="8" hidden="1"/>
    <cellStyle name="Hyperlink" xfId="4578" builtinId="8" hidden="1"/>
    <cellStyle name="Hyperlink" xfId="4580" builtinId="8" hidden="1"/>
    <cellStyle name="Hyperlink" xfId="4582" builtinId="8" hidden="1"/>
    <cellStyle name="Hyperlink" xfId="4584" builtinId="8" hidden="1"/>
    <cellStyle name="Hyperlink" xfId="4586" builtinId="8" hidden="1"/>
    <cellStyle name="Hyperlink" xfId="4588" builtinId="8" hidden="1"/>
    <cellStyle name="Hyperlink" xfId="4590" builtinId="8" hidden="1"/>
    <cellStyle name="Hyperlink" xfId="4592" builtinId="8" hidden="1"/>
    <cellStyle name="Hyperlink" xfId="4594" builtinId="8" hidden="1"/>
    <cellStyle name="Hyperlink" xfId="4596" builtinId="8" hidden="1"/>
    <cellStyle name="Hyperlink" xfId="4598" builtinId="8" hidden="1"/>
    <cellStyle name="Hyperlink" xfId="4600" builtinId="8" hidden="1"/>
    <cellStyle name="Hyperlink" xfId="4602" builtinId="8" hidden="1"/>
    <cellStyle name="Hyperlink" xfId="4604" builtinId="8" hidden="1"/>
    <cellStyle name="Hyperlink" xfId="4606" builtinId="8" hidden="1"/>
    <cellStyle name="Hyperlink" xfId="4608" builtinId="8" hidden="1"/>
    <cellStyle name="Hyperlink" xfId="4610" builtinId="8" hidden="1"/>
    <cellStyle name="Hyperlink" xfId="4612" builtinId="8" hidden="1"/>
    <cellStyle name="Hyperlink" xfId="4614" builtinId="8" hidden="1"/>
    <cellStyle name="Hyperlink" xfId="4616" builtinId="8" hidden="1"/>
    <cellStyle name="Hyperlink" xfId="4618" builtinId="8" hidden="1"/>
    <cellStyle name="Hyperlink" xfId="4620" builtinId="8" hidden="1"/>
    <cellStyle name="Hyperlink" xfId="4622" builtinId="8" hidden="1"/>
    <cellStyle name="Hyperlink" xfId="4624" builtinId="8" hidden="1"/>
    <cellStyle name="Hyperlink" xfId="4626" builtinId="8" hidden="1"/>
    <cellStyle name="Hyperlink" xfId="4628" builtinId="8" hidden="1"/>
    <cellStyle name="Hyperlink" xfId="4630" builtinId="8" hidden="1"/>
    <cellStyle name="Hyperlink" xfId="4632" builtinId="8" hidden="1"/>
    <cellStyle name="Hyperlink" xfId="4634" builtinId="8" hidden="1"/>
    <cellStyle name="Hyperlink" xfId="4636" builtinId="8" hidden="1"/>
    <cellStyle name="Hyperlink" xfId="4638" builtinId="8" hidden="1"/>
    <cellStyle name="Hyperlink" xfId="4640" builtinId="8" hidden="1"/>
    <cellStyle name="Hyperlink" xfId="4642" builtinId="8" hidden="1"/>
    <cellStyle name="Hyperlink" xfId="4644" builtinId="8" hidden="1"/>
    <cellStyle name="Hyperlink" xfId="4646" builtinId="8" hidden="1"/>
    <cellStyle name="Hyperlink" xfId="4648" builtinId="8" hidden="1"/>
    <cellStyle name="Hyperlink" xfId="4650" builtinId="8" hidden="1"/>
    <cellStyle name="Hyperlink" xfId="4652" builtinId="8" hidden="1"/>
    <cellStyle name="Hyperlink" xfId="4654" builtinId="8" hidden="1"/>
    <cellStyle name="Hyperlink" xfId="4656" builtinId="8" hidden="1"/>
    <cellStyle name="Hyperlink" xfId="4658" builtinId="8" hidden="1"/>
    <cellStyle name="Hyperlink" xfId="4660" builtinId="8" hidden="1"/>
    <cellStyle name="Hyperlink" xfId="4662" builtinId="8" hidden="1"/>
    <cellStyle name="Hyperlink" xfId="4664" builtinId="8" hidden="1"/>
    <cellStyle name="Hyperlink" xfId="4666" builtinId="8" hidden="1"/>
    <cellStyle name="Hyperlink" xfId="4668" builtinId="8" hidden="1"/>
    <cellStyle name="Hyperlink" xfId="4670" builtinId="8" hidden="1"/>
    <cellStyle name="Hyperlink" xfId="4672" builtinId="8" hidden="1"/>
    <cellStyle name="Hyperlink" xfId="4674" builtinId="8" hidden="1"/>
    <cellStyle name="Hyperlink" xfId="4676" builtinId="8" hidden="1"/>
    <cellStyle name="Hyperlink" xfId="4678" builtinId="8" hidden="1"/>
    <cellStyle name="Hyperlink" xfId="4680" builtinId="8" hidden="1"/>
    <cellStyle name="Hyperlink" xfId="4682" builtinId="8" hidden="1"/>
    <cellStyle name="Hyperlink" xfId="4684" builtinId="8" hidden="1"/>
    <cellStyle name="Hyperlink" xfId="4686" builtinId="8" hidden="1"/>
    <cellStyle name="Hyperlink" xfId="4688" builtinId="8" hidden="1"/>
    <cellStyle name="Hyperlink" xfId="4690" builtinId="8" hidden="1"/>
    <cellStyle name="Hyperlink" xfId="4692" builtinId="8" hidden="1"/>
    <cellStyle name="Hyperlink" xfId="4694" builtinId="8" hidden="1"/>
    <cellStyle name="Hyperlink" xfId="4696" builtinId="8" hidden="1"/>
    <cellStyle name="Hyperlink" xfId="4698" builtinId="8" hidden="1"/>
    <cellStyle name="Hyperlink" xfId="4700" builtinId="8" hidden="1"/>
    <cellStyle name="Hyperlink" xfId="4702" builtinId="8" hidden="1"/>
    <cellStyle name="Hyperlink" xfId="4704" builtinId="8" hidden="1"/>
    <cellStyle name="Hyperlink" xfId="4706" builtinId="8" hidden="1"/>
    <cellStyle name="Hyperlink" xfId="4708" builtinId="8" hidden="1"/>
    <cellStyle name="Hyperlink" xfId="4710" builtinId="8" hidden="1"/>
    <cellStyle name="Hyperlink" xfId="4712" builtinId="8" hidden="1"/>
    <cellStyle name="Hyperlink" xfId="4714" builtinId="8" hidden="1"/>
    <cellStyle name="Hyperlink" xfId="4716" builtinId="8" hidden="1"/>
    <cellStyle name="Hyperlink" xfId="4718" builtinId="8" hidden="1"/>
    <cellStyle name="Hyperlink" xfId="4720" builtinId="8" hidden="1"/>
    <cellStyle name="Hyperlink" xfId="4722" builtinId="8" hidden="1"/>
    <cellStyle name="Hyperlink" xfId="4724" builtinId="8" hidden="1"/>
    <cellStyle name="Hyperlink" xfId="4726" builtinId="8" hidden="1"/>
    <cellStyle name="Hyperlink" xfId="4728" builtinId="8" hidden="1"/>
    <cellStyle name="Hyperlink" xfId="4730" builtinId="8" hidden="1"/>
    <cellStyle name="Hyperlink" xfId="4732" builtinId="8" hidden="1"/>
    <cellStyle name="Hyperlink" xfId="4734" builtinId="8" hidden="1"/>
    <cellStyle name="Hyperlink" xfId="4736" builtinId="8" hidden="1"/>
    <cellStyle name="Hyperlink" xfId="4738" builtinId="8" hidden="1"/>
    <cellStyle name="Hyperlink" xfId="4740" builtinId="8" hidden="1"/>
    <cellStyle name="Hyperlink" xfId="4742" builtinId="8" hidden="1"/>
    <cellStyle name="Hyperlink" xfId="4744" builtinId="8" hidden="1"/>
    <cellStyle name="Hyperlink" xfId="4746" builtinId="8" hidden="1"/>
    <cellStyle name="Hyperlink" xfId="4748" builtinId="8" hidden="1"/>
    <cellStyle name="Hyperlink" xfId="4750" builtinId="8" hidden="1"/>
    <cellStyle name="Hyperlink" xfId="4752" builtinId="8" hidden="1"/>
    <cellStyle name="Hyperlink" xfId="4754" builtinId="8" hidden="1"/>
    <cellStyle name="Hyperlink" xfId="4756" builtinId="8" hidden="1"/>
    <cellStyle name="Hyperlink" xfId="4758" builtinId="8" hidden="1"/>
    <cellStyle name="Hyperlink" xfId="4760" builtinId="8" hidden="1"/>
    <cellStyle name="Hyperlink" xfId="4762" builtinId="8" hidden="1"/>
    <cellStyle name="Hyperlink" xfId="4764" builtinId="8" hidden="1"/>
    <cellStyle name="Hyperlink" xfId="4766" builtinId="8" hidden="1"/>
    <cellStyle name="Hyperlink" xfId="4768" builtinId="8" hidden="1"/>
    <cellStyle name="Hyperlink" xfId="4770" builtinId="8" hidden="1"/>
    <cellStyle name="Hyperlink" xfId="4772" builtinId="8" hidden="1"/>
    <cellStyle name="Hyperlink" xfId="4774" builtinId="8" hidden="1"/>
    <cellStyle name="Hyperlink" xfId="4776" builtinId="8" hidden="1"/>
    <cellStyle name="Hyperlink" xfId="4778" builtinId="8" hidden="1"/>
    <cellStyle name="Hyperlink" xfId="4780" builtinId="8" hidden="1"/>
    <cellStyle name="Hyperlink" xfId="4782" builtinId="8" hidden="1"/>
    <cellStyle name="Hyperlink" xfId="4784" builtinId="8" hidden="1"/>
    <cellStyle name="Hyperlink" xfId="4786" builtinId="8" hidden="1"/>
    <cellStyle name="Hyperlink" xfId="4788" builtinId="8" hidden="1"/>
    <cellStyle name="Hyperlink" xfId="4790" builtinId="8" hidden="1"/>
    <cellStyle name="Hyperlink" xfId="4792" builtinId="8" hidden="1"/>
    <cellStyle name="Hyperlink" xfId="4794" builtinId="8" hidden="1"/>
    <cellStyle name="Hyperlink" xfId="4796" builtinId="8" hidden="1"/>
    <cellStyle name="Hyperlink" xfId="4798" builtinId="8" hidden="1"/>
    <cellStyle name="Hyperlink" xfId="4800" builtinId="8" hidden="1"/>
    <cellStyle name="Hyperlink" xfId="4802" builtinId="8" hidden="1"/>
    <cellStyle name="Hyperlink" xfId="4804" builtinId="8" hidden="1"/>
    <cellStyle name="Hyperlink" xfId="4806" builtinId="8" hidden="1"/>
    <cellStyle name="Hyperlink" xfId="4808" builtinId="8" hidden="1"/>
    <cellStyle name="Hyperlink" xfId="4810" builtinId="8" hidden="1"/>
    <cellStyle name="Hyperlink" xfId="4812" builtinId="8" hidden="1"/>
    <cellStyle name="Hyperlink" xfId="4814" builtinId="8" hidden="1"/>
    <cellStyle name="Hyperlink" xfId="4816" builtinId="8" hidden="1"/>
    <cellStyle name="Hyperlink" xfId="4818" builtinId="8" hidden="1"/>
    <cellStyle name="Hyperlink" xfId="4820" builtinId="8" hidden="1"/>
    <cellStyle name="Hyperlink" xfId="4822" builtinId="8" hidden="1"/>
    <cellStyle name="Hyperlink" xfId="4824" builtinId="8" hidden="1"/>
    <cellStyle name="Hyperlink" xfId="4826" builtinId="8" hidden="1"/>
    <cellStyle name="Hyperlink" xfId="4828" builtinId="8" hidden="1"/>
    <cellStyle name="Hyperlink" xfId="4830" builtinId="8" hidden="1"/>
    <cellStyle name="Hyperlink" xfId="4832" builtinId="8" hidden="1"/>
    <cellStyle name="Hyperlink" xfId="4834" builtinId="8" hidden="1"/>
    <cellStyle name="Hyperlink" xfId="4836" builtinId="8" hidden="1"/>
    <cellStyle name="Hyperlink" xfId="4838" builtinId="8" hidden="1"/>
    <cellStyle name="Hyperlink" xfId="4840" builtinId="8" hidden="1"/>
    <cellStyle name="Hyperlink" xfId="4842" builtinId="8" hidden="1"/>
    <cellStyle name="Hyperlink" xfId="4844" builtinId="8" hidden="1"/>
    <cellStyle name="Hyperlink" xfId="4846" builtinId="8" hidden="1"/>
    <cellStyle name="Hyperlink" xfId="4848" builtinId="8" hidden="1"/>
    <cellStyle name="Hyperlink" xfId="4850" builtinId="8" hidden="1"/>
    <cellStyle name="Hyperlink" xfId="4852" builtinId="8" hidden="1"/>
    <cellStyle name="Hyperlink" xfId="4854" builtinId="8" hidden="1"/>
    <cellStyle name="Hyperlink" xfId="4856" builtinId="8" hidden="1"/>
    <cellStyle name="Hyperlink" xfId="4858" builtinId="8" hidden="1"/>
    <cellStyle name="Hyperlink" xfId="4860" builtinId="8" hidden="1"/>
    <cellStyle name="Hyperlink" xfId="4862" builtinId="8" hidden="1"/>
    <cellStyle name="Hyperlink" xfId="4864" builtinId="8" hidden="1"/>
    <cellStyle name="Hyperlink" xfId="4866" builtinId="8" hidden="1"/>
    <cellStyle name="Hyperlink" xfId="4868" builtinId="8" hidden="1"/>
    <cellStyle name="Hyperlink" xfId="4870" builtinId="8" hidden="1"/>
    <cellStyle name="Hyperlink" xfId="4872" builtinId="8" hidden="1"/>
    <cellStyle name="Hyperlink" xfId="4874" builtinId="8" hidden="1"/>
    <cellStyle name="Hyperlink" xfId="4876" builtinId="8" hidden="1"/>
    <cellStyle name="Hyperlink" xfId="4878" builtinId="8" hidden="1"/>
    <cellStyle name="Hyperlink" xfId="4880" builtinId="8" hidden="1"/>
    <cellStyle name="Hyperlink" xfId="4882" builtinId="8" hidden="1"/>
    <cellStyle name="Hyperlink" xfId="4884" builtinId="8" hidden="1"/>
    <cellStyle name="Hyperlink" xfId="4886" builtinId="8" hidden="1"/>
    <cellStyle name="Hyperlink" xfId="4888" builtinId="8" hidden="1"/>
    <cellStyle name="Hyperlink" xfId="4890" builtinId="8" hidden="1"/>
    <cellStyle name="Hyperlink" xfId="4892" builtinId="8" hidden="1"/>
    <cellStyle name="Hyperlink" xfId="4894" builtinId="8" hidden="1"/>
    <cellStyle name="Hyperlink" xfId="4896" builtinId="8" hidden="1"/>
    <cellStyle name="Hyperlink" xfId="4898" builtinId="8" hidden="1"/>
    <cellStyle name="Hyperlink" xfId="4900" builtinId="8" hidden="1"/>
    <cellStyle name="Hyperlink" xfId="4902" builtinId="8" hidden="1"/>
    <cellStyle name="Hyperlink" xfId="4904" builtinId="8" hidden="1"/>
    <cellStyle name="Hyperlink" xfId="4906" builtinId="8" hidden="1"/>
    <cellStyle name="Hyperlink" xfId="4908" builtinId="8" hidden="1"/>
    <cellStyle name="Hyperlink" xfId="4910" builtinId="8" hidden="1"/>
    <cellStyle name="Hyperlink" xfId="4912" builtinId="8" hidden="1"/>
    <cellStyle name="Hyperlink" xfId="4914" builtinId="8" hidden="1"/>
    <cellStyle name="Hyperlink" xfId="4916" builtinId="8" hidden="1"/>
    <cellStyle name="Hyperlink" xfId="4918" builtinId="8" hidden="1"/>
    <cellStyle name="Hyperlink" xfId="4920" builtinId="8" hidden="1"/>
    <cellStyle name="Hyperlink" xfId="4922" builtinId="8" hidden="1"/>
    <cellStyle name="Hyperlink" xfId="4924" builtinId="8" hidden="1"/>
    <cellStyle name="Hyperlink" xfId="4926" builtinId="8" hidden="1"/>
    <cellStyle name="Hyperlink" xfId="4928" builtinId="8" hidden="1"/>
    <cellStyle name="Hyperlink" xfId="4930" builtinId="8" hidden="1"/>
    <cellStyle name="Hyperlink" xfId="4932" builtinId="8" hidden="1"/>
    <cellStyle name="Hyperlink" xfId="4934" builtinId="8"/>
    <cellStyle name="Normal" xfId="0" builtinId="0"/>
    <cellStyle name="Percent" xfId="320" builtinId="5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solid">
          <fgColor indexed="64"/>
          <bgColor theme="6" tint="0.59999389629810485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 patternType="solid">
          <fgColor indexed="64"/>
          <bgColor theme="6" tint="0.59999389629810485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 patternType="solid">
          <fgColor indexed="64"/>
          <bgColor theme="6" tint="0.59999389629810485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 patternType="solid">
          <fgColor indexed="64"/>
          <bgColor rgb="FFEAEBA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</dxfs>
  <tableStyles count="0" defaultTableStyle="TableStyleMedium9" defaultPivotStyle="PivotStyleMedium4"/>
  <colors>
    <mruColors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6"/>
  <sheetViews>
    <sheetView zoomScale="110" zoomScaleNormal="110" zoomScalePageLayoutView="110" workbookViewId="0">
      <pane xSplit="1" ySplit="1" topLeftCell="B100" activePane="bottomRight" state="frozen"/>
      <selection pane="topRight" activeCell="B1" sqref="B1"/>
      <selection pane="bottomLeft" activeCell="A2" sqref="A2"/>
      <selection pane="bottomRight" activeCell="B116" sqref="B116"/>
    </sheetView>
  </sheetViews>
  <sheetFormatPr baseColWidth="10" defaultColWidth="11" defaultRowHeight="16"/>
  <cols>
    <col min="1" max="1" width="10.33203125" style="1" bestFit="1" customWidth="1"/>
    <col min="2" max="2" width="18.1640625" style="2" bestFit="1" customWidth="1"/>
    <col min="3" max="3" width="6.6640625" customWidth="1"/>
    <col min="4" max="4" width="17.1640625" bestFit="1" customWidth="1"/>
    <col min="5" max="5" width="16.5" customWidth="1"/>
    <col min="6" max="6" width="48.6640625" bestFit="1" customWidth="1"/>
  </cols>
  <sheetData>
    <row r="1" spans="1:5" s="3" customFormat="1">
      <c r="A1" s="3" t="s">
        <v>0</v>
      </c>
      <c r="B1" s="4" t="s">
        <v>5</v>
      </c>
      <c r="C1" s="3" t="s">
        <v>8</v>
      </c>
      <c r="D1" s="3" t="s">
        <v>73</v>
      </c>
      <c r="E1" s="3" t="s">
        <v>74</v>
      </c>
    </row>
    <row r="2" spans="1:5">
      <c r="A2" s="38">
        <v>41274</v>
      </c>
      <c r="B2" s="7">
        <f>'Strategy&amp;Account'!B2</f>
        <v>16097797.848790389</v>
      </c>
      <c r="C2" s="101">
        <f>'Strategy&amp;Account'!C2</f>
        <v>2</v>
      </c>
      <c r="D2" s="6"/>
      <c r="E2" s="8">
        <f>B2</f>
        <v>16097797.848790389</v>
      </c>
    </row>
    <row r="3" spans="1:5">
      <c r="A3" s="38">
        <v>41305</v>
      </c>
      <c r="B3" s="7">
        <f>'Strategy&amp;Account'!B3</f>
        <v>20591060.908057809</v>
      </c>
      <c r="C3" s="101">
        <f>'Strategy&amp;Account'!C3</f>
        <v>2</v>
      </c>
      <c r="D3" s="6">
        <f t="shared" ref="D3:D21" si="0">B3-B2</f>
        <v>4493263.0592674203</v>
      </c>
      <c r="E3" s="8"/>
    </row>
    <row r="4" spans="1:5">
      <c r="A4" s="38">
        <v>41333</v>
      </c>
      <c r="B4" s="7">
        <f>'Strategy&amp;Account'!B4</f>
        <v>25153160.440993071</v>
      </c>
      <c r="C4" s="101">
        <f>'Strategy&amp;Account'!C4</f>
        <v>2</v>
      </c>
      <c r="D4" s="6">
        <f t="shared" si="0"/>
        <v>4562099.5329352617</v>
      </c>
      <c r="E4" s="8"/>
    </row>
    <row r="5" spans="1:5">
      <c r="A5" s="38">
        <v>41364</v>
      </c>
      <c r="B5" s="7">
        <f>'Strategy&amp;Account'!B5</f>
        <v>31870607.432609409</v>
      </c>
      <c r="C5" s="101">
        <f>'Strategy&amp;Account'!C5</f>
        <v>2</v>
      </c>
      <c r="D5" s="6">
        <f t="shared" si="0"/>
        <v>6717446.9916163385</v>
      </c>
      <c r="E5" s="8"/>
    </row>
    <row r="6" spans="1:5">
      <c r="A6" s="38">
        <v>41394</v>
      </c>
      <c r="B6" s="7">
        <f>'Strategy&amp;Account'!B6</f>
        <v>43261752.239458367</v>
      </c>
      <c r="C6" s="101">
        <f>'Strategy&amp;Account'!C6</f>
        <v>2</v>
      </c>
      <c r="D6" s="6">
        <f t="shared" si="0"/>
        <v>11391144.806848958</v>
      </c>
      <c r="E6" s="8"/>
    </row>
    <row r="7" spans="1:5">
      <c r="A7" s="38">
        <v>41425</v>
      </c>
      <c r="B7" s="7">
        <f>'Strategy&amp;Account'!B7</f>
        <v>53175554.15999005</v>
      </c>
      <c r="C7" s="101">
        <f>'Strategy&amp;Account'!C7</f>
        <v>2</v>
      </c>
      <c r="D7" s="6">
        <f t="shared" si="0"/>
        <v>9913801.9205316827</v>
      </c>
      <c r="E7" s="8"/>
    </row>
    <row r="8" spans="1:5">
      <c r="A8" s="38">
        <v>41455</v>
      </c>
      <c r="B8" s="7">
        <f>'Strategy&amp;Account'!B8</f>
        <v>59663773.475214273</v>
      </c>
      <c r="C8" s="101">
        <f>'Strategy&amp;Account'!C8</f>
        <v>2</v>
      </c>
      <c r="D8" s="6">
        <f t="shared" si="0"/>
        <v>6488219.3152242228</v>
      </c>
      <c r="E8" s="8"/>
    </row>
    <row r="9" spans="1:5">
      <c r="A9" s="38">
        <v>41486</v>
      </c>
      <c r="B9" s="7">
        <f>'Strategy&amp;Account'!B9</f>
        <v>74569203.560000002</v>
      </c>
      <c r="C9" s="101">
        <f>'Strategy&amp;Account'!C9</f>
        <v>2</v>
      </c>
      <c r="D9" s="6">
        <f t="shared" si="0"/>
        <v>14905430.08478573</v>
      </c>
      <c r="E9" s="8"/>
    </row>
    <row r="10" spans="1:5">
      <c r="A10" s="38">
        <v>41517</v>
      </c>
      <c r="B10" s="7">
        <f>'Strategy&amp;Account'!B10</f>
        <v>85315151.609999999</v>
      </c>
      <c r="C10" s="101">
        <f>'Strategy&amp;Account'!C10</f>
        <v>264</v>
      </c>
      <c r="D10" s="6">
        <f t="shared" si="0"/>
        <v>10745948.049999997</v>
      </c>
      <c r="E10" s="8"/>
    </row>
    <row r="11" spans="1:5">
      <c r="A11" s="38">
        <v>41547</v>
      </c>
      <c r="B11" s="7">
        <f>'Strategy&amp;Account'!B11</f>
        <v>97529991.730000004</v>
      </c>
      <c r="C11" s="101">
        <f>'Strategy&amp;Account'!C11</f>
        <v>301</v>
      </c>
      <c r="D11" s="6">
        <f t="shared" si="0"/>
        <v>12214840.120000005</v>
      </c>
      <c r="E11" s="8"/>
    </row>
    <row r="12" spans="1:5">
      <c r="A12" s="38">
        <v>41578</v>
      </c>
      <c r="B12" s="7">
        <f>'Strategy&amp;Account'!B12</f>
        <v>112238846.15000001</v>
      </c>
      <c r="C12" s="101">
        <f>'Strategy&amp;Account'!C12</f>
        <v>361</v>
      </c>
      <c r="D12" s="6">
        <f t="shared" si="0"/>
        <v>14708854.420000002</v>
      </c>
      <c r="E12" s="8"/>
    </row>
    <row r="13" spans="1:5">
      <c r="A13" s="38">
        <v>41608</v>
      </c>
      <c r="B13" s="7">
        <f>'Strategy&amp;Account'!B13</f>
        <v>124276445.78</v>
      </c>
      <c r="C13" s="101">
        <f>'Strategy&amp;Account'!C13</f>
        <v>398</v>
      </c>
      <c r="D13" s="6">
        <f t="shared" si="0"/>
        <v>12037599.629999995</v>
      </c>
      <c r="E13" s="8"/>
    </row>
    <row r="14" spans="1:5">
      <c r="A14" s="38">
        <v>41639</v>
      </c>
      <c r="B14" s="7">
        <f>'Strategy&amp;Account'!B14</f>
        <v>134715765.55812672</v>
      </c>
      <c r="C14" s="101">
        <f>'Strategy&amp;Account'!C14</f>
        <v>439</v>
      </c>
      <c r="D14" s="6">
        <f t="shared" si="0"/>
        <v>10439319.778126717</v>
      </c>
      <c r="E14" s="8">
        <f>B14-B2</f>
        <v>118617967.70933633</v>
      </c>
    </row>
    <row r="15" spans="1:5">
      <c r="A15" s="38">
        <v>41670</v>
      </c>
      <c r="B15" s="7">
        <f>'Strategy&amp;Account'!B15</f>
        <v>137813960.19502681</v>
      </c>
      <c r="C15" s="101">
        <f>'Strategy&amp;Account'!C15</f>
        <v>478</v>
      </c>
      <c r="D15" s="6">
        <f t="shared" si="0"/>
        <v>3098194.6369000971</v>
      </c>
      <c r="E15" s="8"/>
    </row>
    <row r="16" spans="1:5">
      <c r="A16" s="38">
        <v>41698</v>
      </c>
      <c r="B16" s="7">
        <f>'Strategy&amp;Account'!B16</f>
        <v>146930081.15000001</v>
      </c>
      <c r="C16" s="101">
        <f>'Strategy&amp;Account'!C16</f>
        <v>499</v>
      </c>
      <c r="D16" s="6">
        <f t="shared" si="0"/>
        <v>9116120.954973191</v>
      </c>
      <c r="E16" s="8"/>
    </row>
    <row r="17" spans="1:5">
      <c r="A17" s="38">
        <v>41729</v>
      </c>
      <c r="B17" s="7">
        <f>'Strategy&amp;Account'!B17</f>
        <v>155542476.97</v>
      </c>
      <c r="C17" s="101">
        <f>'Strategy&amp;Account'!C17</f>
        <v>514</v>
      </c>
      <c r="D17" s="6">
        <f t="shared" si="0"/>
        <v>8612395.8199999928</v>
      </c>
      <c r="E17" s="8"/>
    </row>
    <row r="18" spans="1:5">
      <c r="A18" s="38">
        <v>41759</v>
      </c>
      <c r="B18" s="7">
        <f>'Strategy&amp;Account'!B18</f>
        <v>162409970.75</v>
      </c>
      <c r="C18" s="101">
        <f>'Strategy&amp;Account'!C18</f>
        <v>521</v>
      </c>
      <c r="D18" s="6">
        <f t="shared" si="0"/>
        <v>6867493.7800000012</v>
      </c>
      <c r="E18" s="8"/>
    </row>
    <row r="19" spans="1:5">
      <c r="A19" s="38">
        <v>41790</v>
      </c>
      <c r="B19" s="7">
        <f>'Strategy&amp;Account'!B19</f>
        <v>167781304.85999998</v>
      </c>
      <c r="C19" s="101">
        <f>'Strategy&amp;Account'!C19</f>
        <v>566</v>
      </c>
      <c r="D19" s="6">
        <f t="shared" si="0"/>
        <v>5371334.1099999845</v>
      </c>
      <c r="E19" s="8"/>
    </row>
    <row r="20" spans="1:5">
      <c r="A20" s="38">
        <v>41820</v>
      </c>
      <c r="B20" s="7">
        <f>'Strategy&amp;Account'!B20</f>
        <v>174511830.98000002</v>
      </c>
      <c r="C20" s="101">
        <f>'Strategy&amp;Account'!C20</f>
        <v>584</v>
      </c>
      <c r="D20" s="6">
        <f t="shared" si="0"/>
        <v>6730526.1200000346</v>
      </c>
      <c r="E20" s="8"/>
    </row>
    <row r="21" spans="1:5">
      <c r="A21" s="38">
        <v>41851</v>
      </c>
      <c r="B21" s="7">
        <f>'Strategy&amp;Account'!B21</f>
        <v>176883397.03000003</v>
      </c>
      <c r="C21" s="101">
        <f>'Strategy&amp;Account'!C21</f>
        <v>605</v>
      </c>
      <c r="D21" s="6">
        <f t="shared" si="0"/>
        <v>2371566.0500000119</v>
      </c>
      <c r="E21" s="8"/>
    </row>
    <row r="22" spans="1:5">
      <c r="A22" s="38">
        <v>41882</v>
      </c>
      <c r="B22" s="7">
        <f>'Strategy&amp;Account'!B22</f>
        <v>186716879.61000001</v>
      </c>
      <c r="C22" s="101">
        <f>'Strategy&amp;Account'!C22</f>
        <v>619</v>
      </c>
      <c r="D22" s="6">
        <f>B22-B$21</f>
        <v>9833482.5799999833</v>
      </c>
      <c r="E22" s="8"/>
    </row>
    <row r="23" spans="1:5">
      <c r="A23" s="38">
        <v>41912</v>
      </c>
      <c r="B23" s="7">
        <f>'Strategy&amp;Account'!B23</f>
        <v>187196375.09</v>
      </c>
      <c r="C23" s="101">
        <f>'Strategy&amp;Account'!C23</f>
        <v>632</v>
      </c>
      <c r="D23" s="6">
        <f>B23-B$22</f>
        <v>479495.47999998927</v>
      </c>
      <c r="E23" s="8"/>
    </row>
    <row r="24" spans="1:5">
      <c r="A24" s="38">
        <v>41943</v>
      </c>
      <c r="B24" s="7">
        <f>'Strategy&amp;Account'!B24</f>
        <v>198425797.89103448</v>
      </c>
      <c r="C24" s="101">
        <f>'Strategy&amp;Account'!C24</f>
        <v>656</v>
      </c>
      <c r="D24" s="6">
        <f>B24-B$23</f>
        <v>11229422.80103448</v>
      </c>
      <c r="E24" s="8"/>
    </row>
    <row r="25" spans="1:5">
      <c r="A25" s="38">
        <v>41973</v>
      </c>
      <c r="B25" s="7">
        <f>'Strategy&amp;Account'!B25</f>
        <v>215423424.56999999</v>
      </c>
      <c r="C25" s="101">
        <f>'Strategy&amp;Account'!C25</f>
        <v>670</v>
      </c>
      <c r="D25" s="6">
        <f>B25-B$24</f>
        <v>16997626.678965509</v>
      </c>
      <c r="E25" s="8"/>
    </row>
    <row r="26" spans="1:5">
      <c r="A26" s="38">
        <v>42004</v>
      </c>
      <c r="B26" s="7">
        <f>'Strategy&amp;Account'!B26</f>
        <v>222689106.38</v>
      </c>
      <c r="C26" s="101">
        <f>'Strategy&amp;Account'!C26</f>
        <v>660</v>
      </c>
      <c r="D26" s="6">
        <f>B26-B$25</f>
        <v>7265681.8100000024</v>
      </c>
      <c r="E26" s="8">
        <f>B26-B14</f>
        <v>87973340.821873277</v>
      </c>
    </row>
    <row r="27" spans="1:5">
      <c r="A27" s="38">
        <v>42035</v>
      </c>
      <c r="B27" s="7">
        <f>'Strategy&amp;Account'!B27</f>
        <v>230636482.5995</v>
      </c>
      <c r="C27" s="101">
        <f>'Strategy&amp;Account'!C27</f>
        <v>697</v>
      </c>
      <c r="D27" s="6">
        <f>B27-B$26</f>
        <v>7947376.2195000052</v>
      </c>
      <c r="E27" s="8"/>
    </row>
    <row r="28" spans="1:5">
      <c r="A28" s="38">
        <v>42063</v>
      </c>
      <c r="B28" s="7">
        <f>'Strategy&amp;Account'!B28</f>
        <v>248806078.38999999</v>
      </c>
      <c r="C28" s="101">
        <f>'Strategy&amp;Account'!C28</f>
        <v>716</v>
      </c>
      <c r="D28" s="6">
        <f>B28-B$27</f>
        <v>18169595.790499985</v>
      </c>
      <c r="E28" s="8"/>
    </row>
    <row r="29" spans="1:5">
      <c r="A29" s="38">
        <v>42094</v>
      </c>
      <c r="B29" s="7">
        <f>'Strategy&amp;Account'!B29</f>
        <v>260564834.65000004</v>
      </c>
      <c r="C29" s="101">
        <f>'Strategy&amp;Account'!C29</f>
        <v>743</v>
      </c>
      <c r="D29" s="6">
        <f>B29-B$28</f>
        <v>11758756.26000005</v>
      </c>
      <c r="E29" s="8"/>
    </row>
    <row r="30" spans="1:5">
      <c r="A30" s="38">
        <v>42124</v>
      </c>
      <c r="B30" s="7">
        <f>'Strategy&amp;Account'!B30</f>
        <v>270593468.21999997</v>
      </c>
      <c r="C30" s="101">
        <f>'Strategy&amp;Account'!C30</f>
        <v>764</v>
      </c>
      <c r="D30" s="6">
        <f>B30-B$29</f>
        <v>10028633.569999933</v>
      </c>
      <c r="E30" s="8"/>
    </row>
    <row r="31" spans="1:5">
      <c r="A31" s="38">
        <v>42155</v>
      </c>
      <c r="B31" s="7">
        <f>'Strategy&amp;Account'!B31</f>
        <v>283756758.63410002</v>
      </c>
      <c r="C31" s="101">
        <f>'Strategy&amp;Account'!C31</f>
        <v>765</v>
      </c>
      <c r="D31" s="6">
        <f>B31-B$30</f>
        <v>13163290.414100051</v>
      </c>
      <c r="E31" s="8"/>
    </row>
    <row r="32" spans="1:5">
      <c r="A32" s="38">
        <v>42185</v>
      </c>
      <c r="B32" s="7">
        <f>'Strategy&amp;Account'!B32</f>
        <v>279799754.49962997</v>
      </c>
      <c r="C32" s="101">
        <f>'Strategy&amp;Account'!C32</f>
        <v>783</v>
      </c>
      <c r="D32" s="6">
        <f>B32-B$31</f>
        <v>-3957004.1344700456</v>
      </c>
      <c r="E32" s="8"/>
    </row>
    <row r="33" spans="1:5">
      <c r="A33" s="38">
        <v>42216</v>
      </c>
      <c r="B33" s="7">
        <f>'Strategy&amp;Account'!B33</f>
        <v>305581921.42092997</v>
      </c>
      <c r="C33" s="101">
        <f>'Strategy&amp;Account'!C33</f>
        <v>795</v>
      </c>
      <c r="D33" s="6">
        <f>B33-B$32</f>
        <v>25782166.921299994</v>
      </c>
      <c r="E33" s="8"/>
    </row>
    <row r="34" spans="1:5">
      <c r="A34" s="38">
        <v>42247</v>
      </c>
      <c r="B34" s="7">
        <f>'Strategy&amp;Account'!B34</f>
        <v>297127036.90613997</v>
      </c>
      <c r="C34" s="101">
        <f>'Strategy&amp;Account'!C34</f>
        <v>806</v>
      </c>
      <c r="D34" s="6">
        <f>B34-B$33</f>
        <v>-8454884.5147899985</v>
      </c>
      <c r="E34" s="8"/>
    </row>
    <row r="35" spans="1:5">
      <c r="A35" s="39">
        <v>42277</v>
      </c>
      <c r="B35" s="7">
        <f>'Strategy&amp;Account'!B35</f>
        <v>300236121.97703993</v>
      </c>
      <c r="C35" s="101">
        <f>'Strategy&amp;Account'!C35</f>
        <v>810</v>
      </c>
      <c r="D35" s="6">
        <f>B35-B$34</f>
        <v>3109085.0708999634</v>
      </c>
      <c r="E35" s="8"/>
    </row>
    <row r="36" spans="1:5">
      <c r="A36" s="38">
        <v>42308</v>
      </c>
      <c r="B36" s="7">
        <f>'Strategy&amp;Account'!B36</f>
        <v>330970152.92313999</v>
      </c>
      <c r="C36" s="101">
        <f>'Strategy&amp;Account'!C36</f>
        <v>822</v>
      </c>
      <c r="D36" s="6">
        <f>B36-B$35</f>
        <v>30734030.946100056</v>
      </c>
      <c r="E36" s="8"/>
    </row>
    <row r="37" spans="1:5">
      <c r="A37" s="38">
        <v>42338</v>
      </c>
      <c r="B37" s="7">
        <f>'Strategy&amp;Account'!B37</f>
        <v>331808730.61584997</v>
      </c>
      <c r="C37" s="101">
        <f>'Strategy&amp;Account'!C37</f>
        <v>812</v>
      </c>
      <c r="D37" s="6">
        <f>B37-B$36</f>
        <v>838577.6927099824</v>
      </c>
      <c r="E37" s="8"/>
    </row>
    <row r="38" spans="1:5">
      <c r="A38" s="38">
        <v>42369</v>
      </c>
      <c r="B38" s="7">
        <f>'Strategy&amp;Account'!B38</f>
        <v>332291843.14131993</v>
      </c>
      <c r="C38" s="101">
        <f>'Strategy&amp;Account'!C38</f>
        <v>807</v>
      </c>
      <c r="D38" s="6">
        <f>B38-B$37</f>
        <v>483112.52546995878</v>
      </c>
      <c r="E38" s="8">
        <f>B38-B26</f>
        <v>109602736.76131994</v>
      </c>
    </row>
    <row r="39" spans="1:5">
      <c r="A39" s="38">
        <v>42400</v>
      </c>
      <c r="B39" s="7">
        <f>'Strategy&amp;Account'!B39</f>
        <v>396319380.75485003</v>
      </c>
      <c r="C39" s="101">
        <f>'Strategy&amp;Account'!C39</f>
        <v>798</v>
      </c>
      <c r="D39" s="6">
        <f>B39-B$38</f>
        <v>64027537.613530099</v>
      </c>
      <c r="E39" s="8"/>
    </row>
    <row r="40" spans="1:5">
      <c r="A40" s="38">
        <v>42429</v>
      </c>
      <c r="B40" s="7">
        <f>'Strategy&amp;Account'!B40</f>
        <v>431882422.29268998</v>
      </c>
      <c r="C40" s="101">
        <f>'Strategy&amp;Account'!C40</f>
        <v>796</v>
      </c>
      <c r="D40" s="6">
        <f>B40-B$39</f>
        <v>35563041.537839949</v>
      </c>
      <c r="E40" s="8"/>
    </row>
    <row r="41" spans="1:5">
      <c r="A41" s="38">
        <v>42460</v>
      </c>
      <c r="B41" s="7">
        <f>'Strategy&amp;Account'!B41</f>
        <v>553718881.89839995</v>
      </c>
      <c r="C41" s="101">
        <f>'Strategy&amp;Account'!C41</f>
        <v>813</v>
      </c>
      <c r="D41" s="6">
        <f>B41-B$40</f>
        <v>121836459.60570997</v>
      </c>
      <c r="E41" s="8"/>
    </row>
    <row r="42" spans="1:5">
      <c r="A42" s="38">
        <v>42490</v>
      </c>
      <c r="B42" s="7">
        <f>'Strategy&amp;Account'!B42</f>
        <v>564090472.80479991</v>
      </c>
      <c r="C42" s="101">
        <f>'Strategy&amp;Account'!C42</f>
        <v>824</v>
      </c>
      <c r="D42" s="6">
        <f t="shared" ref="D42:D65" si="1">B42-$B41</f>
        <v>10371590.906399965</v>
      </c>
      <c r="E42" s="8"/>
    </row>
    <row r="43" spans="1:5">
      <c r="A43" s="38">
        <v>42521</v>
      </c>
      <c r="B43" s="7">
        <f>'Strategy&amp;Account'!B43</f>
        <v>587911840.24853992</v>
      </c>
      <c r="C43" s="101">
        <f>'Strategy&amp;Account'!C43</f>
        <v>807</v>
      </c>
      <c r="D43" s="6">
        <f t="shared" si="1"/>
        <v>23821367.44374001</v>
      </c>
      <c r="E43" s="8"/>
    </row>
    <row r="44" spans="1:5">
      <c r="A44" s="38">
        <v>42551</v>
      </c>
      <c r="B44" s="7">
        <f>'Strategy&amp;Account'!B44</f>
        <v>620482461.38192976</v>
      </c>
      <c r="C44" s="101">
        <f>'Strategy&amp;Account'!C44</f>
        <v>770</v>
      </c>
      <c r="D44" s="6">
        <f t="shared" si="1"/>
        <v>32570621.133389831</v>
      </c>
      <c r="E44" s="8"/>
    </row>
    <row r="45" spans="1:5">
      <c r="A45" s="38">
        <v>42582</v>
      </c>
      <c r="B45" s="7">
        <f>'Strategy&amp;Account'!B45</f>
        <v>649422616.61662996</v>
      </c>
      <c r="C45" s="101">
        <f>'Strategy&amp;Account'!C45</f>
        <v>772</v>
      </c>
      <c r="D45" s="6">
        <f t="shared" si="1"/>
        <v>28940155.234700203</v>
      </c>
      <c r="E45" s="8"/>
    </row>
    <row r="46" spans="1:5">
      <c r="A46" s="38">
        <v>42613</v>
      </c>
      <c r="B46" s="7">
        <f>'Strategy&amp;Account'!B46</f>
        <v>653829683.93123996</v>
      </c>
      <c r="C46" s="101">
        <f>'Strategy&amp;Account'!C46</f>
        <v>746</v>
      </c>
      <c r="D46" s="6">
        <f t="shared" si="1"/>
        <v>4407067.3146100044</v>
      </c>
      <c r="E46" s="8"/>
    </row>
    <row r="47" spans="1:5">
      <c r="A47" s="38">
        <v>42643</v>
      </c>
      <c r="B47" s="7">
        <f>'Strategy&amp;Account'!B47</f>
        <v>642807534.13390994</v>
      </c>
      <c r="C47" s="101">
        <f>'Strategy&amp;Account'!C47</f>
        <v>747</v>
      </c>
      <c r="D47" s="6">
        <f t="shared" si="1"/>
        <v>-11022149.797330022</v>
      </c>
      <c r="E47" s="8"/>
    </row>
    <row r="48" spans="1:5">
      <c r="A48" s="38">
        <v>42674</v>
      </c>
      <c r="B48" s="7">
        <f>'Strategy&amp;Account'!B48</f>
        <v>620419615.03501987</v>
      </c>
      <c r="C48" s="101">
        <f>'Strategy&amp;Account'!C48</f>
        <v>751</v>
      </c>
      <c r="D48" s="6">
        <f t="shared" si="1"/>
        <v>-22387919.098890066</v>
      </c>
      <c r="E48" s="8"/>
    </row>
    <row r="49" spans="1:6">
      <c r="A49" s="38">
        <v>42704</v>
      </c>
      <c r="B49" s="7">
        <f>'Strategy&amp;Account'!B49</f>
        <v>639319190.91340995</v>
      </c>
      <c r="C49" s="101">
        <f>'Strategy&amp;Account'!C49</f>
        <v>757</v>
      </c>
      <c r="D49" s="6">
        <f t="shared" si="1"/>
        <v>18899575.878390074</v>
      </c>
      <c r="E49" s="8"/>
      <c r="F49" t="s">
        <v>13</v>
      </c>
    </row>
    <row r="50" spans="1:6">
      <c r="A50" s="38">
        <v>42735</v>
      </c>
      <c r="B50" s="7">
        <f>'Strategy&amp;Account'!B50</f>
        <v>653090621.79486001</v>
      </c>
      <c r="C50" s="101">
        <f>'Strategy&amp;Account'!C50</f>
        <v>747</v>
      </c>
      <c r="D50" s="6">
        <f t="shared" si="1"/>
        <v>13771430.881450057</v>
      </c>
      <c r="E50" s="8">
        <f>B50-B38</f>
        <v>320798778.65354007</v>
      </c>
    </row>
    <row r="51" spans="1:6">
      <c r="A51" s="38">
        <v>42766</v>
      </c>
      <c r="B51" s="7">
        <f>'Strategy&amp;Account'!B51</f>
        <v>669504030.02728009</v>
      </c>
      <c r="C51" s="101">
        <f>'Strategy&amp;Account'!C51</f>
        <v>754</v>
      </c>
      <c r="D51" s="6">
        <f t="shared" si="1"/>
        <v>16413408.232420087</v>
      </c>
      <c r="E51" s="8"/>
    </row>
    <row r="52" spans="1:6">
      <c r="A52" s="38">
        <v>42794</v>
      </c>
      <c r="B52" s="7">
        <f>'Strategy&amp;Account'!B52</f>
        <v>683285764.94646001</v>
      </c>
      <c r="C52" s="101">
        <f>'Strategy&amp;Account'!C52</f>
        <v>760</v>
      </c>
      <c r="D52" s="6">
        <f t="shared" si="1"/>
        <v>13781734.919179916</v>
      </c>
      <c r="E52" s="8"/>
    </row>
    <row r="53" spans="1:6">
      <c r="A53" s="38">
        <v>42825</v>
      </c>
      <c r="B53" s="7">
        <f>'Strategy&amp;Account'!B53</f>
        <v>700378613.58982003</v>
      </c>
      <c r="C53" s="101">
        <f>'Strategy&amp;Account'!C53</f>
        <v>750</v>
      </c>
      <c r="D53" s="6">
        <f t="shared" si="1"/>
        <v>17092848.643360019</v>
      </c>
      <c r="E53" s="8"/>
    </row>
    <row r="54" spans="1:6">
      <c r="A54" s="38">
        <v>42855</v>
      </c>
      <c r="B54" s="7">
        <f>'Strategy&amp;Account'!B54</f>
        <v>703196762.12538671</v>
      </c>
      <c r="C54" s="101">
        <f>'Strategy&amp;Account'!C54</f>
        <v>772</v>
      </c>
      <c r="D54" s="6">
        <f t="shared" si="1"/>
        <v>2818148.5355666876</v>
      </c>
      <c r="E54" s="8"/>
    </row>
    <row r="55" spans="1:6">
      <c r="A55" s="38">
        <v>42886</v>
      </c>
      <c r="B55" s="7">
        <f>'Strategy&amp;Account'!B55</f>
        <v>710717300.31666005</v>
      </c>
      <c r="C55" s="101">
        <f>'Strategy&amp;Account'!C55</f>
        <v>778</v>
      </c>
      <c r="D55" s="6">
        <f t="shared" si="1"/>
        <v>7520538.1912733316</v>
      </c>
      <c r="E55" s="8"/>
    </row>
    <row r="56" spans="1:6">
      <c r="A56" s="38">
        <v>42916</v>
      </c>
      <c r="B56" s="7">
        <f>'Strategy&amp;Account'!B56</f>
        <v>719352023.67531192</v>
      </c>
      <c r="C56" s="101">
        <f>'Strategy&amp;Account'!C56</f>
        <v>780</v>
      </c>
      <c r="D56" s="6">
        <f t="shared" si="1"/>
        <v>8634723.3586518764</v>
      </c>
      <c r="E56" s="8"/>
    </row>
    <row r="57" spans="1:6">
      <c r="A57" s="38">
        <v>42947</v>
      </c>
      <c r="B57" s="7">
        <f>'Strategy&amp;Account'!B57</f>
        <v>723205749.93431985</v>
      </c>
      <c r="C57" s="101">
        <f>'Strategy&amp;Account'!C57</f>
        <v>778</v>
      </c>
      <c r="D57" s="6">
        <f t="shared" si="1"/>
        <v>3853726.2590079308</v>
      </c>
      <c r="E57" s="8"/>
    </row>
    <row r="58" spans="1:6">
      <c r="A58" s="38">
        <v>42978</v>
      </c>
      <c r="B58" s="7">
        <f>'Strategy&amp;Account'!B58</f>
        <v>734090838.75267994</v>
      </c>
      <c r="C58" s="101">
        <f>'Strategy&amp;Account'!C58</f>
        <v>785</v>
      </c>
      <c r="D58" s="6">
        <f t="shared" si="1"/>
        <v>10885088.81836009</v>
      </c>
      <c r="E58" s="8"/>
    </row>
    <row r="59" spans="1:6">
      <c r="A59" s="38">
        <v>43008</v>
      </c>
      <c r="B59" s="7">
        <f>'Strategy&amp;Account'!B59</f>
        <v>707010633.93540001</v>
      </c>
      <c r="C59" s="101">
        <f>'Strategy&amp;Account'!C59</f>
        <v>790</v>
      </c>
      <c r="D59" s="6">
        <f t="shared" si="1"/>
        <v>-27080204.817279935</v>
      </c>
      <c r="E59" s="8"/>
    </row>
    <row r="60" spans="1:6">
      <c r="A60" s="38">
        <v>43039</v>
      </c>
      <c r="B60" s="7">
        <f>'Strategy&amp;Account'!B60</f>
        <v>715679630.84408998</v>
      </c>
      <c r="C60" s="101">
        <f>'Strategy&amp;Account'!C60</f>
        <v>790</v>
      </c>
      <c r="D60" s="6">
        <f t="shared" si="1"/>
        <v>8668996.9086899757</v>
      </c>
      <c r="E60" s="8"/>
      <c r="F60" t="s">
        <v>75</v>
      </c>
    </row>
    <row r="61" spans="1:6">
      <c r="A61" s="38">
        <v>43069</v>
      </c>
      <c r="B61" s="7">
        <f>'Strategy&amp;Account'!B61</f>
        <v>708042364.30594015</v>
      </c>
      <c r="C61" s="101">
        <f>'Strategy&amp;Account'!C61</f>
        <v>797</v>
      </c>
      <c r="D61" s="6">
        <f t="shared" si="1"/>
        <v>-7637266.5381498337</v>
      </c>
      <c r="E61" s="8"/>
      <c r="F61" t="s">
        <v>36</v>
      </c>
    </row>
    <row r="62" spans="1:6">
      <c r="A62" s="38">
        <v>43100</v>
      </c>
      <c r="B62" s="7">
        <f>'Strategy&amp;Account'!B62</f>
        <v>709818669.07042992</v>
      </c>
      <c r="C62" s="101">
        <f>'Strategy&amp;Account'!C62</f>
        <v>787</v>
      </c>
      <c r="D62" s="6">
        <f t="shared" si="1"/>
        <v>1776304.7644897699</v>
      </c>
      <c r="E62" s="8">
        <f>B62-B50</f>
        <v>56728047.275569916</v>
      </c>
    </row>
    <row r="63" spans="1:6">
      <c r="A63" s="38">
        <v>43131</v>
      </c>
      <c r="B63" s="7">
        <f>'Strategy&amp;Account'!B63</f>
        <v>728152676.99430001</v>
      </c>
      <c r="C63" s="101">
        <f>'Strategy&amp;Account'!C63</f>
        <v>796</v>
      </c>
      <c r="D63" s="6">
        <f t="shared" si="1"/>
        <v>18334007.923870087</v>
      </c>
    </row>
    <row r="64" spans="1:6">
      <c r="A64" s="38">
        <v>43159</v>
      </c>
      <c r="B64" s="7">
        <f>'Strategy&amp;Account'!B64</f>
        <v>715417507.06480014</v>
      </c>
      <c r="C64" s="101">
        <f>'Strategy&amp;Account'!C64</f>
        <v>811</v>
      </c>
      <c r="D64" s="6">
        <f t="shared" si="1"/>
        <v>-12735169.929499865</v>
      </c>
    </row>
    <row r="65" spans="1:4">
      <c r="A65" s="38">
        <v>43190</v>
      </c>
      <c r="B65" s="7">
        <f>'Strategy&amp;Account'!B65</f>
        <v>711176028.34617996</v>
      </c>
      <c r="C65" s="101">
        <f>'Strategy&amp;Account'!C65</f>
        <v>896</v>
      </c>
      <c r="D65" s="6">
        <f t="shared" si="1"/>
        <v>-4241478.7186201811</v>
      </c>
    </row>
    <row r="66" spans="1:4">
      <c r="A66" s="38">
        <v>43220</v>
      </c>
      <c r="B66" s="7">
        <f>'Strategy&amp;Account'!B66</f>
        <v>718601906.55318975</v>
      </c>
      <c r="C66" s="101">
        <f>'Strategy&amp;Account'!C66</f>
        <v>921</v>
      </c>
      <c r="D66" s="6">
        <f t="shared" ref="D66:D72" si="2">B66-$B65</f>
        <v>7425878.2070097923</v>
      </c>
    </row>
    <row r="67" spans="1:4">
      <c r="A67" s="38">
        <v>43251</v>
      </c>
      <c r="B67" s="7">
        <f>'Strategy&amp;Account'!B67</f>
        <v>731778939.87829018</v>
      </c>
      <c r="C67" s="101">
        <f>'Strategy&amp;Account'!C67</f>
        <v>932</v>
      </c>
      <c r="D67" s="6">
        <f t="shared" si="2"/>
        <v>13177033.325100422</v>
      </c>
    </row>
    <row r="68" spans="1:4">
      <c r="A68" s="38">
        <v>43281</v>
      </c>
      <c r="B68" s="7">
        <f>'Strategy&amp;Account'!B68</f>
        <v>745963518.76328003</v>
      </c>
      <c r="C68" s="101">
        <f>'Strategy&amp;Account'!C68</f>
        <v>886</v>
      </c>
      <c r="D68" s="6">
        <f t="shared" si="2"/>
        <v>14184578.884989858</v>
      </c>
    </row>
    <row r="69" spans="1:4">
      <c r="A69" s="38">
        <v>43312</v>
      </c>
      <c r="B69" s="7">
        <f>'Strategy&amp;Account'!B69</f>
        <v>778709834.51342022</v>
      </c>
      <c r="C69" s="101">
        <f>'Strategy&amp;Account'!C69</f>
        <v>861</v>
      </c>
      <c r="D69" s="6">
        <f t="shared" si="2"/>
        <v>32746315.75014019</v>
      </c>
    </row>
    <row r="70" spans="1:4">
      <c r="A70" s="38">
        <v>43343</v>
      </c>
      <c r="B70" s="7">
        <f>'Strategy&amp;Account'!B70</f>
        <v>826152805.95284045</v>
      </c>
      <c r="C70" s="101">
        <f>'Strategy&amp;Account'!C70</f>
        <v>871</v>
      </c>
      <c r="D70" s="6">
        <f t="shared" si="2"/>
        <v>47442971.439420223</v>
      </c>
    </row>
    <row r="71" spans="1:4">
      <c r="A71" s="38">
        <v>43373</v>
      </c>
      <c r="B71" s="7">
        <f>'Strategy&amp;Account'!B71</f>
        <v>834609989.42184985</v>
      </c>
      <c r="C71" s="101">
        <f>'Strategy&amp;Account'!C71</f>
        <v>879</v>
      </c>
      <c r="D71" s="6">
        <f t="shared" si="2"/>
        <v>8457183.4690093994</v>
      </c>
    </row>
    <row r="72" spans="1:4">
      <c r="A72" s="38">
        <v>43404</v>
      </c>
      <c r="B72" s="7">
        <f>'Strategy&amp;Account'!B72</f>
        <v>781987929.89412975</v>
      </c>
      <c r="C72" s="101">
        <f>'Strategy&amp;Account'!C72</f>
        <v>899</v>
      </c>
      <c r="D72" s="6">
        <f t="shared" si="2"/>
        <v>-52622059.527720094</v>
      </c>
    </row>
    <row r="73" spans="1:4">
      <c r="A73" s="38">
        <v>43434</v>
      </c>
      <c r="B73" s="7">
        <f>'Strategy&amp;Account'!B73</f>
        <v>806837926.92924976</v>
      </c>
      <c r="C73" s="101">
        <f>'Strategy&amp;Account'!C73</f>
        <v>899</v>
      </c>
      <c r="D73" s="6">
        <f t="shared" ref="D73:D79" si="3">B73-$B72</f>
        <v>24849997.03512001</v>
      </c>
    </row>
    <row r="74" spans="1:4">
      <c r="A74" s="38">
        <v>43465</v>
      </c>
      <c r="B74" s="7">
        <f>'Strategy&amp;Account'!B74</f>
        <v>736284022.7686801</v>
      </c>
      <c r="C74" s="101">
        <f>'Strategy&amp;Account'!C74</f>
        <v>916</v>
      </c>
      <c r="D74" s="6">
        <f t="shared" si="3"/>
        <v>-70553904.160569668</v>
      </c>
    </row>
    <row r="75" spans="1:4">
      <c r="A75" s="38">
        <v>43496</v>
      </c>
      <c r="B75" s="7">
        <f>'Strategy&amp;Account'!B75</f>
        <v>794812903.23748994</v>
      </c>
      <c r="C75" s="101">
        <f>'Strategy&amp;Account'!C75</f>
        <v>918</v>
      </c>
      <c r="D75" s="6">
        <f t="shared" si="3"/>
        <v>58528880.468809843</v>
      </c>
    </row>
    <row r="76" spans="1:4">
      <c r="A76" s="38">
        <v>43524</v>
      </c>
      <c r="B76" s="7">
        <f>'Strategy&amp;Account'!B76</f>
        <v>829976842.72527003</v>
      </c>
      <c r="C76" s="101">
        <f>'Strategy&amp;Account'!C76</f>
        <v>938</v>
      </c>
      <c r="D76" s="6">
        <f t="shared" si="3"/>
        <v>35163939.487780094</v>
      </c>
    </row>
    <row r="77" spans="1:4">
      <c r="A77" s="38">
        <v>43555</v>
      </c>
      <c r="B77" s="7">
        <f>'Strategy&amp;Account'!B77</f>
        <v>848181593.1602999</v>
      </c>
      <c r="C77" s="101">
        <f>'Strategy&amp;Account'!C77</f>
        <v>954</v>
      </c>
      <c r="D77" s="6">
        <f t="shared" si="3"/>
        <v>18204750.435029864</v>
      </c>
    </row>
    <row r="78" spans="1:4">
      <c r="A78" s="38">
        <v>43585</v>
      </c>
      <c r="B78" s="7">
        <f>'Strategy&amp;Account'!B78</f>
        <v>879739459.44718051</v>
      </c>
      <c r="C78" s="101">
        <f>'Strategy&amp;Account'!C78</f>
        <v>970</v>
      </c>
      <c r="D78" s="6">
        <f t="shared" si="3"/>
        <v>31557866.286880612</v>
      </c>
    </row>
    <row r="79" spans="1:4">
      <c r="A79" s="38">
        <v>43616</v>
      </c>
      <c r="B79" s="7">
        <f>'Strategy&amp;Account'!B79</f>
        <v>846840967.30583012</v>
      </c>
      <c r="C79" s="101">
        <f>'Strategy&amp;Account'!C79</f>
        <v>981</v>
      </c>
      <c r="D79" s="6">
        <f t="shared" si="3"/>
        <v>-32898492.141350389</v>
      </c>
    </row>
    <row r="80" spans="1:4">
      <c r="A80" s="38">
        <v>43646</v>
      </c>
      <c r="B80" s="7">
        <f>'Strategy&amp;Account'!B80</f>
        <v>887824445.13039982</v>
      </c>
      <c r="C80" s="101">
        <f>'Strategy&amp;Account'!C80</f>
        <v>954</v>
      </c>
      <c r="D80" s="6">
        <f>B80-$B79</f>
        <v>40983477.824569702</v>
      </c>
    </row>
    <row r="81" spans="1:5">
      <c r="A81" s="38">
        <v>43677</v>
      </c>
      <c r="B81" s="7">
        <f>'Strategy&amp;Account'!B81</f>
        <v>932615640.20991981</v>
      </c>
      <c r="C81" s="101">
        <f>'Strategy&amp;Account'!C81</f>
        <v>960</v>
      </c>
      <c r="D81" s="6">
        <f>B81-$B80</f>
        <v>44791195.079519987</v>
      </c>
    </row>
    <row r="82" spans="1:5">
      <c r="A82" s="38">
        <v>43708</v>
      </c>
      <c r="B82" s="7">
        <f>'Strategy&amp;Account'!B82</f>
        <v>948098839.39498949</v>
      </c>
      <c r="C82" s="101">
        <f>'Strategy&amp;Account'!C82</f>
        <v>980</v>
      </c>
      <c r="D82" s="6">
        <f>B82-$B81</f>
        <v>15483199.18506968</v>
      </c>
    </row>
    <row r="83" spans="1:5">
      <c r="A83" s="38">
        <v>43738</v>
      </c>
      <c r="B83" s="7">
        <f>'Strategy&amp;Account'!B83</f>
        <v>1042218758.3062299</v>
      </c>
      <c r="C83" s="101">
        <f>'Strategy&amp;Account'!C83</f>
        <v>1049</v>
      </c>
      <c r="D83" s="6">
        <f>B83-$B82</f>
        <v>94119918.911240458</v>
      </c>
    </row>
    <row r="84" spans="1:5">
      <c r="A84" s="38">
        <v>43769</v>
      </c>
      <c r="B84" s="7">
        <f>'Strategy&amp;Account'!B84</f>
        <v>1064549852.9827901</v>
      </c>
      <c r="C84" s="101">
        <f>'Strategy&amp;Account'!C84</f>
        <v>1093</v>
      </c>
      <c r="D84" s="6">
        <f>B84-$B83</f>
        <v>22331094.676560163</v>
      </c>
    </row>
    <row r="85" spans="1:5">
      <c r="A85" s="38">
        <v>43799</v>
      </c>
      <c r="B85" s="7">
        <f>'Strategy&amp;Account'!B85</f>
        <v>1096175851.4160602</v>
      </c>
      <c r="C85" s="101">
        <f>'Strategy&amp;Account'!C85</f>
        <v>1142</v>
      </c>
      <c r="D85" s="6">
        <f t="shared" ref="D85:D105" si="4">B85-$B84</f>
        <v>31625998.433270097</v>
      </c>
    </row>
    <row r="86" spans="1:5">
      <c r="A86" s="38">
        <v>43830</v>
      </c>
      <c r="B86" s="7">
        <f>'Strategy&amp;Account'!B86</f>
        <v>1119617578.3415198</v>
      </c>
      <c r="C86" s="101">
        <f>'Strategy&amp;Account'!C86</f>
        <v>1203</v>
      </c>
      <c r="D86" s="6">
        <f t="shared" si="4"/>
        <v>23441726.925459623</v>
      </c>
    </row>
    <row r="87" spans="1:5">
      <c r="A87" s="38">
        <v>43861</v>
      </c>
      <c r="B87" s="7">
        <f>'Strategy&amp;Account'!B87</f>
        <v>1183105593.35707</v>
      </c>
      <c r="C87" s="101">
        <f>'Strategy&amp;Account'!C87</f>
        <v>1249</v>
      </c>
      <c r="D87" s="6">
        <f t="shared" si="4"/>
        <v>63488015.015550137</v>
      </c>
    </row>
    <row r="88" spans="1:5">
      <c r="A88" s="38">
        <v>43890</v>
      </c>
      <c r="B88" s="7">
        <f>'Strategy&amp;Account'!B88</f>
        <v>1129618519.8098097</v>
      </c>
      <c r="C88" s="101">
        <f>'Strategy&amp;Account'!C88</f>
        <v>1338</v>
      </c>
      <c r="D88" s="6">
        <f t="shared" si="4"/>
        <v>-53487073.547260284</v>
      </c>
    </row>
    <row r="89" spans="1:5">
      <c r="A89" s="38">
        <v>43921</v>
      </c>
      <c r="B89" s="7">
        <f>'Strategy&amp;Account'!B89</f>
        <v>1012088656.4715699</v>
      </c>
      <c r="C89" s="101">
        <f>'Strategy&amp;Account'!C89</f>
        <v>1427</v>
      </c>
      <c r="D89" s="6">
        <f t="shared" si="4"/>
        <v>-117529863.33823979</v>
      </c>
    </row>
    <row r="90" spans="1:5">
      <c r="A90" s="38">
        <v>43951</v>
      </c>
      <c r="B90" s="7">
        <f>'Strategy&amp;Account'!B90</f>
        <v>1103913476.46523</v>
      </c>
      <c r="C90" s="101">
        <f>'Strategy&amp;Account'!C90</f>
        <v>1503</v>
      </c>
      <c r="D90" s="6">
        <f t="shared" si="4"/>
        <v>91824819.993660092</v>
      </c>
    </row>
    <row r="91" spans="1:5">
      <c r="A91" s="38">
        <v>43982</v>
      </c>
      <c r="B91" s="7">
        <f>'Strategy&amp;Account'!B91</f>
        <v>1181785851.1059997</v>
      </c>
      <c r="C91" s="101">
        <f>'Strategy&amp;Account'!C91</f>
        <v>1583</v>
      </c>
      <c r="D91" s="6">
        <f t="shared" si="4"/>
        <v>77872374.64076972</v>
      </c>
    </row>
    <row r="92" spans="1:5">
      <c r="A92" s="38">
        <v>44012</v>
      </c>
      <c r="B92" s="7">
        <f>'Strategy&amp;Account'!B92</f>
        <v>1217171547.0092204</v>
      </c>
      <c r="C92" s="101">
        <f>'Strategy&amp;Account'!C92</f>
        <v>1616</v>
      </c>
      <c r="D92" s="6">
        <f t="shared" si="4"/>
        <v>35385695.903220654</v>
      </c>
      <c r="E92" s="6"/>
    </row>
    <row r="93" spans="1:5">
      <c r="A93" s="38">
        <v>44043</v>
      </c>
      <c r="B93" s="7">
        <f>'Strategy&amp;Account'!B93</f>
        <v>1290694341.0698302</v>
      </c>
      <c r="C93" s="101">
        <f>'Strategy&amp;Account'!C93</f>
        <v>1660</v>
      </c>
      <c r="D93" s="6">
        <f t="shared" si="4"/>
        <v>73522794.060609818</v>
      </c>
    </row>
    <row r="94" spans="1:5">
      <c r="A94" s="38">
        <v>44074</v>
      </c>
      <c r="B94" s="7">
        <f>'Strategy&amp;Account'!B94</f>
        <v>1362448384.9814398</v>
      </c>
      <c r="C94" s="101">
        <f>'Strategy&amp;Account'!C94</f>
        <v>1714</v>
      </c>
      <c r="D94" s="6">
        <f t="shared" si="4"/>
        <v>71754043.91160965</v>
      </c>
    </row>
    <row r="95" spans="1:5">
      <c r="A95" s="38">
        <v>44104</v>
      </c>
      <c r="B95" s="7">
        <f>'Strategy&amp;Account'!B95</f>
        <v>1335367743.5892301</v>
      </c>
      <c r="C95" s="101">
        <f>'Strategy&amp;Account'!C95</f>
        <v>1760</v>
      </c>
      <c r="D95" s="6">
        <f t="shared" si="4"/>
        <v>-27080641.392209768</v>
      </c>
      <c r="E95" s="6">
        <f>B95-B89</f>
        <v>323279087.11766016</v>
      </c>
    </row>
    <row r="96" spans="1:5">
      <c r="A96" s="38">
        <v>44135</v>
      </c>
      <c r="B96" s="7">
        <f>'Strategy&amp;Account'!B96</f>
        <v>1309414947.5919902</v>
      </c>
      <c r="C96" s="101">
        <f>'Strategy&amp;Account'!C96</f>
        <v>1790</v>
      </c>
      <c r="D96" s="6">
        <f t="shared" si="4"/>
        <v>-25952795.997239828</v>
      </c>
    </row>
    <row r="97" spans="1:4">
      <c r="A97" s="38">
        <v>44165</v>
      </c>
      <c r="B97" s="7">
        <f>'Strategy&amp;Account'!B97</f>
        <v>1416302430.1789606</v>
      </c>
      <c r="C97" s="101">
        <f>'Strategy&amp;Account'!C97</f>
        <v>1819</v>
      </c>
      <c r="D97" s="6">
        <f t="shared" si="4"/>
        <v>106887482.58697033</v>
      </c>
    </row>
    <row r="98" spans="1:4">
      <c r="A98" s="38">
        <v>44196</v>
      </c>
      <c r="B98" s="7">
        <f>'Strategy&amp;Account'!B98</f>
        <v>1496781306.8811893</v>
      </c>
      <c r="C98" s="101">
        <f>'Strategy&amp;Account'!C98</f>
        <v>1877</v>
      </c>
      <c r="D98" s="6">
        <f t="shared" si="4"/>
        <v>80478876.702228785</v>
      </c>
    </row>
    <row r="99" spans="1:4">
      <c r="A99" s="38">
        <v>44227</v>
      </c>
      <c r="B99" s="7">
        <f>'Strategy&amp;Account'!B99</f>
        <v>1615474867.6336565</v>
      </c>
      <c r="C99" s="101">
        <f>'Strategy&amp;Account'!C99</f>
        <v>2109</v>
      </c>
      <c r="D99" s="6">
        <f t="shared" si="4"/>
        <v>118693560.75246716</v>
      </c>
    </row>
    <row r="100" spans="1:4">
      <c r="A100" s="38">
        <v>44255</v>
      </c>
      <c r="B100" s="7">
        <f>'Strategy&amp;Account'!B100</f>
        <v>1619136839.5937605</v>
      </c>
      <c r="C100" s="101">
        <f>'Strategy&amp;Account'!C100</f>
        <v>2165</v>
      </c>
      <c r="D100" s="6">
        <f t="shared" si="4"/>
        <v>3661971.9601039886</v>
      </c>
    </row>
    <row r="101" spans="1:4">
      <c r="A101" s="38">
        <v>44286</v>
      </c>
      <c r="B101" s="7">
        <f>'Strategy&amp;Account'!B101</f>
        <v>1747279295.1536756</v>
      </c>
      <c r="C101" s="101">
        <f>'Strategy&amp;Account'!C101</f>
        <v>2277</v>
      </c>
      <c r="D101" s="6">
        <f t="shared" si="4"/>
        <v>128142455.55991507</v>
      </c>
    </row>
    <row r="102" spans="1:4">
      <c r="A102" s="38">
        <v>44316</v>
      </c>
      <c r="B102" s="7">
        <f>'Strategy&amp;Account'!B102</f>
        <v>1821655917.0769219</v>
      </c>
      <c r="C102" s="101">
        <f>'Strategy&amp;Account'!C102</f>
        <v>2359</v>
      </c>
      <c r="D102" s="6">
        <f t="shared" si="4"/>
        <v>74376621.923246384</v>
      </c>
    </row>
    <row r="103" spans="1:4">
      <c r="A103" s="38">
        <v>44347</v>
      </c>
      <c r="B103" s="7">
        <f>'Strategy&amp;Account'!B103</f>
        <v>1814914876.8182755</v>
      </c>
      <c r="C103" s="101">
        <f>'Strategy&amp;Account'!C103</f>
        <v>2393</v>
      </c>
      <c r="D103" s="6">
        <f t="shared" si="4"/>
        <v>-6741040.2586464882</v>
      </c>
    </row>
    <row r="104" spans="1:4">
      <c r="A104" s="38">
        <v>44377</v>
      </c>
      <c r="B104" s="7">
        <f>'Strategy&amp;Account'!B104</f>
        <v>1857916239.0579085</v>
      </c>
      <c r="C104" s="101">
        <f>'Strategy&amp;Account'!C104</f>
        <v>2446</v>
      </c>
      <c r="D104" s="6">
        <f t="shared" si="4"/>
        <v>43001362.239633083</v>
      </c>
    </row>
    <row r="105" spans="1:4">
      <c r="A105" s="38">
        <v>44408</v>
      </c>
      <c r="B105" s="7">
        <f>'Strategy&amp;Account'!B105</f>
        <v>1608467643.0267038</v>
      </c>
      <c r="C105" s="101">
        <f>'Strategy&amp;Account'!C105</f>
        <v>2506</v>
      </c>
      <c r="D105" s="6">
        <f t="shared" si="4"/>
        <v>-249448596.0312047</v>
      </c>
    </row>
    <row r="106" spans="1:4">
      <c r="A106" s="38">
        <v>44439</v>
      </c>
      <c r="B106" s="7">
        <f>'Strategy&amp;Account'!B106</f>
        <v>1647981924.6096985</v>
      </c>
      <c r="C106" s="101">
        <f>'Strategy&amp;Account'!C106</f>
        <v>2544</v>
      </c>
      <c r="D106" s="6">
        <f t="shared" ref="D106:D116" si="5">B106-$B105</f>
        <v>39514281.582994699</v>
      </c>
    </row>
    <row r="107" spans="1:4">
      <c r="A107" s="38">
        <v>44469</v>
      </c>
      <c r="B107" s="7">
        <f>'Strategy&amp;Account'!B107</f>
        <v>1586453370.8404241</v>
      </c>
      <c r="C107" s="101">
        <f>'Strategy&amp;Account'!C107</f>
        <v>2592</v>
      </c>
      <c r="D107" s="6">
        <f t="shared" si="5"/>
        <v>-61528553.769274473</v>
      </c>
    </row>
    <row r="108" spans="1:4">
      <c r="A108" s="38">
        <v>44500</v>
      </c>
      <c r="B108" s="7">
        <f>'Strategy&amp;Account'!B108</f>
        <v>1683154582.1673992</v>
      </c>
      <c r="C108" s="101">
        <f>'Strategy&amp;Account'!C108</f>
        <v>2636</v>
      </c>
      <c r="D108" s="6">
        <f t="shared" si="5"/>
        <v>96701211.326975107</v>
      </c>
    </row>
    <row r="109" spans="1:4">
      <c r="A109" s="38">
        <v>44530</v>
      </c>
      <c r="B109" s="7">
        <f>'Strategy&amp;Account'!B109</f>
        <v>1697271348.4680696</v>
      </c>
      <c r="C109" s="101">
        <f>'Strategy&amp;Account'!C109</f>
        <v>2680</v>
      </c>
      <c r="D109" s="6">
        <f t="shared" si="5"/>
        <v>14116766.300670385</v>
      </c>
    </row>
    <row r="110" spans="1:4">
      <c r="A110" s="38">
        <v>44561</v>
      </c>
      <c r="B110" s="7">
        <f>'Strategy&amp;Account'!B110</f>
        <v>1763182717.4491704</v>
      </c>
      <c r="C110" s="101">
        <f>'Strategy&amp;Account'!C110</f>
        <v>2792</v>
      </c>
      <c r="D110" s="6">
        <f t="shared" si="5"/>
        <v>65911368.981100798</v>
      </c>
    </row>
    <row r="111" spans="1:4">
      <c r="A111" s="38">
        <v>44592</v>
      </c>
      <c r="B111" s="7">
        <f>'Strategy&amp;Account'!B111</f>
        <v>1667681482.7563972</v>
      </c>
      <c r="C111" s="101">
        <f>'Strategy&amp;Account'!C111</f>
        <v>2794</v>
      </c>
      <c r="D111" s="6">
        <f t="shared" si="5"/>
        <v>-95501234.692773104</v>
      </c>
    </row>
    <row r="112" spans="1:4">
      <c r="A112" s="38">
        <v>44620</v>
      </c>
      <c r="B112" s="7">
        <f>'Strategy&amp;Account'!B112</f>
        <v>1606204330.0236518</v>
      </c>
      <c r="C112" s="101">
        <f>'Strategy&amp;Account'!C112</f>
        <v>2841</v>
      </c>
      <c r="D112" s="6">
        <f t="shared" si="5"/>
        <v>-61477152.732745409</v>
      </c>
    </row>
    <row r="113" spans="1:4">
      <c r="A113" s="38">
        <v>44651</v>
      </c>
      <c r="B113" s="7">
        <f>'Strategy&amp;Account'!B113</f>
        <v>1665317509.6383817</v>
      </c>
      <c r="C113" s="101">
        <f>'Strategy&amp;Account'!C113</f>
        <v>2936</v>
      </c>
      <c r="D113" s="6">
        <f t="shared" si="5"/>
        <v>59113179.614729881</v>
      </c>
    </row>
    <row r="114" spans="1:4">
      <c r="A114" s="38">
        <v>44681</v>
      </c>
      <c r="B114" s="7">
        <f>'Strategy&amp;Account'!B114</f>
        <v>1595204294.8513124</v>
      </c>
      <c r="C114" s="101">
        <f>'Strategy&amp;Account'!C114</f>
        <v>3011</v>
      </c>
      <c r="D114" s="6">
        <f t="shared" si="5"/>
        <v>-70113214.787069321</v>
      </c>
    </row>
    <row r="115" spans="1:4">
      <c r="A115" s="38">
        <v>44712</v>
      </c>
      <c r="B115" s="7">
        <f>'Strategy&amp;Account'!B115</f>
        <v>1599550780.3216441</v>
      </c>
      <c r="C115" s="101">
        <f>'Strategy&amp;Account'!C115</f>
        <v>3104</v>
      </c>
      <c r="D115" s="6">
        <f t="shared" si="5"/>
        <v>4346485.4703316689</v>
      </c>
    </row>
    <row r="116" spans="1:4">
      <c r="A116" s="38">
        <v>44742</v>
      </c>
      <c r="B116" s="7">
        <f>'Strategy&amp;Account'!B116</f>
        <v>1513937748.5591898</v>
      </c>
      <c r="C116" s="101">
        <f>'Strategy&amp;Account'!C116</f>
        <v>3177</v>
      </c>
      <c r="D116" s="6">
        <f t="shared" si="5"/>
        <v>-85613031.762454271</v>
      </c>
    </row>
  </sheetData>
  <phoneticPr fontId="11" type="noConversion"/>
  <pageMargins left="0.75" right="0.75" top="1" bottom="1" header="0.5" footer="0.5"/>
  <pageSetup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863F7-9F2B-4F4C-8B71-44E19A619765}">
  <dimension ref="A1:DN199"/>
  <sheetViews>
    <sheetView tabSelected="1" zoomScaleNormal="100" workbookViewId="0">
      <pane xSplit="14" ySplit="1" topLeftCell="S126" activePane="bottomRight" state="frozen"/>
      <selection pane="topRight" activeCell="O1" sqref="O1"/>
      <selection pane="bottomLeft" activeCell="A2" sqref="A2"/>
      <selection pane="bottomRight" activeCell="D152" sqref="D152"/>
    </sheetView>
  </sheetViews>
  <sheetFormatPr baseColWidth="10" defaultColWidth="8.83203125" defaultRowHeight="16"/>
  <cols>
    <col min="1" max="1" width="10.1640625" bestFit="1" customWidth="1"/>
    <col min="2" max="2" width="18.1640625" bestFit="1" customWidth="1"/>
    <col min="3" max="3" width="6.1640625" bestFit="1" customWidth="1"/>
    <col min="4" max="4" width="16.83203125" style="40" customWidth="1"/>
    <col min="5" max="5" width="5.6640625" style="40" bestFit="1" customWidth="1"/>
    <col min="6" max="6" width="16" style="42" bestFit="1" customWidth="1"/>
    <col min="7" max="7" width="5.6640625" style="42" bestFit="1" customWidth="1"/>
    <col min="8" max="8" width="16.5" style="47" bestFit="1" customWidth="1"/>
    <col min="9" max="9" width="5.6640625" style="47" bestFit="1" customWidth="1"/>
    <col min="10" max="10" width="16.5" style="74" bestFit="1" customWidth="1"/>
    <col min="11" max="11" width="5.6640625" style="74" bestFit="1" customWidth="1"/>
    <col min="12" max="12" width="17.6640625" style="79" bestFit="1" customWidth="1"/>
    <col min="13" max="13" width="5.6640625" style="79" bestFit="1" customWidth="1"/>
    <col min="14" max="14" width="2.1640625" style="83" customWidth="1"/>
    <col min="15" max="15" width="17.6640625" style="40" bestFit="1" customWidth="1"/>
    <col min="16" max="16" width="5.6640625" style="40" bestFit="1" customWidth="1"/>
    <col min="17" max="17" width="16" style="47" bestFit="1" customWidth="1"/>
    <col min="18" max="18" width="5.6640625" style="47" bestFit="1" customWidth="1"/>
    <col min="19" max="19" width="16" style="42" bestFit="1" customWidth="1"/>
    <col min="20" max="20" width="5.6640625" style="42" bestFit="1" customWidth="1"/>
    <col min="21" max="21" width="15" style="74" bestFit="1" customWidth="1"/>
    <col min="22" max="22" width="5.6640625" style="74" bestFit="1" customWidth="1"/>
    <col min="23" max="23" width="16" style="74" bestFit="1" customWidth="1"/>
    <col min="24" max="24" width="5.6640625" style="74" customWidth="1"/>
    <col min="25" max="25" width="16" style="40" bestFit="1" customWidth="1"/>
    <col min="26" max="26" width="5.6640625" style="40" bestFit="1" customWidth="1"/>
    <col min="27" max="27" width="16" style="47" bestFit="1" customWidth="1"/>
    <col min="28" max="28" width="5.6640625" style="47" bestFit="1" customWidth="1"/>
    <col min="29" max="29" width="16" style="40" bestFit="1" customWidth="1"/>
    <col min="30" max="30" width="5.6640625" style="40" customWidth="1"/>
    <col min="31" max="31" width="15.5" style="40" customWidth="1"/>
    <col min="32" max="32" width="5.6640625" style="40" customWidth="1"/>
    <col min="33" max="33" width="16" style="40" bestFit="1" customWidth="1"/>
    <col min="34" max="34" width="5.6640625" style="40" customWidth="1"/>
    <col min="35" max="35" width="16" style="40" bestFit="1" customWidth="1"/>
    <col min="36" max="36" width="5.6640625" style="40" customWidth="1"/>
    <col min="37" max="37" width="17" style="40" bestFit="1" customWidth="1"/>
    <col min="38" max="38" width="5.6640625" style="40" customWidth="1"/>
    <col min="39" max="39" width="16" style="74" bestFit="1" customWidth="1"/>
    <col min="40" max="40" width="5.6640625" style="74" bestFit="1" customWidth="1"/>
    <col min="41" max="41" width="16" style="74" bestFit="1" customWidth="1"/>
    <col min="42" max="42" width="5.6640625" style="74" bestFit="1" customWidth="1"/>
    <col min="43" max="43" width="15.33203125" style="74" customWidth="1"/>
    <col min="44" max="44" width="5.6640625" style="74" customWidth="1"/>
    <col min="45" max="45" width="15.33203125" style="74" customWidth="1"/>
    <col min="46" max="46" width="5.6640625" style="74" customWidth="1"/>
    <col min="47" max="47" width="15.33203125" style="74" customWidth="1"/>
    <col min="48" max="48" width="5.6640625" style="74" customWidth="1"/>
    <col min="49" max="49" width="15.33203125" style="74" customWidth="1"/>
    <col min="50" max="50" width="5.6640625" style="74" customWidth="1"/>
    <col min="51" max="51" width="15.33203125" style="74" customWidth="1"/>
    <col min="52" max="52" width="5.6640625" style="74" customWidth="1"/>
    <col min="53" max="53" width="16.5" style="40" customWidth="1"/>
    <col min="54" max="54" width="5.6640625" style="40" bestFit="1" customWidth="1"/>
    <col min="55" max="55" width="16.5" style="79" bestFit="1" customWidth="1"/>
    <col min="56" max="56" width="5.6640625" style="79" bestFit="1" customWidth="1"/>
    <col min="57" max="57" width="16.5" style="79" bestFit="1" customWidth="1"/>
    <col min="58" max="58" width="5.6640625" style="79" customWidth="1"/>
    <col min="59" max="59" width="16.5" style="40" customWidth="1"/>
    <col min="60" max="60" width="6.6640625" style="40" bestFit="1" customWidth="1"/>
    <col min="61" max="61" width="16.5" style="40" customWidth="1"/>
    <col min="62" max="62" width="5.6640625" style="40" bestFit="1" customWidth="1"/>
    <col min="63" max="63" width="15" style="199" bestFit="1" customWidth="1"/>
    <col min="64" max="64" width="5.6640625" style="199" bestFit="1" customWidth="1"/>
    <col min="65" max="65" width="15" style="199" bestFit="1" customWidth="1"/>
    <col min="66" max="66" width="5.6640625" style="199" bestFit="1" customWidth="1"/>
    <col min="67" max="67" width="14.33203125" style="199" bestFit="1" customWidth="1"/>
    <col min="68" max="68" width="5.6640625" style="199" bestFit="1" customWidth="1"/>
    <col min="69" max="69" width="14.33203125" style="199" bestFit="1" customWidth="1"/>
    <col min="70" max="70" width="5.6640625" style="199" bestFit="1" customWidth="1"/>
    <col min="71" max="71" width="16.5" style="199" bestFit="1" customWidth="1"/>
    <col min="72" max="72" width="5.6640625" style="199" bestFit="1" customWidth="1"/>
    <col min="73" max="73" width="14" style="199" bestFit="1" customWidth="1"/>
    <col min="74" max="74" width="5.6640625" style="199" bestFit="1" customWidth="1"/>
    <col min="75" max="75" width="15" style="199" bestFit="1" customWidth="1"/>
    <col min="76" max="76" width="5.6640625" style="199" bestFit="1" customWidth="1"/>
    <col min="77" max="77" width="15.33203125" style="199" bestFit="1" customWidth="1"/>
    <col min="78" max="78" width="5.6640625" style="199" bestFit="1" customWidth="1"/>
    <col min="79" max="79" width="15.33203125" style="199" bestFit="1" customWidth="1"/>
    <col min="80" max="80" width="5.6640625" style="199" bestFit="1" customWidth="1"/>
    <col min="81" max="81" width="15.33203125" style="199" bestFit="1" customWidth="1"/>
    <col min="82" max="82" width="5.6640625" style="199" bestFit="1" customWidth="1"/>
    <col min="83" max="83" width="12.5" style="199" bestFit="1" customWidth="1"/>
    <col min="84" max="84" width="5.6640625" style="199" customWidth="1"/>
    <col min="85" max="85" width="15.1640625" style="199" bestFit="1" customWidth="1"/>
    <col min="86" max="86" width="5.6640625" style="199" customWidth="1"/>
    <col min="87" max="87" width="15" style="176" bestFit="1" customWidth="1"/>
    <col min="88" max="88" width="5.5" style="176" bestFit="1" customWidth="1"/>
    <col min="89" max="89" width="15" style="176" bestFit="1" customWidth="1"/>
    <col min="90" max="90" width="5.5" style="176" bestFit="1" customWidth="1"/>
    <col min="91" max="91" width="15" style="176" bestFit="1" customWidth="1"/>
    <col min="92" max="92" width="5.5" style="176" bestFit="1" customWidth="1"/>
    <col min="93" max="93" width="14" style="176" bestFit="1" customWidth="1"/>
    <col min="94" max="94" width="5.5" style="176" bestFit="1" customWidth="1"/>
    <col min="95" max="95" width="14" style="176" bestFit="1" customWidth="1"/>
    <col min="96" max="96" width="5.5" style="176" bestFit="1" customWidth="1"/>
    <col min="97" max="97" width="15" style="176" bestFit="1" customWidth="1"/>
    <col min="98" max="98" width="5.5" style="176" bestFit="1" customWidth="1"/>
    <col min="99" max="99" width="17" style="176" bestFit="1" customWidth="1"/>
    <col min="100" max="100" width="5.6640625" style="176" bestFit="1" customWidth="1"/>
    <col min="101" max="101" width="16.5" style="176" bestFit="1" customWidth="1"/>
    <col min="102" max="102" width="5.6640625" style="176" customWidth="1"/>
    <col min="103" max="103" width="15.33203125" style="176" customWidth="1"/>
    <col min="104" max="104" width="5.6640625" style="176" bestFit="1" customWidth="1"/>
    <col min="105" max="105" width="12.6640625" style="176" customWidth="1"/>
    <col min="106" max="106" width="5.6640625" style="176" bestFit="1" customWidth="1"/>
    <col min="107" max="107" width="15.33203125" style="176" customWidth="1"/>
    <col min="108" max="108" width="5.6640625" style="176" bestFit="1" customWidth="1"/>
    <col min="109" max="109" width="12.6640625" style="176" customWidth="1"/>
    <col min="110" max="110" width="5.6640625" style="176" bestFit="1" customWidth="1"/>
    <col min="111" max="111" width="14" style="176" bestFit="1" customWidth="1"/>
    <col min="112" max="112" width="8.83203125" style="176"/>
  </cols>
  <sheetData>
    <row r="1" spans="1:118" s="9" customFormat="1">
      <c r="A1" s="9" t="s">
        <v>0</v>
      </c>
      <c r="B1" s="9" t="s">
        <v>5</v>
      </c>
      <c r="C1" s="9" t="s">
        <v>69</v>
      </c>
      <c r="D1" s="64" t="s">
        <v>136</v>
      </c>
      <c r="E1" s="64" t="s">
        <v>69</v>
      </c>
      <c r="F1" s="41" t="s">
        <v>137</v>
      </c>
      <c r="G1" s="41" t="s">
        <v>69</v>
      </c>
      <c r="H1" s="66" t="s">
        <v>138</v>
      </c>
      <c r="I1" s="66" t="s">
        <v>69</v>
      </c>
      <c r="J1" s="72" t="s">
        <v>152</v>
      </c>
      <c r="K1" s="72" t="s">
        <v>69</v>
      </c>
      <c r="L1" s="77" t="s">
        <v>68</v>
      </c>
      <c r="M1" s="77" t="s">
        <v>69</v>
      </c>
      <c r="N1" s="81"/>
      <c r="O1" s="64" t="s">
        <v>6</v>
      </c>
      <c r="P1" s="64" t="s">
        <v>69</v>
      </c>
      <c r="Q1" s="66" t="s">
        <v>56</v>
      </c>
      <c r="R1" s="66" t="s">
        <v>69</v>
      </c>
      <c r="S1" s="41" t="s">
        <v>135</v>
      </c>
      <c r="T1" s="41" t="s">
        <v>69</v>
      </c>
      <c r="U1" s="72" t="s">
        <v>129</v>
      </c>
      <c r="V1" s="72" t="s">
        <v>69</v>
      </c>
      <c r="W1" s="72" t="s">
        <v>162</v>
      </c>
      <c r="X1" s="72" t="s">
        <v>69</v>
      </c>
      <c r="Y1" s="64" t="s">
        <v>163</v>
      </c>
      <c r="Z1" s="64" t="s">
        <v>69</v>
      </c>
      <c r="AA1" s="66" t="s">
        <v>173</v>
      </c>
      <c r="AB1" s="66" t="s">
        <v>69</v>
      </c>
      <c r="AC1" s="77" t="s">
        <v>174</v>
      </c>
      <c r="AD1" s="77" t="s">
        <v>69</v>
      </c>
      <c r="AE1" s="77" t="s">
        <v>176</v>
      </c>
      <c r="AF1" s="77" t="s">
        <v>69</v>
      </c>
      <c r="AG1" s="77" t="s">
        <v>196</v>
      </c>
      <c r="AH1" s="77" t="s">
        <v>69</v>
      </c>
      <c r="AI1" s="77" t="s">
        <v>133</v>
      </c>
      <c r="AJ1" s="77" t="s">
        <v>69</v>
      </c>
      <c r="AK1" s="77" t="s">
        <v>153</v>
      </c>
      <c r="AL1" s="77" t="s">
        <v>69</v>
      </c>
      <c r="AM1" s="72" t="s">
        <v>58</v>
      </c>
      <c r="AN1" s="72" t="s">
        <v>69</v>
      </c>
      <c r="AO1" s="72" t="s">
        <v>37</v>
      </c>
      <c r="AP1" s="72" t="s">
        <v>69</v>
      </c>
      <c r="AQ1" s="72" t="s">
        <v>151</v>
      </c>
      <c r="AR1" s="72" t="s">
        <v>69</v>
      </c>
      <c r="AS1" s="72" t="s">
        <v>175</v>
      </c>
      <c r="AT1" s="72" t="s">
        <v>69</v>
      </c>
      <c r="AU1" s="72" t="s">
        <v>172</v>
      </c>
      <c r="AV1" s="72" t="s">
        <v>69</v>
      </c>
      <c r="AW1" s="72" t="s">
        <v>171</v>
      </c>
      <c r="AX1" s="72" t="s">
        <v>69</v>
      </c>
      <c r="AY1" s="72" t="s">
        <v>170</v>
      </c>
      <c r="AZ1" s="72" t="s">
        <v>69</v>
      </c>
      <c r="BA1" s="64" t="s">
        <v>63</v>
      </c>
      <c r="BB1" s="64" t="s">
        <v>69</v>
      </c>
      <c r="BC1" s="77" t="s">
        <v>64</v>
      </c>
      <c r="BD1" s="77" t="s">
        <v>69</v>
      </c>
      <c r="BE1" s="72" t="s">
        <v>141</v>
      </c>
      <c r="BF1" s="77"/>
      <c r="BG1" s="64" t="s">
        <v>65</v>
      </c>
      <c r="BH1" s="64" t="s">
        <v>69</v>
      </c>
      <c r="BI1" s="64" t="s">
        <v>197</v>
      </c>
      <c r="BJ1" s="64" t="s">
        <v>69</v>
      </c>
      <c r="BK1" s="197" t="s">
        <v>180</v>
      </c>
      <c r="BL1" s="197" t="s">
        <v>69</v>
      </c>
      <c r="BM1" s="197" t="s">
        <v>181</v>
      </c>
      <c r="BN1" s="197" t="s">
        <v>69</v>
      </c>
      <c r="BO1" s="197" t="s">
        <v>182</v>
      </c>
      <c r="BP1" s="197" t="s">
        <v>69</v>
      </c>
      <c r="BQ1" s="197" t="s">
        <v>183</v>
      </c>
      <c r="BR1" s="197" t="s">
        <v>69</v>
      </c>
      <c r="BS1" s="197" t="s">
        <v>184</v>
      </c>
      <c r="BT1" s="197" t="s">
        <v>69</v>
      </c>
      <c r="BU1" s="197" t="s">
        <v>185</v>
      </c>
      <c r="BV1" s="197" t="s">
        <v>69</v>
      </c>
      <c r="BW1" s="197" t="s">
        <v>187</v>
      </c>
      <c r="BX1" s="197" t="s">
        <v>69</v>
      </c>
      <c r="BY1" s="197" t="s">
        <v>186</v>
      </c>
      <c r="BZ1" s="197" t="s">
        <v>69</v>
      </c>
      <c r="CA1" s="197" t="s">
        <v>188</v>
      </c>
      <c r="CB1" s="197" t="s">
        <v>69</v>
      </c>
      <c r="CC1" s="197" t="s">
        <v>189</v>
      </c>
      <c r="CD1" s="197" t="s">
        <v>69</v>
      </c>
      <c r="CE1" s="197" t="s">
        <v>199</v>
      </c>
      <c r="CF1" s="197" t="s">
        <v>69</v>
      </c>
      <c r="CG1" s="197" t="s">
        <v>198</v>
      </c>
      <c r="CH1" s="197" t="s">
        <v>69</v>
      </c>
      <c r="CI1" s="172" t="s">
        <v>90</v>
      </c>
      <c r="CJ1" s="172" t="s">
        <v>69</v>
      </c>
      <c r="CK1" s="172" t="s">
        <v>62</v>
      </c>
      <c r="CL1" s="172" t="s">
        <v>69</v>
      </c>
      <c r="CM1" s="172" t="s">
        <v>18</v>
      </c>
      <c r="CN1" s="172" t="s">
        <v>69</v>
      </c>
      <c r="CO1" s="172" t="s">
        <v>60</v>
      </c>
      <c r="CP1" s="172" t="s">
        <v>69</v>
      </c>
      <c r="CQ1" s="172" t="s">
        <v>49</v>
      </c>
      <c r="CR1" s="172" t="s">
        <v>69</v>
      </c>
      <c r="CS1" s="172" t="s">
        <v>66</v>
      </c>
      <c r="CT1" s="172" t="s">
        <v>69</v>
      </c>
      <c r="CU1" s="172" t="s">
        <v>94</v>
      </c>
      <c r="CV1" s="172" t="s">
        <v>69</v>
      </c>
      <c r="CW1" s="172" t="s">
        <v>123</v>
      </c>
      <c r="CX1" s="172" t="s">
        <v>69</v>
      </c>
      <c r="CY1" s="172" t="s">
        <v>61</v>
      </c>
      <c r="CZ1" s="172" t="s">
        <v>69</v>
      </c>
      <c r="DA1" s="172" t="s">
        <v>59</v>
      </c>
      <c r="DB1" s="172" t="s">
        <v>69</v>
      </c>
      <c r="DC1" s="172" t="s">
        <v>51</v>
      </c>
      <c r="DD1" s="172" t="s">
        <v>69</v>
      </c>
      <c r="DE1" s="172" t="s">
        <v>67</v>
      </c>
      <c r="DF1" s="172" t="s">
        <v>69</v>
      </c>
      <c r="DG1" s="173" t="s">
        <v>109</v>
      </c>
      <c r="DH1" s="172" t="s">
        <v>69</v>
      </c>
      <c r="DI1" s="158"/>
      <c r="DJ1" s="66"/>
      <c r="DK1" s="158"/>
      <c r="DL1" s="66"/>
      <c r="DM1" s="158"/>
      <c r="DN1" s="66"/>
    </row>
    <row r="2" spans="1:118" s="140" customFormat="1">
      <c r="A2" s="116">
        <v>41274</v>
      </c>
      <c r="B2" s="117">
        <f t="shared" ref="B2:B33" si="0">O2+CM2+Q2+AM2+CQ2+AO2+DA2+BA2+BC2+CO2+BG2+CS2+BI2+CY2+CK2+DC2+DE2</f>
        <v>16097797.848790389</v>
      </c>
      <c r="C2" s="118">
        <f t="shared" ref="C2:C33" si="1">P2+CN2+R2+AN2+CR2+AP2+DB2+BB2+BD2+CP2+BH2+CT2+BJ2+CZ2+CL2+DD2+DF2</f>
        <v>2</v>
      </c>
      <c r="D2" s="119">
        <f t="shared" ref="D2:D33" si="2">O2+BA2+CO2+BG2+BI2+DC2</f>
        <v>15737148.300000001</v>
      </c>
      <c r="E2" s="120">
        <f t="shared" ref="E2:E33" si="3">P2+BB2+CP2+BH2+BJ2+DD2</f>
        <v>2</v>
      </c>
      <c r="F2" s="121">
        <f t="shared" ref="F2:F33" si="4">CM2+CS2</f>
        <v>0</v>
      </c>
      <c r="G2" s="122"/>
      <c r="H2" s="123">
        <f t="shared" ref="H2:H33" si="5">Q2+CY2</f>
        <v>0</v>
      </c>
      <c r="I2" s="124"/>
      <c r="J2" s="125">
        <f t="shared" ref="J2:J33" si="6">AM2+CQ2+AO2+DA2</f>
        <v>360649.54879038798</v>
      </c>
      <c r="K2" s="126">
        <f t="shared" ref="K2:K33" si="7">AN2+CR2+AP2+DB2</f>
        <v>0</v>
      </c>
      <c r="L2" s="127">
        <f t="shared" ref="L2:L33" si="8">BC2+CK2+DE2</f>
        <v>0</v>
      </c>
      <c r="M2" s="128"/>
      <c r="N2" s="82"/>
      <c r="O2" s="129">
        <f>SILVX!B9</f>
        <v>9486552.3000000007</v>
      </c>
      <c r="P2" s="130">
        <f>SILVX!G9</f>
        <v>1</v>
      </c>
      <c r="Q2" s="133"/>
      <c r="R2" s="133"/>
      <c r="S2" s="131"/>
      <c r="T2" s="132"/>
      <c r="U2" s="135"/>
      <c r="V2" s="136"/>
      <c r="W2" s="136"/>
      <c r="X2" s="136"/>
      <c r="Y2" s="129"/>
      <c r="Z2" s="130"/>
      <c r="AA2" s="133"/>
      <c r="AB2" s="133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4"/>
      <c r="AN2" s="134"/>
      <c r="AO2" s="135">
        <f>Fidelity!P2</f>
        <v>360649.54879038798</v>
      </c>
      <c r="AP2" s="136">
        <f>Fidelity!O2</f>
        <v>0</v>
      </c>
      <c r="AQ2" s="136"/>
      <c r="AR2" s="136"/>
      <c r="AS2" s="136"/>
      <c r="AT2" s="136"/>
      <c r="AU2" s="136"/>
      <c r="AV2" s="136"/>
      <c r="AW2" s="136"/>
      <c r="AX2" s="136"/>
      <c r="AY2" s="136"/>
      <c r="AZ2" s="136"/>
      <c r="BA2" s="129">
        <f>'TFA - Folio'!H7</f>
        <v>6250596</v>
      </c>
      <c r="BB2" s="137">
        <f>'TFA - Folio'!I2</f>
        <v>1</v>
      </c>
      <c r="BC2" s="138"/>
      <c r="BD2" s="139"/>
      <c r="BE2" s="138"/>
      <c r="BF2" s="139"/>
      <c r="BG2" s="137"/>
      <c r="BH2" s="137"/>
      <c r="BI2" s="137"/>
      <c r="BJ2" s="137"/>
      <c r="BK2" s="198"/>
      <c r="BL2" s="198"/>
      <c r="BM2" s="198"/>
      <c r="BN2" s="198"/>
      <c r="BO2" s="198"/>
      <c r="BP2" s="198"/>
      <c r="BQ2" s="198"/>
      <c r="BR2" s="198"/>
      <c r="BS2" s="198"/>
      <c r="BT2" s="198"/>
      <c r="BU2" s="198"/>
      <c r="BV2" s="198"/>
      <c r="BW2" s="198"/>
      <c r="BX2" s="198"/>
      <c r="BY2" s="198"/>
      <c r="BZ2" s="198"/>
      <c r="CA2" s="198"/>
      <c r="CB2" s="198"/>
      <c r="CC2" s="198"/>
      <c r="CD2" s="198"/>
      <c r="CE2" s="198"/>
      <c r="CF2" s="198"/>
      <c r="CG2" s="198"/>
      <c r="CH2" s="198"/>
      <c r="CI2" s="174"/>
      <c r="CJ2" s="174"/>
      <c r="CK2" s="174"/>
      <c r="CL2" s="174"/>
      <c r="CM2" s="174"/>
      <c r="CN2" s="174"/>
      <c r="CO2" s="174"/>
      <c r="CP2" s="174"/>
      <c r="CQ2" s="174"/>
      <c r="CR2" s="174"/>
      <c r="CS2" s="174"/>
      <c r="CT2" s="174"/>
      <c r="CU2" s="174"/>
      <c r="CV2" s="174"/>
      <c r="CW2" s="174"/>
      <c r="CX2" s="174"/>
      <c r="CY2" s="174"/>
      <c r="CZ2" s="174"/>
      <c r="DA2" s="174"/>
      <c r="DB2" s="174"/>
      <c r="DC2" s="174"/>
      <c r="DD2" s="174"/>
      <c r="DE2" s="174"/>
      <c r="DF2" s="174"/>
      <c r="DG2" s="175"/>
      <c r="DH2" s="174"/>
    </row>
    <row r="3" spans="1:118">
      <c r="A3" s="38">
        <v>41305</v>
      </c>
      <c r="B3" s="7">
        <f t="shared" si="0"/>
        <v>20591060.908057809</v>
      </c>
      <c r="C3" s="84">
        <f t="shared" si="1"/>
        <v>2</v>
      </c>
      <c r="D3" s="65">
        <f t="shared" si="2"/>
        <v>19854279.57</v>
      </c>
      <c r="E3" s="96">
        <f t="shared" si="3"/>
        <v>2</v>
      </c>
      <c r="F3" s="68">
        <f t="shared" si="4"/>
        <v>0</v>
      </c>
      <c r="G3" s="97"/>
      <c r="H3" s="67">
        <f t="shared" si="5"/>
        <v>0</v>
      </c>
      <c r="I3" s="98"/>
      <c r="J3" s="73">
        <f t="shared" si="6"/>
        <v>736781.33805780963</v>
      </c>
      <c r="K3" s="99">
        <f t="shared" si="7"/>
        <v>0</v>
      </c>
      <c r="L3" s="78">
        <f t="shared" si="8"/>
        <v>0</v>
      </c>
      <c r="M3" s="100"/>
      <c r="N3" s="82"/>
      <c r="O3" s="69">
        <f>SILVX!B10</f>
        <v>10810338.449999999</v>
      </c>
      <c r="P3" s="91">
        <f>SILVX!G10</f>
        <v>1</v>
      </c>
      <c r="U3" s="75"/>
      <c r="V3" s="94"/>
      <c r="W3" s="94"/>
      <c r="X3" s="94"/>
      <c r="Y3" s="69"/>
      <c r="Z3" s="91"/>
      <c r="AO3" s="75">
        <f>Fidelity!P3</f>
        <v>736781.33805780963</v>
      </c>
      <c r="AP3" s="94">
        <f>Fidelity!O3</f>
        <v>0</v>
      </c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69">
        <f>'TFA - Folio'!H8</f>
        <v>9043941.1199999992</v>
      </c>
      <c r="BB3" s="40">
        <f>'TFA - Folio'!I3</f>
        <v>1</v>
      </c>
      <c r="BC3" s="80"/>
      <c r="BE3" s="80"/>
      <c r="DG3" s="177"/>
    </row>
    <row r="4" spans="1:118">
      <c r="A4" s="38">
        <v>41333</v>
      </c>
      <c r="B4" s="7">
        <f t="shared" si="0"/>
        <v>25153160.440993071</v>
      </c>
      <c r="C4" s="84">
        <f t="shared" si="1"/>
        <v>2</v>
      </c>
      <c r="D4" s="65">
        <f t="shared" si="2"/>
        <v>24387900.640000001</v>
      </c>
      <c r="E4" s="96">
        <f t="shared" si="3"/>
        <v>2</v>
      </c>
      <c r="F4" s="68">
        <f t="shared" si="4"/>
        <v>0</v>
      </c>
      <c r="G4" s="97"/>
      <c r="H4" s="67">
        <f t="shared" si="5"/>
        <v>0</v>
      </c>
      <c r="I4" s="98"/>
      <c r="J4" s="73">
        <f t="shared" si="6"/>
        <v>765259.80099307233</v>
      </c>
      <c r="K4" s="99">
        <f t="shared" si="7"/>
        <v>0</v>
      </c>
      <c r="L4" s="78">
        <f t="shared" si="8"/>
        <v>0</v>
      </c>
      <c r="M4" s="100"/>
      <c r="N4" s="82"/>
      <c r="O4" s="69">
        <f>SILVX!B11</f>
        <v>11771287.619999999</v>
      </c>
      <c r="P4" s="91">
        <f>SILVX!G11</f>
        <v>1</v>
      </c>
      <c r="U4" s="75"/>
      <c r="V4" s="94"/>
      <c r="W4" s="94"/>
      <c r="X4" s="94"/>
      <c r="Y4" s="69"/>
      <c r="Z4" s="91"/>
      <c r="AO4" s="75">
        <f>Fidelity!P4</f>
        <v>765259.80099307233</v>
      </c>
      <c r="AP4" s="94">
        <f>Fidelity!O4</f>
        <v>0</v>
      </c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69">
        <f>'TFA - Folio'!H9</f>
        <v>12616613.02</v>
      </c>
      <c r="BB4" s="40">
        <f>'TFA - Folio'!I4</f>
        <v>1</v>
      </c>
      <c r="BC4" s="80"/>
      <c r="BE4" s="80"/>
      <c r="DG4" s="177"/>
    </row>
    <row r="5" spans="1:118">
      <c r="A5" s="38">
        <v>41364</v>
      </c>
      <c r="B5" s="7">
        <f t="shared" si="0"/>
        <v>31870607.432609409</v>
      </c>
      <c r="C5" s="84">
        <f t="shared" si="1"/>
        <v>2</v>
      </c>
      <c r="D5" s="65">
        <f t="shared" si="2"/>
        <v>31059851.130000003</v>
      </c>
      <c r="E5" s="96">
        <f t="shared" si="3"/>
        <v>2</v>
      </c>
      <c r="F5" s="68">
        <f t="shared" si="4"/>
        <v>0</v>
      </c>
      <c r="G5" s="97"/>
      <c r="H5" s="67">
        <f t="shared" si="5"/>
        <v>0</v>
      </c>
      <c r="I5" s="98"/>
      <c r="J5" s="73">
        <f t="shared" si="6"/>
        <v>810756.30260940851</v>
      </c>
      <c r="K5" s="99">
        <f t="shared" si="7"/>
        <v>0</v>
      </c>
      <c r="L5" s="78">
        <f t="shared" si="8"/>
        <v>0</v>
      </c>
      <c r="M5" s="100"/>
      <c r="N5" s="82"/>
      <c r="O5" s="69">
        <f>SILVX!B12</f>
        <v>13089271.15</v>
      </c>
      <c r="P5" s="91">
        <f>SILVX!G12</f>
        <v>1</v>
      </c>
      <c r="U5" s="75"/>
      <c r="V5" s="94"/>
      <c r="W5" s="94"/>
      <c r="X5" s="94"/>
      <c r="Y5" s="69"/>
      <c r="Z5" s="91"/>
      <c r="AO5" s="75">
        <f>Fidelity!P5</f>
        <v>810756.30260940851</v>
      </c>
      <c r="AP5" s="94">
        <f>Fidelity!O5</f>
        <v>0</v>
      </c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69">
        <f>'TFA - Folio'!H10</f>
        <v>17970579.98</v>
      </c>
      <c r="BB5" s="40">
        <f>'TFA - Folio'!I5</f>
        <v>1</v>
      </c>
      <c r="BC5" s="80"/>
      <c r="BE5" s="80"/>
      <c r="DG5" s="177"/>
    </row>
    <row r="6" spans="1:118">
      <c r="A6" s="38">
        <v>41394</v>
      </c>
      <c r="B6" s="7">
        <f t="shared" si="0"/>
        <v>43261752.239458367</v>
      </c>
      <c r="C6" s="84">
        <f t="shared" si="1"/>
        <v>2</v>
      </c>
      <c r="D6" s="65">
        <f t="shared" si="2"/>
        <v>42436073.909999996</v>
      </c>
      <c r="E6" s="96">
        <f t="shared" si="3"/>
        <v>2</v>
      </c>
      <c r="F6" s="68">
        <f t="shared" si="4"/>
        <v>0</v>
      </c>
      <c r="G6" s="97"/>
      <c r="H6" s="67">
        <f t="shared" si="5"/>
        <v>0</v>
      </c>
      <c r="I6" s="98"/>
      <c r="J6" s="73">
        <f t="shared" si="6"/>
        <v>825678.32945836545</v>
      </c>
      <c r="K6" s="99">
        <f t="shared" si="7"/>
        <v>0</v>
      </c>
      <c r="L6" s="78">
        <f t="shared" si="8"/>
        <v>0</v>
      </c>
      <c r="M6" s="100"/>
      <c r="N6" s="82"/>
      <c r="O6" s="69">
        <f>SILVX!B13</f>
        <v>16958368.559999999</v>
      </c>
      <c r="P6" s="91">
        <f>SILVX!G13</f>
        <v>1</v>
      </c>
      <c r="U6" s="75"/>
      <c r="V6" s="94"/>
      <c r="W6" s="94"/>
      <c r="X6" s="94"/>
      <c r="Y6" s="69"/>
      <c r="Z6" s="91"/>
      <c r="AO6" s="75">
        <f>Fidelity!P6</f>
        <v>825678.32945836545</v>
      </c>
      <c r="AP6" s="94">
        <f>Fidelity!O6</f>
        <v>0</v>
      </c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69">
        <f>'TFA - Folio'!H11</f>
        <v>25477705.350000001</v>
      </c>
      <c r="BB6" s="40">
        <f>'TFA - Folio'!I6</f>
        <v>1</v>
      </c>
      <c r="BC6" s="80"/>
      <c r="BE6" s="80"/>
      <c r="DG6" s="177"/>
    </row>
    <row r="7" spans="1:118">
      <c r="A7" s="38">
        <v>41425</v>
      </c>
      <c r="B7" s="7">
        <f t="shared" si="0"/>
        <v>53175554.15999005</v>
      </c>
      <c r="C7" s="84">
        <f t="shared" si="1"/>
        <v>2</v>
      </c>
      <c r="D7" s="65">
        <f t="shared" si="2"/>
        <v>50925776.129999995</v>
      </c>
      <c r="E7" s="96">
        <f t="shared" si="3"/>
        <v>2</v>
      </c>
      <c r="F7" s="68">
        <f t="shared" si="4"/>
        <v>0</v>
      </c>
      <c r="G7" s="97"/>
      <c r="H7" s="67">
        <f t="shared" si="5"/>
        <v>0</v>
      </c>
      <c r="I7" s="98"/>
      <c r="J7" s="73">
        <f t="shared" si="6"/>
        <v>2249778.0299900481</v>
      </c>
      <c r="K7" s="99">
        <f t="shared" si="7"/>
        <v>0</v>
      </c>
      <c r="L7" s="78">
        <f t="shared" si="8"/>
        <v>0</v>
      </c>
      <c r="M7" s="100"/>
      <c r="N7" s="82"/>
      <c r="O7" s="69">
        <f>SILVX!B14</f>
        <v>17899655.399999999</v>
      </c>
      <c r="P7" s="91">
        <f>SILVX!G14</f>
        <v>1</v>
      </c>
      <c r="U7" s="75"/>
      <c r="V7" s="94"/>
      <c r="W7" s="94"/>
      <c r="X7" s="94"/>
      <c r="Y7" s="69"/>
      <c r="Z7" s="91"/>
      <c r="AM7" s="76">
        <f>Schwab!S2</f>
        <v>1398649.8399900477</v>
      </c>
      <c r="AN7" s="74">
        <f>Schwab!Q2</f>
        <v>0</v>
      </c>
      <c r="AO7" s="75">
        <f>Fidelity!P7</f>
        <v>851128.19000000018</v>
      </c>
      <c r="AP7" s="94">
        <f>Fidelity!O7</f>
        <v>0</v>
      </c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69">
        <f>'TFA - Folio'!H12</f>
        <v>33026120.73</v>
      </c>
      <c r="BB7" s="40">
        <f>'TFA - Folio'!I7</f>
        <v>1</v>
      </c>
      <c r="BC7" s="80"/>
      <c r="BE7" s="80"/>
      <c r="DG7" s="177"/>
    </row>
    <row r="8" spans="1:118">
      <c r="A8" s="38">
        <v>41455</v>
      </c>
      <c r="B8" s="7">
        <f t="shared" si="0"/>
        <v>59663773.475214273</v>
      </c>
      <c r="C8" s="84">
        <f t="shared" si="1"/>
        <v>2</v>
      </c>
      <c r="D8" s="65">
        <f t="shared" si="2"/>
        <v>56450118.420000002</v>
      </c>
      <c r="E8" s="96">
        <f t="shared" si="3"/>
        <v>2</v>
      </c>
      <c r="F8" s="68">
        <f t="shared" si="4"/>
        <v>0</v>
      </c>
      <c r="G8" s="97"/>
      <c r="H8" s="67">
        <f t="shared" si="5"/>
        <v>0</v>
      </c>
      <c r="I8" s="98"/>
      <c r="J8" s="73">
        <f t="shared" si="6"/>
        <v>3213655.0552142793</v>
      </c>
      <c r="K8" s="99">
        <f t="shared" si="7"/>
        <v>0</v>
      </c>
      <c r="L8" s="78">
        <f t="shared" si="8"/>
        <v>0</v>
      </c>
      <c r="M8" s="100"/>
      <c r="N8" s="82"/>
      <c r="O8" s="69">
        <f>SILVX!B15</f>
        <v>18417136.239999998</v>
      </c>
      <c r="P8" s="91">
        <f>SILVX!G15</f>
        <v>1</v>
      </c>
      <c r="U8" s="75"/>
      <c r="V8" s="94"/>
      <c r="W8" s="94"/>
      <c r="X8" s="94"/>
      <c r="Y8" s="69"/>
      <c r="Z8" s="91"/>
      <c r="AM8" s="76">
        <f>Schwab!S3</f>
        <v>2362526.8652142789</v>
      </c>
      <c r="AN8" s="74">
        <f>Schwab!Q3</f>
        <v>0</v>
      </c>
      <c r="AO8" s="75">
        <f>Fidelity!P8</f>
        <v>851128.19000000018</v>
      </c>
      <c r="AP8" s="94">
        <f>Fidelity!O8</f>
        <v>0</v>
      </c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69">
        <f>'TFA - Folio'!H13</f>
        <v>38032982.18</v>
      </c>
      <c r="BB8" s="40">
        <f>'TFA - Folio'!I8</f>
        <v>1</v>
      </c>
      <c r="BC8" s="80"/>
      <c r="BE8" s="80"/>
      <c r="DG8" s="177"/>
    </row>
    <row r="9" spans="1:118">
      <c r="A9" s="38">
        <v>41486</v>
      </c>
      <c r="B9" s="7">
        <f t="shared" si="0"/>
        <v>74569203.560000002</v>
      </c>
      <c r="C9" s="84">
        <f t="shared" si="1"/>
        <v>2</v>
      </c>
      <c r="D9" s="65">
        <f t="shared" si="2"/>
        <v>66850097.730000004</v>
      </c>
      <c r="E9" s="96">
        <f t="shared" si="3"/>
        <v>2</v>
      </c>
      <c r="F9" s="68">
        <f t="shared" si="4"/>
        <v>0</v>
      </c>
      <c r="G9" s="97"/>
      <c r="H9" s="67">
        <f t="shared" si="5"/>
        <v>0</v>
      </c>
      <c r="I9" s="98"/>
      <c r="J9" s="73">
        <f t="shared" si="6"/>
        <v>7719105.8300000001</v>
      </c>
      <c r="K9" s="99">
        <f t="shared" si="7"/>
        <v>0</v>
      </c>
      <c r="L9" s="78">
        <f t="shared" si="8"/>
        <v>0</v>
      </c>
      <c r="M9" s="100"/>
      <c r="N9" s="82"/>
      <c r="O9" s="69">
        <f>SILVX!B16</f>
        <v>23781672.629999999</v>
      </c>
      <c r="P9" s="91">
        <f>SILVX!G16</f>
        <v>1</v>
      </c>
      <c r="U9" s="75"/>
      <c r="V9" s="94"/>
      <c r="W9" s="94"/>
      <c r="X9" s="94"/>
      <c r="Y9" s="69"/>
      <c r="Z9" s="91"/>
      <c r="AM9" s="76">
        <f>Schwab!S4</f>
        <v>6867977.6399999997</v>
      </c>
      <c r="AN9" s="74">
        <f>Schwab!Q4</f>
        <v>0</v>
      </c>
      <c r="AO9" s="75">
        <f>Fidelity!P9</f>
        <v>851128.19000000018</v>
      </c>
      <c r="AP9" s="94">
        <f>Fidelity!O9</f>
        <v>0</v>
      </c>
      <c r="AQ9" s="94"/>
      <c r="AR9" s="94"/>
      <c r="AS9" s="94"/>
      <c r="AT9" s="94"/>
      <c r="AU9" s="94"/>
      <c r="AV9" s="94"/>
      <c r="AW9" s="94"/>
      <c r="AX9" s="94"/>
      <c r="AY9" s="94"/>
      <c r="AZ9" s="94"/>
      <c r="BA9" s="69">
        <f>'TFA - Folio'!H14</f>
        <v>43068425.100000001</v>
      </c>
      <c r="BB9" s="40">
        <f>'TFA - Folio'!I9</f>
        <v>1</v>
      </c>
      <c r="BC9" s="80"/>
      <c r="BE9" s="80"/>
      <c r="DG9" s="177"/>
    </row>
    <row r="10" spans="1:118">
      <c r="A10" s="38">
        <v>41517</v>
      </c>
      <c r="B10" s="7">
        <f t="shared" si="0"/>
        <v>85315151.609999999</v>
      </c>
      <c r="C10" s="84">
        <f t="shared" si="1"/>
        <v>264</v>
      </c>
      <c r="D10" s="65">
        <f t="shared" si="2"/>
        <v>74606687.710000008</v>
      </c>
      <c r="E10" s="96">
        <f t="shared" si="3"/>
        <v>2</v>
      </c>
      <c r="F10" s="68">
        <f t="shared" si="4"/>
        <v>0</v>
      </c>
      <c r="G10" s="97"/>
      <c r="H10" s="67">
        <f t="shared" si="5"/>
        <v>0</v>
      </c>
      <c r="I10" s="98"/>
      <c r="J10" s="73">
        <f t="shared" si="6"/>
        <v>10708463.899999999</v>
      </c>
      <c r="K10" s="99">
        <f t="shared" si="7"/>
        <v>262</v>
      </c>
      <c r="L10" s="78">
        <f t="shared" si="8"/>
        <v>0</v>
      </c>
      <c r="M10" s="100"/>
      <c r="N10" s="82"/>
      <c r="O10" s="69">
        <f>SILVX!B17</f>
        <v>25620948.859999999</v>
      </c>
      <c r="P10" s="91">
        <f>SILVX!G17</f>
        <v>1</v>
      </c>
      <c r="U10" s="75"/>
      <c r="V10" s="94"/>
      <c r="W10" s="94"/>
      <c r="X10" s="94"/>
      <c r="Y10" s="69"/>
      <c r="Z10" s="91"/>
      <c r="AM10" s="76">
        <f>Schwab!S5</f>
        <v>9857335.709999999</v>
      </c>
      <c r="AN10" s="74">
        <f>Schwab!Q5</f>
        <v>262</v>
      </c>
      <c r="AO10" s="75">
        <f>Fidelity!P10</f>
        <v>851128.19000000018</v>
      </c>
      <c r="AP10" s="94">
        <f>Fidelity!O10</f>
        <v>0</v>
      </c>
      <c r="AQ10" s="94"/>
      <c r="AR10" s="94"/>
      <c r="AS10" s="94"/>
      <c r="AT10" s="94"/>
      <c r="AU10" s="94"/>
      <c r="AV10" s="94"/>
      <c r="AW10" s="94"/>
      <c r="AX10" s="94"/>
      <c r="AY10" s="94"/>
      <c r="AZ10" s="94"/>
      <c r="BA10" s="69">
        <f>'TFA - Folio'!H15</f>
        <v>48985738.850000001</v>
      </c>
      <c r="BB10" s="40">
        <f>'TFA - Folio'!I10</f>
        <v>1</v>
      </c>
      <c r="BC10" s="80"/>
      <c r="BE10" s="80"/>
      <c r="DG10" s="177"/>
    </row>
    <row r="11" spans="1:118">
      <c r="A11" s="38">
        <v>41547</v>
      </c>
      <c r="B11" s="7">
        <f t="shared" si="0"/>
        <v>97529991.730000004</v>
      </c>
      <c r="C11" s="84">
        <f t="shared" si="1"/>
        <v>301</v>
      </c>
      <c r="D11" s="65">
        <f t="shared" si="2"/>
        <v>85851807.549999997</v>
      </c>
      <c r="E11" s="96">
        <f t="shared" si="3"/>
        <v>2</v>
      </c>
      <c r="F11" s="68">
        <f t="shared" si="4"/>
        <v>0</v>
      </c>
      <c r="G11" s="97"/>
      <c r="H11" s="67">
        <f t="shared" si="5"/>
        <v>0</v>
      </c>
      <c r="I11" s="98"/>
      <c r="J11" s="73">
        <f t="shared" si="6"/>
        <v>11678184.180000002</v>
      </c>
      <c r="K11" s="99">
        <f t="shared" si="7"/>
        <v>299</v>
      </c>
      <c r="L11" s="78">
        <f t="shared" si="8"/>
        <v>0</v>
      </c>
      <c r="M11" s="100"/>
      <c r="N11" s="82"/>
      <c r="O11" s="69">
        <f>SILVX!B18</f>
        <v>30750157.23</v>
      </c>
      <c r="P11" s="91">
        <f>SILVX!G18</f>
        <v>1</v>
      </c>
      <c r="U11" s="75"/>
      <c r="V11" s="94"/>
      <c r="W11" s="94"/>
      <c r="X11" s="94"/>
      <c r="Y11" s="69"/>
      <c r="Z11" s="91"/>
      <c r="AM11" s="76">
        <f>Schwab!S6</f>
        <v>10474449.940000001</v>
      </c>
      <c r="AN11" s="74">
        <f>Schwab!Q6</f>
        <v>299</v>
      </c>
      <c r="AO11" s="75">
        <f>Fidelity!P11</f>
        <v>1203734.24</v>
      </c>
      <c r="AP11" s="94">
        <f>Fidelity!O11</f>
        <v>0</v>
      </c>
      <c r="AQ11" s="94"/>
      <c r="AR11" s="94"/>
      <c r="AS11" s="94"/>
      <c r="AT11" s="94"/>
      <c r="AU11" s="94"/>
      <c r="AV11" s="94"/>
      <c r="AW11" s="94"/>
      <c r="AX11" s="94"/>
      <c r="AY11" s="94"/>
      <c r="AZ11" s="94"/>
      <c r="BA11" s="69">
        <f>'TFA - Folio'!H16</f>
        <v>55101650.32</v>
      </c>
      <c r="BB11" s="40">
        <f>'TFA - Folio'!I11</f>
        <v>1</v>
      </c>
      <c r="BC11" s="80"/>
      <c r="BE11" s="80"/>
      <c r="DG11" s="177"/>
    </row>
    <row r="12" spans="1:118">
      <c r="A12" s="38">
        <v>41578</v>
      </c>
      <c r="B12" s="7">
        <f t="shared" si="0"/>
        <v>112238846.15000001</v>
      </c>
      <c r="C12" s="84">
        <f t="shared" si="1"/>
        <v>361</v>
      </c>
      <c r="D12" s="65">
        <f t="shared" si="2"/>
        <v>98338071.400000006</v>
      </c>
      <c r="E12" s="96">
        <f t="shared" si="3"/>
        <v>2</v>
      </c>
      <c r="F12" s="68">
        <f t="shared" si="4"/>
        <v>0</v>
      </c>
      <c r="G12" s="97"/>
      <c r="H12" s="67">
        <f t="shared" si="5"/>
        <v>0</v>
      </c>
      <c r="I12" s="98"/>
      <c r="J12" s="73">
        <f t="shared" si="6"/>
        <v>13900774.749999998</v>
      </c>
      <c r="K12" s="99">
        <f t="shared" si="7"/>
        <v>359</v>
      </c>
      <c r="L12" s="78">
        <f t="shared" si="8"/>
        <v>0</v>
      </c>
      <c r="M12" s="100"/>
      <c r="N12" s="82"/>
      <c r="O12" s="69">
        <f>SILVX!B19</f>
        <v>34983486.93</v>
      </c>
      <c r="P12" s="91">
        <f>SILVX!G19</f>
        <v>1</v>
      </c>
      <c r="U12" s="75"/>
      <c r="V12" s="94"/>
      <c r="W12" s="94"/>
      <c r="X12" s="94"/>
      <c r="Y12" s="69"/>
      <c r="Z12" s="91"/>
      <c r="AM12" s="76">
        <f>Schwab!S7</f>
        <v>12624430.569999998</v>
      </c>
      <c r="AN12" s="74">
        <f>Schwab!Q7</f>
        <v>358</v>
      </c>
      <c r="AO12" s="75">
        <f>Fidelity!P12</f>
        <v>1247725.28</v>
      </c>
      <c r="AP12" s="94">
        <f>Fidelity!O12</f>
        <v>0</v>
      </c>
      <c r="AQ12" s="94"/>
      <c r="AR12" s="94"/>
      <c r="AS12" s="94"/>
      <c r="AT12" s="94"/>
      <c r="AU12" s="94"/>
      <c r="AV12" s="94"/>
      <c r="AW12" s="94"/>
      <c r="AX12" s="94"/>
      <c r="AY12" s="94"/>
      <c r="AZ12" s="94"/>
      <c r="BA12" s="69">
        <f>'TFA - Folio'!H17</f>
        <v>63354584.469999999</v>
      </c>
      <c r="BB12" s="40">
        <f>'TFA - Folio'!I12</f>
        <v>1</v>
      </c>
      <c r="BC12" s="80"/>
      <c r="BE12" s="80"/>
      <c r="CQ12" s="176">
        <f>TDA!O2</f>
        <v>28618.9</v>
      </c>
      <c r="CR12" s="176">
        <f>TDA!N2</f>
        <v>1</v>
      </c>
      <c r="DG12" s="177"/>
    </row>
    <row r="13" spans="1:118">
      <c r="A13" s="38">
        <v>41608</v>
      </c>
      <c r="B13" s="7">
        <f t="shared" si="0"/>
        <v>124276445.78</v>
      </c>
      <c r="C13" s="84">
        <f t="shared" si="1"/>
        <v>398</v>
      </c>
      <c r="D13" s="65">
        <f t="shared" si="2"/>
        <v>108791692.75</v>
      </c>
      <c r="E13" s="96">
        <f t="shared" si="3"/>
        <v>2</v>
      </c>
      <c r="F13" s="68">
        <f t="shared" si="4"/>
        <v>0</v>
      </c>
      <c r="G13" s="97"/>
      <c r="H13" s="67">
        <f t="shared" si="5"/>
        <v>0</v>
      </c>
      <c r="I13" s="98"/>
      <c r="J13" s="73">
        <f t="shared" si="6"/>
        <v>15484753.030000001</v>
      </c>
      <c r="K13" s="99">
        <f t="shared" si="7"/>
        <v>396</v>
      </c>
      <c r="L13" s="78">
        <f t="shared" si="8"/>
        <v>0</v>
      </c>
      <c r="M13" s="100"/>
      <c r="N13" s="82"/>
      <c r="O13" s="69">
        <f>SILVX!B20</f>
        <v>38040702.700000003</v>
      </c>
      <c r="P13" s="91">
        <f>SILVX!G20</f>
        <v>1</v>
      </c>
      <c r="U13" s="75"/>
      <c r="V13" s="94"/>
      <c r="W13" s="94"/>
      <c r="X13" s="94"/>
      <c r="Y13" s="69"/>
      <c r="Z13" s="91"/>
      <c r="AM13" s="76">
        <f>Schwab!S8</f>
        <v>13896473.43</v>
      </c>
      <c r="AN13" s="74">
        <f>Schwab!Q8</f>
        <v>395</v>
      </c>
      <c r="AO13" s="75">
        <f>Fidelity!P13</f>
        <v>1559660.7000000002</v>
      </c>
      <c r="AP13" s="94">
        <f>Fidelity!O13</f>
        <v>0</v>
      </c>
      <c r="AQ13" s="94"/>
      <c r="AR13" s="94"/>
      <c r="AS13" s="94"/>
      <c r="AT13" s="94"/>
      <c r="AU13" s="94"/>
      <c r="AV13" s="94"/>
      <c r="AW13" s="94"/>
      <c r="AX13" s="94"/>
      <c r="AY13" s="94"/>
      <c r="AZ13" s="94"/>
      <c r="BA13" s="69">
        <f>'TFA - Folio'!H18</f>
        <v>70750990.049999997</v>
      </c>
      <c r="BB13" s="40">
        <f>'TFA - Folio'!I13</f>
        <v>1</v>
      </c>
      <c r="BC13" s="80"/>
      <c r="BE13" s="80"/>
      <c r="CQ13" s="176">
        <f>TDA!O3</f>
        <v>28618.9</v>
      </c>
      <c r="CR13" s="176">
        <f>TDA!N3</f>
        <v>1</v>
      </c>
      <c r="DG13" s="177"/>
    </row>
    <row r="14" spans="1:118" s="140" customFormat="1">
      <c r="A14" s="116">
        <v>41639</v>
      </c>
      <c r="B14" s="117">
        <f t="shared" si="0"/>
        <v>134715765.55812672</v>
      </c>
      <c r="C14" s="118">
        <f t="shared" si="1"/>
        <v>439</v>
      </c>
      <c r="D14" s="119">
        <f t="shared" si="2"/>
        <v>117508965.12</v>
      </c>
      <c r="E14" s="120">
        <f t="shared" si="3"/>
        <v>2</v>
      </c>
      <c r="F14" s="121">
        <f t="shared" si="4"/>
        <v>0</v>
      </c>
      <c r="G14" s="122"/>
      <c r="H14" s="123">
        <f t="shared" si="5"/>
        <v>0</v>
      </c>
      <c r="I14" s="124"/>
      <c r="J14" s="125">
        <f t="shared" si="6"/>
        <v>17206800.438126709</v>
      </c>
      <c r="K14" s="126">
        <f t="shared" si="7"/>
        <v>437</v>
      </c>
      <c r="L14" s="127">
        <f t="shared" si="8"/>
        <v>0</v>
      </c>
      <c r="M14" s="128"/>
      <c r="N14" s="82"/>
      <c r="O14" s="129">
        <f>SILVX!B21</f>
        <v>40565492.060000002</v>
      </c>
      <c r="P14" s="130">
        <f>SILVX!G21</f>
        <v>1</v>
      </c>
      <c r="Q14" s="133"/>
      <c r="R14" s="133"/>
      <c r="S14" s="131"/>
      <c r="T14" s="131"/>
      <c r="U14" s="135"/>
      <c r="V14" s="136"/>
      <c r="W14" s="136"/>
      <c r="X14" s="136"/>
      <c r="Y14" s="129"/>
      <c r="Z14" s="130"/>
      <c r="AA14" s="133"/>
      <c r="AB14" s="133"/>
      <c r="AC14" s="137"/>
      <c r="AD14" s="137"/>
      <c r="AE14" s="137"/>
      <c r="AF14" s="137"/>
      <c r="AG14" s="137"/>
      <c r="AH14" s="137"/>
      <c r="AI14" s="137"/>
      <c r="AJ14" s="137"/>
      <c r="AK14" s="137"/>
      <c r="AL14" s="137"/>
      <c r="AM14" s="141">
        <f>Schwab!S9</f>
        <v>15885893.619999994</v>
      </c>
      <c r="AN14" s="134">
        <f>Schwab!Q9</f>
        <v>436</v>
      </c>
      <c r="AO14" s="135">
        <f>Fidelity!P14</f>
        <v>1293301.8281267155</v>
      </c>
      <c r="AP14" s="136">
        <f>Fidelity!O14</f>
        <v>0</v>
      </c>
      <c r="AQ14" s="136"/>
      <c r="AR14" s="136"/>
      <c r="AS14" s="136"/>
      <c r="AT14" s="136"/>
      <c r="AU14" s="136"/>
      <c r="AV14" s="136"/>
      <c r="AW14" s="136"/>
      <c r="AX14" s="136"/>
      <c r="AY14" s="136"/>
      <c r="AZ14" s="136"/>
      <c r="BA14" s="129">
        <f>'TFA - Folio'!H19</f>
        <v>76943473.060000002</v>
      </c>
      <c r="BB14" s="137">
        <f>'TFA - Folio'!I14</f>
        <v>1</v>
      </c>
      <c r="BC14" s="138"/>
      <c r="BD14" s="139"/>
      <c r="BE14" s="138"/>
      <c r="BF14" s="139"/>
      <c r="BG14" s="137"/>
      <c r="BH14" s="137"/>
      <c r="BI14" s="137"/>
      <c r="BJ14" s="137"/>
      <c r="BK14" s="198"/>
      <c r="BL14" s="198"/>
      <c r="BM14" s="198"/>
      <c r="BN14" s="198"/>
      <c r="BO14" s="198"/>
      <c r="BP14" s="198"/>
      <c r="BQ14" s="198"/>
      <c r="BR14" s="198"/>
      <c r="BS14" s="198"/>
      <c r="BT14" s="198"/>
      <c r="BU14" s="198"/>
      <c r="BV14" s="198"/>
      <c r="BW14" s="198"/>
      <c r="BX14" s="198"/>
      <c r="BY14" s="198"/>
      <c r="BZ14" s="198"/>
      <c r="CA14" s="198"/>
      <c r="CB14" s="198"/>
      <c r="CC14" s="198"/>
      <c r="CD14" s="198"/>
      <c r="CE14" s="198"/>
      <c r="CF14" s="198"/>
      <c r="CG14" s="198"/>
      <c r="CH14" s="198"/>
      <c r="CI14" s="174"/>
      <c r="CJ14" s="174"/>
      <c r="CK14" s="174"/>
      <c r="CL14" s="174"/>
      <c r="CM14" s="174"/>
      <c r="CN14" s="174"/>
      <c r="CO14" s="174"/>
      <c r="CP14" s="174"/>
      <c r="CQ14" s="174">
        <f>TDA!O4</f>
        <v>27604.99</v>
      </c>
      <c r="CR14" s="174">
        <f>TDA!N4</f>
        <v>1</v>
      </c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5"/>
      <c r="DH14" s="174"/>
    </row>
    <row r="15" spans="1:118">
      <c r="A15" s="38">
        <v>41670</v>
      </c>
      <c r="B15" s="7">
        <f t="shared" si="0"/>
        <v>137813960.19502681</v>
      </c>
      <c r="C15" s="84">
        <f t="shared" si="1"/>
        <v>478</v>
      </c>
      <c r="D15" s="65">
        <f t="shared" si="2"/>
        <v>122587918.84</v>
      </c>
      <c r="E15" s="96">
        <f t="shared" si="3"/>
        <v>2</v>
      </c>
      <c r="F15" s="68">
        <f t="shared" si="4"/>
        <v>0</v>
      </c>
      <c r="G15" s="97"/>
      <c r="H15" s="67">
        <f t="shared" si="5"/>
        <v>0</v>
      </c>
      <c r="I15" s="98"/>
      <c r="J15" s="73">
        <f t="shared" si="6"/>
        <v>15226041.355026793</v>
      </c>
      <c r="K15" s="99">
        <f t="shared" si="7"/>
        <v>476</v>
      </c>
      <c r="L15" s="78">
        <f t="shared" si="8"/>
        <v>0</v>
      </c>
      <c r="M15" s="100"/>
      <c r="N15" s="82"/>
      <c r="O15" s="69">
        <f>SILVX!B22</f>
        <v>44164272.579999998</v>
      </c>
      <c r="P15" s="91">
        <f>SILVX!G22</f>
        <v>1</v>
      </c>
      <c r="U15" s="75"/>
      <c r="V15" s="94"/>
      <c r="W15" s="94"/>
      <c r="X15" s="94"/>
      <c r="Y15" s="69"/>
      <c r="Z15" s="91"/>
      <c r="AM15" s="76">
        <f>Schwab!S10</f>
        <v>13704418.770000011</v>
      </c>
      <c r="AN15" s="74">
        <f>Schwab!Q10</f>
        <v>473</v>
      </c>
      <c r="AO15" s="75">
        <f>Fidelity!P15</f>
        <v>1302130.275026782</v>
      </c>
      <c r="AP15" s="94">
        <f>Fidelity!O15</f>
        <v>0</v>
      </c>
      <c r="AQ15" s="94"/>
      <c r="AR15" s="94"/>
      <c r="AS15" s="94"/>
      <c r="AT15" s="94"/>
      <c r="AU15" s="94"/>
      <c r="AV15" s="94"/>
      <c r="AW15" s="94"/>
      <c r="AX15" s="94"/>
      <c r="AY15" s="94"/>
      <c r="AZ15" s="94"/>
      <c r="BA15" s="69">
        <f>'TFA - Folio'!H20</f>
        <v>78423646.260000005</v>
      </c>
      <c r="BB15" s="40">
        <f>'TFA - Folio'!I15</f>
        <v>1</v>
      </c>
      <c r="BC15" s="80"/>
      <c r="BE15" s="80"/>
      <c r="CQ15" s="176">
        <f>TDA!O5</f>
        <v>219492.31</v>
      </c>
      <c r="CR15" s="176">
        <f>TDA!N5</f>
        <v>3</v>
      </c>
      <c r="DG15" s="177"/>
    </row>
    <row r="16" spans="1:118">
      <c r="A16" s="38">
        <v>41698</v>
      </c>
      <c r="B16" s="7">
        <f t="shared" si="0"/>
        <v>146930081.15000001</v>
      </c>
      <c r="C16" s="84">
        <f t="shared" si="1"/>
        <v>499</v>
      </c>
      <c r="D16" s="65">
        <f t="shared" si="2"/>
        <v>131298559.06999999</v>
      </c>
      <c r="E16" s="96">
        <f t="shared" si="3"/>
        <v>2</v>
      </c>
      <c r="F16" s="68">
        <f t="shared" si="4"/>
        <v>0</v>
      </c>
      <c r="G16" s="97"/>
      <c r="H16" s="67">
        <f t="shared" si="5"/>
        <v>0</v>
      </c>
      <c r="I16" s="98"/>
      <c r="J16" s="73">
        <f t="shared" si="6"/>
        <v>15631522.08</v>
      </c>
      <c r="K16" s="99">
        <f t="shared" si="7"/>
        <v>497</v>
      </c>
      <c r="L16" s="78">
        <f t="shared" si="8"/>
        <v>0</v>
      </c>
      <c r="M16" s="100"/>
      <c r="N16" s="82"/>
      <c r="O16" s="69">
        <f>SILVX!B23</f>
        <v>48302397.990000002</v>
      </c>
      <c r="P16" s="91">
        <f>SILVX!G23</f>
        <v>1</v>
      </c>
      <c r="U16" s="75"/>
      <c r="V16" s="94"/>
      <c r="W16" s="94"/>
      <c r="X16" s="94"/>
      <c r="Y16" s="69"/>
      <c r="Z16" s="91"/>
      <c r="AM16" s="76">
        <f>Schwab!S11</f>
        <v>13936785.969999999</v>
      </c>
      <c r="AN16" s="74">
        <f>Schwab!Q11</f>
        <v>492</v>
      </c>
      <c r="AO16" s="75">
        <f>Fidelity!P16</f>
        <v>1356520.31</v>
      </c>
      <c r="AP16" s="94">
        <f>Fidelity!O16</f>
        <v>0</v>
      </c>
      <c r="AQ16" s="94"/>
      <c r="AR16" s="94"/>
      <c r="AS16" s="94"/>
      <c r="AT16" s="94"/>
      <c r="AU16" s="94"/>
      <c r="AV16" s="94"/>
      <c r="AW16" s="94"/>
      <c r="AX16" s="94"/>
      <c r="AY16" s="94"/>
      <c r="AZ16" s="94"/>
      <c r="BA16" s="69">
        <f>'TFA - Folio'!H21</f>
        <v>82996161.079999998</v>
      </c>
      <c r="BB16" s="40">
        <f>'TFA - Folio'!I16</f>
        <v>1</v>
      </c>
      <c r="BC16" s="80"/>
      <c r="BE16" s="80"/>
      <c r="CQ16" s="176">
        <f>TDA!O6</f>
        <v>338215.80000000005</v>
      </c>
      <c r="CR16" s="176">
        <f>TDA!N6</f>
        <v>5</v>
      </c>
      <c r="DG16" s="177"/>
    </row>
    <row r="17" spans="1:112">
      <c r="A17" s="38">
        <v>41729</v>
      </c>
      <c r="B17" s="7">
        <f t="shared" si="0"/>
        <v>155542476.97</v>
      </c>
      <c r="C17" s="84">
        <f t="shared" si="1"/>
        <v>514</v>
      </c>
      <c r="D17" s="65">
        <f t="shared" si="2"/>
        <v>139797215.23000002</v>
      </c>
      <c r="E17" s="96">
        <f t="shared" si="3"/>
        <v>2</v>
      </c>
      <c r="F17" s="68">
        <f t="shared" si="4"/>
        <v>0</v>
      </c>
      <c r="G17" s="97"/>
      <c r="H17" s="67">
        <f t="shared" si="5"/>
        <v>0</v>
      </c>
      <c r="I17" s="98"/>
      <c r="J17" s="73">
        <f t="shared" si="6"/>
        <v>15745261.740000006</v>
      </c>
      <c r="K17" s="99">
        <f t="shared" si="7"/>
        <v>512</v>
      </c>
      <c r="L17" s="78">
        <f t="shared" si="8"/>
        <v>0</v>
      </c>
      <c r="M17" s="100"/>
      <c r="N17" s="82"/>
      <c r="O17" s="69">
        <f>SILVX!B24</f>
        <v>50613400.549999997</v>
      </c>
      <c r="P17" s="91">
        <f>SILVX!G24</f>
        <v>1</v>
      </c>
      <c r="U17" s="75"/>
      <c r="V17" s="94"/>
      <c r="W17" s="94"/>
      <c r="X17" s="94"/>
      <c r="Y17" s="69"/>
      <c r="Z17" s="91"/>
      <c r="AM17" s="76">
        <f>Schwab!S12</f>
        <v>14063159.280000005</v>
      </c>
      <c r="AN17" s="74">
        <f>Schwab!Q12</f>
        <v>507</v>
      </c>
      <c r="AO17" s="75">
        <f>Fidelity!P17</f>
        <v>1526939.8199999998</v>
      </c>
      <c r="AP17" s="94">
        <f>Fidelity!O17</f>
        <v>0</v>
      </c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69">
        <f>'TFA - Folio'!H22</f>
        <v>89183814.680000007</v>
      </c>
      <c r="BB17" s="40">
        <f>'TFA - Folio'!I17</f>
        <v>1</v>
      </c>
      <c r="BC17" s="80"/>
      <c r="BE17" s="80"/>
      <c r="CQ17" s="176">
        <f>TDA!O7</f>
        <v>155162.63999999998</v>
      </c>
      <c r="CR17" s="176">
        <f>TDA!N7</f>
        <v>5</v>
      </c>
      <c r="DG17" s="177"/>
    </row>
    <row r="18" spans="1:112">
      <c r="A18" s="38">
        <v>41759</v>
      </c>
      <c r="B18" s="7">
        <f t="shared" si="0"/>
        <v>162409970.75</v>
      </c>
      <c r="C18" s="84">
        <f t="shared" si="1"/>
        <v>521</v>
      </c>
      <c r="D18" s="65">
        <f t="shared" si="2"/>
        <v>145577652.03</v>
      </c>
      <c r="E18" s="96">
        <f t="shared" si="3"/>
        <v>2</v>
      </c>
      <c r="F18" s="68">
        <f t="shared" si="4"/>
        <v>0</v>
      </c>
      <c r="G18" s="97"/>
      <c r="H18" s="67">
        <f t="shared" si="5"/>
        <v>0</v>
      </c>
      <c r="I18" s="98"/>
      <c r="J18" s="73">
        <f t="shared" si="6"/>
        <v>16832318.719999999</v>
      </c>
      <c r="K18" s="99">
        <f t="shared" si="7"/>
        <v>519</v>
      </c>
      <c r="L18" s="78">
        <f t="shared" si="8"/>
        <v>0</v>
      </c>
      <c r="M18" s="100"/>
      <c r="N18" s="82"/>
      <c r="O18" s="69">
        <f>SILVX!B25</f>
        <v>52180096.229999997</v>
      </c>
      <c r="P18" s="91">
        <f>SILVX!G25</f>
        <v>1</v>
      </c>
      <c r="U18" s="75"/>
      <c r="V18" s="94"/>
      <c r="W18" s="94"/>
      <c r="X18" s="94"/>
      <c r="Y18" s="69"/>
      <c r="Z18" s="91"/>
      <c r="AM18" s="76">
        <f>Schwab!S13</f>
        <v>15019029.34</v>
      </c>
      <c r="AN18" s="74">
        <f>Schwab!Q13</f>
        <v>514</v>
      </c>
      <c r="AO18" s="75">
        <f>Fidelity!P18</f>
        <v>1671651.56</v>
      </c>
      <c r="AP18" s="94">
        <f>Fidelity!O18</f>
        <v>0</v>
      </c>
      <c r="AQ18" s="94"/>
      <c r="AR18" s="94"/>
      <c r="AS18" s="94"/>
      <c r="AT18" s="94"/>
      <c r="AU18" s="94"/>
      <c r="AV18" s="94"/>
      <c r="AW18" s="94"/>
      <c r="AX18" s="94"/>
      <c r="AY18" s="94"/>
      <c r="AZ18" s="94"/>
      <c r="BA18" s="69">
        <f>'TFA - Folio'!H23</f>
        <v>93397555.799999997</v>
      </c>
      <c r="BB18" s="40">
        <f>'TFA - Folio'!I18</f>
        <v>1</v>
      </c>
      <c r="BC18" s="80"/>
      <c r="BE18" s="80"/>
      <c r="CQ18" s="176">
        <f>TDA!O8</f>
        <v>141637.82</v>
      </c>
      <c r="CR18" s="176">
        <f>TDA!N8</f>
        <v>5</v>
      </c>
    </row>
    <row r="19" spans="1:112">
      <c r="A19" s="38">
        <v>41790</v>
      </c>
      <c r="B19" s="7">
        <f t="shared" si="0"/>
        <v>167781304.85999998</v>
      </c>
      <c r="C19" s="84">
        <f t="shared" si="1"/>
        <v>566</v>
      </c>
      <c r="D19" s="65">
        <f t="shared" si="2"/>
        <v>150327944.45999998</v>
      </c>
      <c r="E19" s="96">
        <f t="shared" si="3"/>
        <v>2</v>
      </c>
      <c r="F19" s="68">
        <f t="shared" si="4"/>
        <v>0</v>
      </c>
      <c r="G19" s="97"/>
      <c r="H19" s="67">
        <f t="shared" si="5"/>
        <v>0</v>
      </c>
      <c r="I19" s="98"/>
      <c r="J19" s="73">
        <f t="shared" si="6"/>
        <v>17453360.399999999</v>
      </c>
      <c r="K19" s="99">
        <f t="shared" si="7"/>
        <v>564</v>
      </c>
      <c r="L19" s="78">
        <f t="shared" si="8"/>
        <v>0</v>
      </c>
      <c r="M19" s="100"/>
      <c r="N19" s="82"/>
      <c r="O19" s="69">
        <f>SILVX!B26</f>
        <v>53150044.299999997</v>
      </c>
      <c r="P19" s="91">
        <f>SILVX!G26</f>
        <v>1</v>
      </c>
      <c r="U19" s="75"/>
      <c r="V19" s="94"/>
      <c r="W19" s="94"/>
      <c r="X19" s="94"/>
      <c r="Y19" s="69"/>
      <c r="Z19" s="91"/>
      <c r="AM19" s="76">
        <f>Schwab!S14</f>
        <v>15039825.77</v>
      </c>
      <c r="AN19" s="74">
        <f>Schwab!Q14</f>
        <v>525</v>
      </c>
      <c r="AO19" s="75">
        <f>Fidelity!P19</f>
        <v>1633634.5499999998</v>
      </c>
      <c r="AP19" s="94">
        <f>Fidelity!O19</f>
        <v>0</v>
      </c>
      <c r="AQ19" s="94"/>
      <c r="AR19" s="94"/>
      <c r="AS19" s="94"/>
      <c r="AT19" s="94"/>
      <c r="AU19" s="94"/>
      <c r="AV19" s="94"/>
      <c r="AW19" s="94"/>
      <c r="AX19" s="94"/>
      <c r="AY19" s="94"/>
      <c r="AZ19" s="94"/>
      <c r="BA19" s="69">
        <f>'TFA - Folio'!H24</f>
        <v>97177900.159999996</v>
      </c>
      <c r="BB19" s="40">
        <f>'TFA - Folio'!I19</f>
        <v>1</v>
      </c>
      <c r="BC19" s="80"/>
      <c r="BE19" s="80"/>
      <c r="CQ19" s="176">
        <f>TDA!O9</f>
        <v>779900.07999999984</v>
      </c>
      <c r="CR19" s="176">
        <f>TDA!N9</f>
        <v>39</v>
      </c>
    </row>
    <row r="20" spans="1:112">
      <c r="A20" s="38">
        <v>41820</v>
      </c>
      <c r="B20" s="7">
        <f t="shared" si="0"/>
        <v>174511830.98000002</v>
      </c>
      <c r="C20" s="84">
        <f t="shared" si="1"/>
        <v>584</v>
      </c>
      <c r="D20" s="65">
        <f t="shared" si="2"/>
        <v>156422973.28</v>
      </c>
      <c r="E20" s="96">
        <f t="shared" si="3"/>
        <v>2</v>
      </c>
      <c r="F20" s="68">
        <f t="shared" si="4"/>
        <v>0</v>
      </c>
      <c r="G20" s="97"/>
      <c r="H20" s="67">
        <f t="shared" si="5"/>
        <v>0</v>
      </c>
      <c r="I20" s="98"/>
      <c r="J20" s="73">
        <f t="shared" si="6"/>
        <v>18088857.699999999</v>
      </c>
      <c r="K20" s="99">
        <f t="shared" si="7"/>
        <v>582</v>
      </c>
      <c r="L20" s="78">
        <f t="shared" si="8"/>
        <v>0</v>
      </c>
      <c r="M20" s="100"/>
      <c r="N20" s="82"/>
      <c r="O20" s="69">
        <f>SILVX!B27</f>
        <v>55639069.880000003</v>
      </c>
      <c r="P20" s="91">
        <f>SILVX!G27</f>
        <v>1</v>
      </c>
      <c r="U20" s="75"/>
      <c r="V20" s="94"/>
      <c r="W20" s="94"/>
      <c r="X20" s="94"/>
      <c r="Y20" s="69"/>
      <c r="Z20" s="91"/>
      <c r="AM20" s="76">
        <f>Schwab!S15</f>
        <v>15728815.219999999</v>
      </c>
      <c r="AN20" s="74">
        <f>Schwab!Q15</f>
        <v>516</v>
      </c>
      <c r="AO20" s="75">
        <f>Fidelity!P20</f>
        <v>1554074.5900000003</v>
      </c>
      <c r="AP20" s="94">
        <f>Fidelity!O20</f>
        <v>27</v>
      </c>
      <c r="AQ20" s="94"/>
      <c r="AR20" s="94"/>
      <c r="AS20" s="94"/>
      <c r="AT20" s="94"/>
      <c r="AU20" s="94"/>
      <c r="AV20" s="94"/>
      <c r="AW20" s="94"/>
      <c r="AX20" s="94"/>
      <c r="AY20" s="94"/>
      <c r="AZ20" s="94"/>
      <c r="BA20" s="69">
        <f>'TFA - Folio'!H25</f>
        <v>100783903.40000001</v>
      </c>
      <c r="BB20" s="40">
        <f>'TFA - Folio'!I20</f>
        <v>1</v>
      </c>
      <c r="BC20" s="80"/>
      <c r="BE20" s="80"/>
      <c r="CQ20" s="176">
        <f>TDA!O10</f>
        <v>805967.89000000013</v>
      </c>
      <c r="CR20" s="176">
        <f>TDA!N10</f>
        <v>39</v>
      </c>
    </row>
    <row r="21" spans="1:112">
      <c r="A21" s="38">
        <v>41851</v>
      </c>
      <c r="B21" s="7">
        <f t="shared" si="0"/>
        <v>176883397.03000003</v>
      </c>
      <c r="C21" s="84">
        <f t="shared" si="1"/>
        <v>605</v>
      </c>
      <c r="D21" s="65">
        <f t="shared" si="2"/>
        <v>159388236.63999999</v>
      </c>
      <c r="E21" s="96">
        <f t="shared" si="3"/>
        <v>2</v>
      </c>
      <c r="F21" s="68">
        <f t="shared" si="4"/>
        <v>0</v>
      </c>
      <c r="G21" s="97"/>
      <c r="H21" s="67">
        <f t="shared" si="5"/>
        <v>0</v>
      </c>
      <c r="I21" s="98"/>
      <c r="J21" s="73">
        <f t="shared" si="6"/>
        <v>17495160.389999997</v>
      </c>
      <c r="K21" s="99">
        <f t="shared" si="7"/>
        <v>603</v>
      </c>
      <c r="L21" s="78">
        <f t="shared" si="8"/>
        <v>0</v>
      </c>
      <c r="M21" s="100"/>
      <c r="N21" s="82"/>
      <c r="O21" s="69">
        <f>SILVX!B28</f>
        <v>57860064.780000001</v>
      </c>
      <c r="P21" s="91">
        <f>SILVX!G28</f>
        <v>1</v>
      </c>
      <c r="U21" s="75"/>
      <c r="V21" s="94"/>
      <c r="W21" s="94"/>
      <c r="X21" s="94"/>
      <c r="Y21" s="69"/>
      <c r="Z21" s="91"/>
      <c r="AM21" s="76">
        <f>Schwab!S16</f>
        <v>15182147.619999997</v>
      </c>
      <c r="AN21" s="74">
        <f>Schwab!Q16</f>
        <v>533</v>
      </c>
      <c r="AO21" s="75">
        <f>Fidelity!P21</f>
        <v>1547908.62</v>
      </c>
      <c r="AP21" s="94">
        <f>Fidelity!O21</f>
        <v>32</v>
      </c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69">
        <f>'TFA - Folio'!H26</f>
        <v>101528171.86</v>
      </c>
      <c r="BB21" s="40">
        <f>'TFA - Folio'!I21</f>
        <v>1</v>
      </c>
      <c r="BC21" s="80"/>
      <c r="BE21" s="80"/>
      <c r="CQ21" s="176">
        <f>TDA!O11</f>
        <v>765104.14999999991</v>
      </c>
      <c r="CR21" s="176">
        <f>TDA!N11</f>
        <v>38</v>
      </c>
    </row>
    <row r="22" spans="1:112">
      <c r="A22" s="38">
        <v>41882</v>
      </c>
      <c r="B22" s="7">
        <f t="shared" si="0"/>
        <v>186716879.61000001</v>
      </c>
      <c r="C22" s="84">
        <f t="shared" si="1"/>
        <v>619</v>
      </c>
      <c r="D22" s="65">
        <f t="shared" si="2"/>
        <v>167705197.64000002</v>
      </c>
      <c r="E22" s="96">
        <f t="shared" si="3"/>
        <v>2</v>
      </c>
      <c r="F22" s="68">
        <f t="shared" si="4"/>
        <v>0</v>
      </c>
      <c r="G22" s="97"/>
      <c r="H22" s="67">
        <f t="shared" si="5"/>
        <v>0</v>
      </c>
      <c r="I22" s="98"/>
      <c r="J22" s="73">
        <f t="shared" si="6"/>
        <v>19011681.969999999</v>
      </c>
      <c r="K22" s="99">
        <f t="shared" si="7"/>
        <v>617</v>
      </c>
      <c r="L22" s="78">
        <f t="shared" si="8"/>
        <v>0</v>
      </c>
      <c r="M22" s="100"/>
      <c r="N22" s="82"/>
      <c r="O22" s="69">
        <f>SILVX!B29</f>
        <v>60275807.380000003</v>
      </c>
      <c r="P22" s="91">
        <f>SILVX!G29</f>
        <v>1</v>
      </c>
      <c r="U22" s="75"/>
      <c r="V22" s="94"/>
      <c r="W22" s="94"/>
      <c r="X22" s="94"/>
      <c r="Y22" s="69"/>
      <c r="Z22" s="91"/>
      <c r="AM22" s="76">
        <f>Schwab!S17</f>
        <v>16414264.189999998</v>
      </c>
      <c r="AN22" s="74">
        <f>Schwab!Q17</f>
        <v>546</v>
      </c>
      <c r="AO22" s="75">
        <f>Fidelity!P22</f>
        <v>1874144.27</v>
      </c>
      <c r="AP22" s="94">
        <f>Fidelity!O22</f>
        <v>33</v>
      </c>
      <c r="AQ22" s="94"/>
      <c r="AR22" s="94"/>
      <c r="AS22" s="94"/>
      <c r="AT22" s="94"/>
      <c r="AU22" s="94"/>
      <c r="AV22" s="94"/>
      <c r="AW22" s="94"/>
      <c r="AX22" s="94"/>
      <c r="AY22" s="94"/>
      <c r="AZ22" s="94"/>
      <c r="BA22" s="69">
        <f>'TFA - Folio'!H27</f>
        <v>107429390.26000001</v>
      </c>
      <c r="BB22" s="40">
        <f>'TFA - Folio'!I22</f>
        <v>1</v>
      </c>
      <c r="BC22" s="80"/>
      <c r="BE22" s="80"/>
      <c r="CQ22" s="176">
        <f>TDA!O12</f>
        <v>723273.51000000024</v>
      </c>
      <c r="CR22" s="176">
        <f>TDA!N12</f>
        <v>38</v>
      </c>
    </row>
    <row r="23" spans="1:112">
      <c r="A23" s="38">
        <v>41912</v>
      </c>
      <c r="B23" s="7">
        <f t="shared" si="0"/>
        <v>187196375.09</v>
      </c>
      <c r="C23" s="84">
        <f t="shared" si="1"/>
        <v>632</v>
      </c>
      <c r="D23" s="65">
        <f t="shared" si="2"/>
        <v>168528574.72</v>
      </c>
      <c r="E23" s="96">
        <f t="shared" si="3"/>
        <v>2</v>
      </c>
      <c r="F23" s="68">
        <f t="shared" si="4"/>
        <v>0</v>
      </c>
      <c r="G23" s="97"/>
      <c r="H23" s="67">
        <f t="shared" si="5"/>
        <v>0</v>
      </c>
      <c r="I23" s="98"/>
      <c r="J23" s="73">
        <f t="shared" si="6"/>
        <v>18667800.369999997</v>
      </c>
      <c r="K23" s="99">
        <f t="shared" si="7"/>
        <v>630</v>
      </c>
      <c r="L23" s="78">
        <f t="shared" si="8"/>
        <v>0</v>
      </c>
      <c r="M23" s="100"/>
      <c r="N23" s="82"/>
      <c r="O23" s="69">
        <f>SILVX!B30</f>
        <v>59967277.100000001</v>
      </c>
      <c r="P23" s="91">
        <f>SILVX!G30</f>
        <v>1</v>
      </c>
      <c r="U23" s="75"/>
      <c r="V23" s="94"/>
      <c r="W23" s="94"/>
      <c r="X23" s="94"/>
      <c r="Y23" s="69"/>
      <c r="Z23" s="91"/>
      <c r="AM23" s="76">
        <f>Schwab!S18</f>
        <v>15775027.41</v>
      </c>
      <c r="AN23" s="74">
        <f>Schwab!Q18</f>
        <v>554</v>
      </c>
      <c r="AO23" s="75">
        <f>Fidelity!P23</f>
        <v>2054812.9999999995</v>
      </c>
      <c r="AP23" s="94">
        <f>Fidelity!O23</f>
        <v>34</v>
      </c>
      <c r="AQ23" s="94"/>
      <c r="AR23" s="94"/>
      <c r="AS23" s="94"/>
      <c r="AT23" s="94"/>
      <c r="AU23" s="94"/>
      <c r="AV23" s="94"/>
      <c r="AW23" s="94"/>
      <c r="AX23" s="94"/>
      <c r="AY23" s="94"/>
      <c r="AZ23" s="94"/>
      <c r="BA23" s="69">
        <f>'TFA - Folio'!H28</f>
        <v>108561297.62</v>
      </c>
      <c r="BB23" s="40">
        <f>'TFA - Folio'!I23</f>
        <v>1</v>
      </c>
      <c r="BC23" s="80"/>
      <c r="BE23" s="80"/>
      <c r="CQ23" s="176">
        <f>TDA!O13</f>
        <v>837959.95999999973</v>
      </c>
      <c r="CR23" s="176">
        <f>TDA!N13</f>
        <v>42</v>
      </c>
    </row>
    <row r="24" spans="1:112">
      <c r="A24" s="38">
        <v>41943</v>
      </c>
      <c r="B24" s="7">
        <f t="shared" si="0"/>
        <v>198425797.89103448</v>
      </c>
      <c r="C24" s="84">
        <f t="shared" si="1"/>
        <v>656</v>
      </c>
      <c r="D24" s="65">
        <f t="shared" si="2"/>
        <v>176592651.84999999</v>
      </c>
      <c r="E24" s="96">
        <f t="shared" si="3"/>
        <v>2</v>
      </c>
      <c r="F24" s="68">
        <f t="shared" si="4"/>
        <v>0</v>
      </c>
      <c r="G24" s="97"/>
      <c r="H24" s="67">
        <f t="shared" si="5"/>
        <v>0</v>
      </c>
      <c r="I24" s="98"/>
      <c r="J24" s="73">
        <f t="shared" si="6"/>
        <v>21833146.04103449</v>
      </c>
      <c r="K24" s="99">
        <f t="shared" si="7"/>
        <v>654</v>
      </c>
      <c r="L24" s="78">
        <f t="shared" si="8"/>
        <v>0</v>
      </c>
      <c r="M24" s="100"/>
      <c r="N24" s="82"/>
      <c r="O24" s="69">
        <f>SILVX!B31</f>
        <v>62507121.460000001</v>
      </c>
      <c r="P24" s="91">
        <f>SILVX!G31</f>
        <v>1</v>
      </c>
      <c r="U24" s="75"/>
      <c r="V24" s="94"/>
      <c r="W24" s="94"/>
      <c r="X24" s="94"/>
      <c r="Y24" s="69"/>
      <c r="Z24" s="91"/>
      <c r="AM24" s="76">
        <f>Schwab!S19</f>
        <v>18630315.109310351</v>
      </c>
      <c r="AN24" s="74">
        <f>Schwab!Q19</f>
        <v>571</v>
      </c>
      <c r="AO24" s="75">
        <f>Fidelity!P24</f>
        <v>2166326.9137931038</v>
      </c>
      <c r="AP24" s="94">
        <f>Fidelity!O24</f>
        <v>36</v>
      </c>
      <c r="AQ24" s="94"/>
      <c r="AR24" s="94"/>
      <c r="AS24" s="94"/>
      <c r="AT24" s="94"/>
      <c r="AU24" s="94"/>
      <c r="AV24" s="94"/>
      <c r="AW24" s="94"/>
      <c r="AX24" s="94"/>
      <c r="AY24" s="94"/>
      <c r="AZ24" s="94"/>
      <c r="BA24" s="69">
        <f>'TFA - Folio'!H29</f>
        <v>114085530.39</v>
      </c>
      <c r="BB24" s="40">
        <f>'TFA - Folio'!I24</f>
        <v>1</v>
      </c>
      <c r="BC24" s="80"/>
      <c r="BE24" s="80"/>
      <c r="CQ24" s="176">
        <f>TDA!O14</f>
        <v>1036504.0179310343</v>
      </c>
      <c r="CR24" s="176">
        <f>TDA!N14</f>
        <v>47</v>
      </c>
    </row>
    <row r="25" spans="1:112">
      <c r="A25" s="38">
        <v>41973</v>
      </c>
      <c r="B25" s="7">
        <f t="shared" si="0"/>
        <v>215423424.56999999</v>
      </c>
      <c r="C25" s="84">
        <f t="shared" si="1"/>
        <v>670</v>
      </c>
      <c r="D25" s="65">
        <f t="shared" si="2"/>
        <v>191759427.14999998</v>
      </c>
      <c r="E25" s="96">
        <f t="shared" si="3"/>
        <v>2</v>
      </c>
      <c r="F25" s="68">
        <f t="shared" si="4"/>
        <v>0</v>
      </c>
      <c r="G25" s="97"/>
      <c r="H25" s="67">
        <f t="shared" si="5"/>
        <v>0</v>
      </c>
      <c r="I25" s="98"/>
      <c r="J25" s="73">
        <f t="shared" si="6"/>
        <v>23663997.420000002</v>
      </c>
      <c r="K25" s="99">
        <f t="shared" si="7"/>
        <v>668</v>
      </c>
      <c r="L25" s="78">
        <f t="shared" si="8"/>
        <v>0</v>
      </c>
      <c r="M25" s="100"/>
      <c r="N25" s="82"/>
      <c r="O25" s="69">
        <f>SILVX!B32</f>
        <v>67497884.989999995</v>
      </c>
      <c r="P25" s="91">
        <f>SILVX!G32</f>
        <v>1</v>
      </c>
      <c r="U25" s="75"/>
      <c r="V25" s="94"/>
      <c r="W25" s="94"/>
      <c r="X25" s="94"/>
      <c r="Y25" s="69"/>
      <c r="Z25" s="91"/>
      <c r="AM25" s="76">
        <f>Schwab!S20</f>
        <v>20145417.370000001</v>
      </c>
      <c r="AN25" s="74">
        <f>Schwab!Q20</f>
        <v>582</v>
      </c>
      <c r="AO25" s="75">
        <f>Fidelity!P25</f>
        <v>2270287.8499999996</v>
      </c>
      <c r="AP25" s="94">
        <f>Fidelity!O25</f>
        <v>38</v>
      </c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69">
        <f>'TFA - Folio'!H30</f>
        <v>124261542.16</v>
      </c>
      <c r="BB25" s="40">
        <f>'TFA - Folio'!I25</f>
        <v>1</v>
      </c>
      <c r="BC25" s="80"/>
      <c r="BE25" s="80"/>
      <c r="CQ25" s="176">
        <f>TDA!O15</f>
        <v>1248292.1999999997</v>
      </c>
      <c r="CR25" s="176">
        <f>TDA!N15</f>
        <v>48</v>
      </c>
    </row>
    <row r="26" spans="1:112" s="140" customFormat="1">
      <c r="A26" s="116">
        <v>42004</v>
      </c>
      <c r="B26" s="117">
        <f t="shared" si="0"/>
        <v>222689106.38</v>
      </c>
      <c r="C26" s="118">
        <f t="shared" si="1"/>
        <v>660</v>
      </c>
      <c r="D26" s="119">
        <f t="shared" si="2"/>
        <v>198890050.54000002</v>
      </c>
      <c r="E26" s="120">
        <f t="shared" si="3"/>
        <v>2</v>
      </c>
      <c r="F26" s="121">
        <f t="shared" si="4"/>
        <v>0</v>
      </c>
      <c r="G26" s="122"/>
      <c r="H26" s="123">
        <f t="shared" si="5"/>
        <v>0</v>
      </c>
      <c r="I26" s="124"/>
      <c r="J26" s="125">
        <f t="shared" si="6"/>
        <v>23799055.840000007</v>
      </c>
      <c r="K26" s="126">
        <f t="shared" si="7"/>
        <v>658</v>
      </c>
      <c r="L26" s="127">
        <f t="shared" si="8"/>
        <v>0</v>
      </c>
      <c r="M26" s="128"/>
      <c r="N26" s="82"/>
      <c r="O26" s="129">
        <f>SILVX!B33</f>
        <v>67662863.790000007</v>
      </c>
      <c r="P26" s="130">
        <f>SILVX!G33</f>
        <v>1</v>
      </c>
      <c r="Q26" s="133"/>
      <c r="R26" s="133"/>
      <c r="S26" s="131"/>
      <c r="T26" s="131"/>
      <c r="U26" s="135"/>
      <c r="V26" s="136"/>
      <c r="W26" s="136"/>
      <c r="X26" s="136"/>
      <c r="Y26" s="129"/>
      <c r="Z26" s="130"/>
      <c r="AA26" s="133"/>
      <c r="AB26" s="133"/>
      <c r="AC26" s="137"/>
      <c r="AD26" s="137"/>
      <c r="AE26" s="137"/>
      <c r="AF26" s="137"/>
      <c r="AG26" s="137"/>
      <c r="AH26" s="137"/>
      <c r="AI26" s="137"/>
      <c r="AJ26" s="137"/>
      <c r="AK26" s="137"/>
      <c r="AL26" s="137"/>
      <c r="AM26" s="141">
        <f>Schwab!S21</f>
        <v>20267531.570000008</v>
      </c>
      <c r="AN26" s="134">
        <f>Schwab!Q21</f>
        <v>568</v>
      </c>
      <c r="AO26" s="135">
        <f>Fidelity!P26</f>
        <v>2307272.5499999993</v>
      </c>
      <c r="AP26" s="136">
        <f>Fidelity!O26</f>
        <v>40</v>
      </c>
      <c r="AQ26" s="136"/>
      <c r="AR26" s="136"/>
      <c r="AS26" s="136"/>
      <c r="AT26" s="136"/>
      <c r="AU26" s="136"/>
      <c r="AV26" s="136"/>
      <c r="AW26" s="136"/>
      <c r="AX26" s="136"/>
      <c r="AY26" s="136"/>
      <c r="AZ26" s="136"/>
      <c r="BA26" s="129">
        <f>'TFA - Folio'!H31</f>
        <v>131227186.75</v>
      </c>
      <c r="BB26" s="137">
        <f>'TFA - Folio'!I26</f>
        <v>1</v>
      </c>
      <c r="BC26" s="138"/>
      <c r="BD26" s="139"/>
      <c r="BE26" s="138"/>
      <c r="BF26" s="139"/>
      <c r="BG26" s="137"/>
      <c r="BH26" s="137"/>
      <c r="BI26" s="137"/>
      <c r="BJ26" s="137"/>
      <c r="BK26" s="198"/>
      <c r="BL26" s="198"/>
      <c r="BM26" s="198"/>
      <c r="BN26" s="198"/>
      <c r="BO26" s="198"/>
      <c r="BP26" s="198"/>
      <c r="BQ26" s="198"/>
      <c r="BR26" s="198"/>
      <c r="BS26" s="198"/>
      <c r="BT26" s="198"/>
      <c r="BU26" s="198"/>
      <c r="BV26" s="198"/>
      <c r="BW26" s="198"/>
      <c r="BX26" s="198"/>
      <c r="BY26" s="198"/>
      <c r="BZ26" s="198"/>
      <c r="CA26" s="198"/>
      <c r="CB26" s="198"/>
      <c r="CC26" s="198"/>
      <c r="CD26" s="198"/>
      <c r="CE26" s="198"/>
      <c r="CF26" s="198"/>
      <c r="CG26" s="198"/>
      <c r="CH26" s="198"/>
      <c r="CI26" s="174"/>
      <c r="CJ26" s="174"/>
      <c r="CK26" s="174"/>
      <c r="CL26" s="174"/>
      <c r="CM26" s="174"/>
      <c r="CN26" s="174"/>
      <c r="CO26" s="174"/>
      <c r="CP26" s="174"/>
      <c r="CQ26" s="174">
        <f>TDA!O16</f>
        <v>1224251.7200000007</v>
      </c>
      <c r="CR26" s="174">
        <f>TDA!N16</f>
        <v>50</v>
      </c>
      <c r="CS26" s="174"/>
      <c r="CT26" s="174"/>
      <c r="CU26" s="174"/>
      <c r="CV26" s="174"/>
      <c r="CW26" s="174"/>
      <c r="CX26" s="174"/>
      <c r="CY26" s="174"/>
      <c r="CZ26" s="174"/>
      <c r="DA26" s="174"/>
      <c r="DB26" s="174"/>
      <c r="DC26" s="174"/>
      <c r="DD26" s="174"/>
      <c r="DE26" s="174"/>
      <c r="DF26" s="174"/>
      <c r="DG26" s="174"/>
      <c r="DH26" s="174"/>
    </row>
    <row r="27" spans="1:112">
      <c r="A27" s="38">
        <v>42035</v>
      </c>
      <c r="B27" s="7">
        <f t="shared" si="0"/>
        <v>230636482.5995</v>
      </c>
      <c r="C27" s="84">
        <f t="shared" si="1"/>
        <v>697</v>
      </c>
      <c r="D27" s="65">
        <f t="shared" si="2"/>
        <v>204542374.93000001</v>
      </c>
      <c r="E27" s="96">
        <f t="shared" si="3"/>
        <v>2</v>
      </c>
      <c r="F27" s="68">
        <f t="shared" si="4"/>
        <v>0</v>
      </c>
      <c r="G27" s="97"/>
      <c r="H27" s="67">
        <f t="shared" si="5"/>
        <v>0</v>
      </c>
      <c r="I27" s="98"/>
      <c r="J27" s="73">
        <f t="shared" si="6"/>
        <v>26094107.669500016</v>
      </c>
      <c r="K27" s="99">
        <f t="shared" si="7"/>
        <v>695</v>
      </c>
      <c r="L27" s="78">
        <f t="shared" si="8"/>
        <v>0</v>
      </c>
      <c r="M27" s="100"/>
      <c r="N27" s="82"/>
      <c r="O27" s="69">
        <f>SILVX!B34</f>
        <v>66896741.210000001</v>
      </c>
      <c r="P27" s="91">
        <f>SILVX!G34</f>
        <v>1</v>
      </c>
      <c r="U27" s="75"/>
      <c r="V27" s="94"/>
      <c r="W27" s="94"/>
      <c r="X27" s="94"/>
      <c r="Y27" s="69"/>
      <c r="Z27" s="91"/>
      <c r="AM27" s="76">
        <f>Schwab!S22</f>
        <v>22619568.379500017</v>
      </c>
      <c r="AN27" s="74">
        <f>Schwab!Q22</f>
        <v>605</v>
      </c>
      <c r="AO27" s="75">
        <f>Fidelity!P27</f>
        <v>2363912.3100000005</v>
      </c>
      <c r="AP27" s="94">
        <f>Fidelity!O27</f>
        <v>40</v>
      </c>
      <c r="AQ27" s="94"/>
      <c r="AR27" s="94"/>
      <c r="AS27" s="94"/>
      <c r="AT27" s="94"/>
      <c r="AU27" s="94"/>
      <c r="AV27" s="94"/>
      <c r="AW27" s="94"/>
      <c r="AX27" s="94"/>
      <c r="AY27" s="94"/>
      <c r="AZ27" s="94"/>
      <c r="BA27" s="69">
        <f>'TFA - Folio'!H32</f>
        <v>137645633.72</v>
      </c>
      <c r="BB27" s="40">
        <f>'TFA - Folio'!I27</f>
        <v>1</v>
      </c>
      <c r="BC27" s="80"/>
      <c r="BE27" s="80"/>
      <c r="CQ27" s="176">
        <f>TDA!O17</f>
        <v>1110626.98</v>
      </c>
      <c r="CR27" s="176">
        <f>TDA!N17</f>
        <v>50</v>
      </c>
    </row>
    <row r="28" spans="1:112">
      <c r="A28" s="38">
        <v>42063</v>
      </c>
      <c r="B28" s="7">
        <f t="shared" si="0"/>
        <v>248806078.38999999</v>
      </c>
      <c r="C28" s="84">
        <f t="shared" si="1"/>
        <v>716</v>
      </c>
      <c r="D28" s="65">
        <f t="shared" si="2"/>
        <v>223409733.62</v>
      </c>
      <c r="E28" s="96">
        <f t="shared" si="3"/>
        <v>3</v>
      </c>
      <c r="F28" s="68">
        <f t="shared" si="4"/>
        <v>0</v>
      </c>
      <c r="G28" s="97"/>
      <c r="H28" s="67">
        <f t="shared" si="5"/>
        <v>0</v>
      </c>
      <c r="I28" s="98"/>
      <c r="J28" s="73">
        <f t="shared" si="6"/>
        <v>25396344.77</v>
      </c>
      <c r="K28" s="99">
        <f t="shared" si="7"/>
        <v>713</v>
      </c>
      <c r="L28" s="78">
        <f t="shared" si="8"/>
        <v>0</v>
      </c>
      <c r="M28" s="100"/>
      <c r="N28" s="82"/>
      <c r="O28" s="69">
        <f>SILVX!B35</f>
        <v>69872904.200000003</v>
      </c>
      <c r="P28" s="91">
        <f>SILVX!G35</f>
        <v>1</v>
      </c>
      <c r="U28" s="75"/>
      <c r="V28" s="94"/>
      <c r="W28" s="94"/>
      <c r="X28" s="94"/>
      <c r="Y28" s="69"/>
      <c r="Z28" s="91"/>
      <c r="AM28" s="76">
        <f>Schwab!S23</f>
        <v>21747082.270000003</v>
      </c>
      <c r="AN28" s="74">
        <f>Schwab!Q23</f>
        <v>626</v>
      </c>
      <c r="AO28" s="75">
        <f>Fidelity!P28</f>
        <v>2400679.4</v>
      </c>
      <c r="AP28" s="94">
        <f>Fidelity!O28</f>
        <v>38</v>
      </c>
      <c r="AQ28" s="94"/>
      <c r="AR28" s="94"/>
      <c r="AS28" s="94"/>
      <c r="AT28" s="94"/>
      <c r="AU28" s="94"/>
      <c r="AV28" s="94"/>
      <c r="AW28" s="94"/>
      <c r="AX28" s="94"/>
      <c r="AY28" s="94"/>
      <c r="AZ28" s="94"/>
      <c r="BA28" s="69">
        <f>'TFA - Folio'!H33</f>
        <v>153035156.66</v>
      </c>
      <c r="BB28" s="40">
        <f>'TFA - Folio'!I28</f>
        <v>1</v>
      </c>
      <c r="BC28" s="80"/>
      <c r="BE28" s="80"/>
      <c r="CO28" s="176">
        <f>Stifel!B2</f>
        <v>501672.76</v>
      </c>
      <c r="CP28" s="176">
        <f>Stifel!K2</f>
        <v>1</v>
      </c>
      <c r="CQ28" s="176">
        <f>TDA!O18</f>
        <v>1133295.81</v>
      </c>
      <c r="CR28" s="176">
        <f>TDA!N18</f>
        <v>48</v>
      </c>
      <c r="DA28" s="177">
        <f>Prudential!E2</f>
        <v>115287.29000000001</v>
      </c>
      <c r="DB28" s="178">
        <f>Prudential!D2</f>
        <v>1</v>
      </c>
    </row>
    <row r="29" spans="1:112">
      <c r="A29" s="38">
        <v>42094</v>
      </c>
      <c r="B29" s="7">
        <f t="shared" si="0"/>
        <v>260564834.65000004</v>
      </c>
      <c r="C29" s="84">
        <f t="shared" si="1"/>
        <v>743</v>
      </c>
      <c r="D29" s="65">
        <f t="shared" si="2"/>
        <v>233448260.5</v>
      </c>
      <c r="E29" s="96">
        <f t="shared" si="3"/>
        <v>3</v>
      </c>
      <c r="F29" s="68">
        <f t="shared" si="4"/>
        <v>0</v>
      </c>
      <c r="G29" s="97"/>
      <c r="H29" s="67">
        <f t="shared" si="5"/>
        <v>0</v>
      </c>
      <c r="I29" s="98"/>
      <c r="J29" s="73">
        <f t="shared" si="6"/>
        <v>27116574.149999987</v>
      </c>
      <c r="K29" s="99">
        <f t="shared" si="7"/>
        <v>740</v>
      </c>
      <c r="L29" s="78">
        <f t="shared" si="8"/>
        <v>0</v>
      </c>
      <c r="M29" s="100"/>
      <c r="N29" s="82"/>
      <c r="O29" s="69">
        <f>SILVX!B36</f>
        <v>71575873.799999997</v>
      </c>
      <c r="P29" s="91">
        <f>SILVX!G36</f>
        <v>1</v>
      </c>
      <c r="U29" s="75"/>
      <c r="V29" s="94"/>
      <c r="W29" s="94"/>
      <c r="X29" s="94"/>
      <c r="Y29" s="69"/>
      <c r="Z29" s="91"/>
      <c r="AM29" s="76">
        <f>Schwab!S24</f>
        <v>23436501.04999999</v>
      </c>
      <c r="AN29" s="74">
        <f>Schwab!Q24</f>
        <v>651</v>
      </c>
      <c r="AO29" s="75">
        <f>Fidelity!P29</f>
        <v>2417360.38</v>
      </c>
      <c r="AP29" s="94">
        <f>Fidelity!O29</f>
        <v>38</v>
      </c>
      <c r="AQ29" s="94"/>
      <c r="AR29" s="94"/>
      <c r="AS29" s="94"/>
      <c r="AT29" s="94"/>
      <c r="AU29" s="94"/>
      <c r="AV29" s="94"/>
      <c r="AW29" s="94"/>
      <c r="AX29" s="94"/>
      <c r="AY29" s="94"/>
      <c r="AZ29" s="94"/>
      <c r="BA29" s="69">
        <f>'TFA - Folio'!H34</f>
        <v>161370716.09</v>
      </c>
      <c r="BB29" s="40">
        <f>'TFA - Folio'!I29</f>
        <v>1</v>
      </c>
      <c r="BC29" s="80"/>
      <c r="BE29" s="80"/>
      <c r="CO29" s="176">
        <f>Stifel!B3</f>
        <v>501670.61</v>
      </c>
      <c r="CP29" s="176">
        <f>Stifel!K3</f>
        <v>1</v>
      </c>
      <c r="CQ29" s="176">
        <f>TDA!O19</f>
        <v>1147289.79</v>
      </c>
      <c r="CR29" s="176">
        <f>TDA!N19</f>
        <v>50</v>
      </c>
      <c r="DA29" s="177">
        <f>Prudential!E3</f>
        <v>115422.93</v>
      </c>
      <c r="DB29" s="178">
        <f>Prudential!D3</f>
        <v>1</v>
      </c>
    </row>
    <row r="30" spans="1:112">
      <c r="A30" s="38">
        <v>42124</v>
      </c>
      <c r="B30" s="7">
        <f t="shared" si="0"/>
        <v>270593468.21999997</v>
      </c>
      <c r="C30" s="84">
        <f t="shared" si="1"/>
        <v>764</v>
      </c>
      <c r="D30" s="65">
        <f t="shared" si="2"/>
        <v>237546863.78999999</v>
      </c>
      <c r="E30" s="96">
        <f t="shared" si="3"/>
        <v>3</v>
      </c>
      <c r="F30" s="68">
        <f t="shared" si="4"/>
        <v>0</v>
      </c>
      <c r="G30" s="97"/>
      <c r="H30" s="67">
        <f t="shared" si="5"/>
        <v>0</v>
      </c>
      <c r="I30" s="98"/>
      <c r="J30" s="73">
        <f t="shared" si="6"/>
        <v>27602800.419999998</v>
      </c>
      <c r="K30" s="99">
        <f t="shared" si="7"/>
        <v>760</v>
      </c>
      <c r="L30" s="78">
        <f t="shared" si="8"/>
        <v>5443804.0099999998</v>
      </c>
      <c r="M30" s="100">
        <f t="shared" ref="M30:M61" si="9">BD30+CL30+DF30</f>
        <v>1</v>
      </c>
      <c r="N30" s="82"/>
      <c r="O30" s="69">
        <f>SILVX!B37</f>
        <v>71483082.180000007</v>
      </c>
      <c r="P30" s="91">
        <f>SILVX!G37</f>
        <v>1</v>
      </c>
      <c r="U30" s="75"/>
      <c r="V30" s="94"/>
      <c r="W30" s="94"/>
      <c r="X30" s="94"/>
      <c r="Y30" s="69"/>
      <c r="Z30" s="91"/>
      <c r="AM30" s="76">
        <f>Schwab!S25</f>
        <v>23895032.32</v>
      </c>
      <c r="AN30" s="74">
        <f>Schwab!Q25</f>
        <v>671</v>
      </c>
      <c r="AO30" s="75">
        <f>Fidelity!P30</f>
        <v>2454965.04</v>
      </c>
      <c r="AP30" s="94">
        <f>Fidelity!O30</f>
        <v>38</v>
      </c>
      <c r="AQ30" s="94"/>
      <c r="AR30" s="94"/>
      <c r="AS30" s="94"/>
      <c r="AT30" s="94"/>
      <c r="AU30" s="94"/>
      <c r="AV30" s="94"/>
      <c r="AW30" s="94"/>
      <c r="AX30" s="94"/>
      <c r="AY30" s="94"/>
      <c r="AZ30" s="94"/>
      <c r="BA30" s="69">
        <f>'TFA - Folio'!H35</f>
        <v>165572464.47999999</v>
      </c>
      <c r="BB30" s="40">
        <f>'TFA - Folio'!I30</f>
        <v>1</v>
      </c>
      <c r="BC30" s="80">
        <f>'TFA - Folio'!K35</f>
        <v>5443804.0099999998</v>
      </c>
      <c r="BD30" s="79">
        <f>'TFA - Folio'!N35</f>
        <v>1</v>
      </c>
      <c r="BE30" s="80"/>
      <c r="CO30" s="176">
        <f>Stifel!B4</f>
        <v>491317.13</v>
      </c>
      <c r="CP30" s="176">
        <f>Stifel!K4</f>
        <v>1</v>
      </c>
      <c r="CQ30" s="176">
        <f>TDA!O20</f>
        <v>1139169.9299999997</v>
      </c>
      <c r="CR30" s="176">
        <f>TDA!N20</f>
        <v>50</v>
      </c>
      <c r="DA30" s="177">
        <f>Prudential!E4</f>
        <v>113633.13</v>
      </c>
      <c r="DB30" s="178">
        <f>Prudential!D4</f>
        <v>1</v>
      </c>
    </row>
    <row r="31" spans="1:112">
      <c r="A31" s="38">
        <v>42155</v>
      </c>
      <c r="B31" s="7">
        <f t="shared" si="0"/>
        <v>283756758.63410002</v>
      </c>
      <c r="C31" s="84">
        <f t="shared" si="1"/>
        <v>765</v>
      </c>
      <c r="D31" s="65">
        <f t="shared" si="2"/>
        <v>243732432.86000001</v>
      </c>
      <c r="E31" s="96">
        <f t="shared" si="3"/>
        <v>3</v>
      </c>
      <c r="F31" s="68">
        <f t="shared" si="4"/>
        <v>0</v>
      </c>
      <c r="G31" s="97"/>
      <c r="H31" s="67">
        <f t="shared" si="5"/>
        <v>0</v>
      </c>
      <c r="I31" s="98"/>
      <c r="J31" s="73">
        <f t="shared" si="6"/>
        <v>28854710.464100003</v>
      </c>
      <c r="K31" s="99">
        <f t="shared" si="7"/>
        <v>761</v>
      </c>
      <c r="L31" s="78">
        <f t="shared" si="8"/>
        <v>11169615.310000001</v>
      </c>
      <c r="M31" s="100">
        <f t="shared" si="9"/>
        <v>1</v>
      </c>
      <c r="N31" s="82"/>
      <c r="O31" s="69">
        <f>SILVX!B38</f>
        <v>72089140.980000004</v>
      </c>
      <c r="P31" s="91">
        <f>SILVX!G38</f>
        <v>1</v>
      </c>
      <c r="U31" s="75"/>
      <c r="V31" s="94"/>
      <c r="W31" s="94"/>
      <c r="X31" s="94"/>
      <c r="Y31" s="69"/>
      <c r="Z31" s="91"/>
      <c r="AM31" s="76">
        <f>Schwab!S26</f>
        <v>25130831.880000003</v>
      </c>
      <c r="AN31" s="74">
        <f>Schwab!Q26</f>
        <v>671</v>
      </c>
      <c r="AO31" s="75">
        <f>Fidelity!P31</f>
        <v>2465735.64</v>
      </c>
      <c r="AP31" s="94">
        <f>Fidelity!O31</f>
        <v>39</v>
      </c>
      <c r="AQ31" s="94"/>
      <c r="AR31" s="94"/>
      <c r="AS31" s="94"/>
      <c r="AT31" s="94"/>
      <c r="AU31" s="94"/>
      <c r="AV31" s="94"/>
      <c r="AW31" s="94"/>
      <c r="AX31" s="94"/>
      <c r="AY31" s="94"/>
      <c r="AZ31" s="94"/>
      <c r="BA31" s="69">
        <f>'TFA - Folio'!H36</f>
        <v>171145806</v>
      </c>
      <c r="BB31" s="40">
        <f>'TFA - Folio'!I31</f>
        <v>1</v>
      </c>
      <c r="BC31" s="80">
        <f>'TFA - Folio'!K36</f>
        <v>11169615.310000001</v>
      </c>
      <c r="BD31" s="79">
        <f>'TFA - Folio'!N36</f>
        <v>1</v>
      </c>
      <c r="BE31" s="80"/>
      <c r="CO31" s="176">
        <f>Stifel!B5</f>
        <v>497485.88</v>
      </c>
      <c r="CP31" s="176">
        <f>Stifel!K5</f>
        <v>1</v>
      </c>
      <c r="CQ31" s="176">
        <f>TDA!O21</f>
        <v>1144996.5841000001</v>
      </c>
      <c r="CR31" s="176">
        <f>TDA!N21</f>
        <v>50</v>
      </c>
      <c r="DA31" s="177">
        <f>Prudential!E5</f>
        <v>113146.36000000002</v>
      </c>
      <c r="DB31" s="178">
        <f>Prudential!D5</f>
        <v>1</v>
      </c>
    </row>
    <row r="32" spans="1:112">
      <c r="A32" s="38">
        <v>42185</v>
      </c>
      <c r="B32" s="7">
        <f t="shared" si="0"/>
        <v>279799754.49962997</v>
      </c>
      <c r="C32" s="84">
        <f t="shared" si="1"/>
        <v>783</v>
      </c>
      <c r="D32" s="65">
        <f t="shared" si="2"/>
        <v>238663696.75</v>
      </c>
      <c r="E32" s="96">
        <f t="shared" si="3"/>
        <v>3</v>
      </c>
      <c r="F32" s="68">
        <f t="shared" si="4"/>
        <v>0</v>
      </c>
      <c r="G32" s="97"/>
      <c r="H32" s="67">
        <f t="shared" si="5"/>
        <v>0</v>
      </c>
      <c r="I32" s="98"/>
      <c r="J32" s="73">
        <f t="shared" si="6"/>
        <v>27147640.079630006</v>
      </c>
      <c r="K32" s="99">
        <f t="shared" si="7"/>
        <v>779</v>
      </c>
      <c r="L32" s="78">
        <f t="shared" si="8"/>
        <v>13988417.67</v>
      </c>
      <c r="M32" s="100">
        <f t="shared" si="9"/>
        <v>1</v>
      </c>
      <c r="N32" s="82"/>
      <c r="O32" s="69">
        <f>SILVX!B39</f>
        <v>71051328.659999996</v>
      </c>
      <c r="P32" s="91">
        <f>SILVX!G39</f>
        <v>1</v>
      </c>
      <c r="U32" s="75"/>
      <c r="V32" s="94"/>
      <c r="W32" s="94"/>
      <c r="X32" s="94"/>
      <c r="Y32" s="69"/>
      <c r="Z32" s="91"/>
      <c r="AM32" s="76">
        <f>Schwab!S27</f>
        <v>23346862.416350007</v>
      </c>
      <c r="AN32" s="74">
        <f>Schwab!Q27</f>
        <v>688</v>
      </c>
      <c r="AO32" s="75">
        <f>Fidelity!P32</f>
        <v>2421279.5852000001</v>
      </c>
      <c r="AP32" s="94">
        <f>Fidelity!O32</f>
        <v>40</v>
      </c>
      <c r="AQ32" s="94"/>
      <c r="AR32" s="94"/>
      <c r="AS32" s="94"/>
      <c r="AT32" s="94"/>
      <c r="AU32" s="94"/>
      <c r="AV32" s="94"/>
      <c r="AW32" s="94"/>
      <c r="AX32" s="94"/>
      <c r="AY32" s="94"/>
      <c r="AZ32" s="94"/>
      <c r="BA32" s="69">
        <f>'TFA - Folio'!H37</f>
        <v>167125562.56</v>
      </c>
      <c r="BB32" s="40">
        <f>'TFA - Folio'!I32</f>
        <v>1</v>
      </c>
      <c r="BC32" s="80">
        <f>'TFA - Folio'!K37</f>
        <v>13988417.67</v>
      </c>
      <c r="BD32" s="79">
        <f>'TFA - Folio'!N37</f>
        <v>1</v>
      </c>
      <c r="BE32" s="80"/>
      <c r="CO32" s="176">
        <f>Stifel!B6</f>
        <v>486805.53</v>
      </c>
      <c r="CP32" s="176">
        <f>Stifel!K6</f>
        <v>1</v>
      </c>
      <c r="CQ32" s="176">
        <f>TDA!O22</f>
        <v>1269038.8928299998</v>
      </c>
      <c r="CR32" s="176">
        <f>TDA!N22</f>
        <v>50</v>
      </c>
      <c r="DA32" s="177">
        <f>Prudential!E6</f>
        <v>110459.18525000001</v>
      </c>
      <c r="DB32" s="178">
        <f>Prudential!D6</f>
        <v>1</v>
      </c>
    </row>
    <row r="33" spans="1:112">
      <c r="A33" s="38">
        <v>42216</v>
      </c>
      <c r="B33" s="7">
        <f t="shared" si="0"/>
        <v>305581921.42092997</v>
      </c>
      <c r="C33" s="84">
        <f t="shared" si="1"/>
        <v>795</v>
      </c>
      <c r="D33" s="65">
        <f t="shared" si="2"/>
        <v>256402754.82999998</v>
      </c>
      <c r="E33" s="96">
        <f t="shared" si="3"/>
        <v>3</v>
      </c>
      <c r="F33" s="68">
        <f t="shared" si="4"/>
        <v>0</v>
      </c>
      <c r="G33" s="97"/>
      <c r="H33" s="67">
        <f t="shared" si="5"/>
        <v>0</v>
      </c>
      <c r="I33" s="98"/>
      <c r="J33" s="73">
        <f t="shared" si="6"/>
        <v>29844049.400929995</v>
      </c>
      <c r="K33" s="99">
        <f t="shared" si="7"/>
        <v>791</v>
      </c>
      <c r="L33" s="78">
        <f t="shared" si="8"/>
        <v>19335117.190000001</v>
      </c>
      <c r="M33" s="100">
        <f t="shared" si="9"/>
        <v>1</v>
      </c>
      <c r="N33" s="82"/>
      <c r="O33" s="69">
        <f>SILVX!B40</f>
        <v>75409201.819999993</v>
      </c>
      <c r="P33" s="91">
        <f>SILVX!G40</f>
        <v>1</v>
      </c>
      <c r="U33" s="75"/>
      <c r="V33" s="94"/>
      <c r="W33" s="94"/>
      <c r="X33" s="94"/>
      <c r="Y33" s="69"/>
      <c r="Z33" s="91"/>
      <c r="AM33" s="76">
        <f>Schwab!S28</f>
        <v>25984134.731409997</v>
      </c>
      <c r="AN33" s="74">
        <f>Schwab!Q28</f>
        <v>703</v>
      </c>
      <c r="AO33" s="75">
        <f>Fidelity!P33</f>
        <v>2464372.8567999993</v>
      </c>
      <c r="AP33" s="94">
        <f>Fidelity!O33</f>
        <v>37</v>
      </c>
      <c r="AQ33" s="94"/>
      <c r="AR33" s="94"/>
      <c r="AS33" s="94"/>
      <c r="AT33" s="94"/>
      <c r="AU33" s="94"/>
      <c r="AV33" s="94"/>
      <c r="AW33" s="94"/>
      <c r="AX33" s="94"/>
      <c r="AY33" s="94"/>
      <c r="AZ33" s="94"/>
      <c r="BA33" s="69">
        <f>'TFA - Folio'!H38</f>
        <v>180482604.66999999</v>
      </c>
      <c r="BB33" s="40">
        <f>'TFA - Folio'!I33</f>
        <v>1</v>
      </c>
      <c r="BC33" s="80">
        <f>'TFA - Folio'!K38</f>
        <v>19335117.190000001</v>
      </c>
      <c r="BD33" s="79">
        <f>'TFA - Folio'!N38</f>
        <v>1</v>
      </c>
      <c r="BE33" s="80"/>
      <c r="CO33" s="176">
        <f>Stifel!B7</f>
        <v>510948.34</v>
      </c>
      <c r="CP33" s="176">
        <f>Stifel!K7</f>
        <v>1</v>
      </c>
      <c r="CQ33" s="176">
        <f>TDA!O23</f>
        <v>1285511.9354699999</v>
      </c>
      <c r="CR33" s="176">
        <f>TDA!N23</f>
        <v>50</v>
      </c>
      <c r="DA33" s="177">
        <f>Prudential!E7</f>
        <v>110029.87724999996</v>
      </c>
      <c r="DB33" s="178">
        <f>Prudential!D7</f>
        <v>1</v>
      </c>
    </row>
    <row r="34" spans="1:112">
      <c r="A34" s="38">
        <v>42247</v>
      </c>
      <c r="B34" s="7">
        <f t="shared" ref="B34:B68" si="10">O34+CM34+Q34+AM34+CQ34+AO34+DA34+BA34+BC34+CO34+BG34+CS34+BI34+CY34+CK34+DC34+DE34</f>
        <v>297127036.90613997</v>
      </c>
      <c r="C34" s="84">
        <f t="shared" ref="C34:C68" si="11">P34+CN34+R34+AN34+CR34+AP34+DB34+BB34+BD34+CP34+BH34+CT34+BJ34+CZ34+CL34+DD34+DF34</f>
        <v>806</v>
      </c>
      <c r="D34" s="65">
        <f t="shared" ref="D34:D58" si="12">O34+BA34+CO34+BG34+BI34+DC34</f>
        <v>245111048.89999998</v>
      </c>
      <c r="E34" s="96">
        <f t="shared" ref="E34:E58" si="13">P34+BB34+CP34+BH34+BJ34+DD34</f>
        <v>3</v>
      </c>
      <c r="F34" s="68">
        <f t="shared" ref="F34:F65" si="14">CM34+CS34</f>
        <v>0</v>
      </c>
      <c r="G34" s="97"/>
      <c r="H34" s="67">
        <f t="shared" ref="H34:H68" si="15">Q34+CY34</f>
        <v>0</v>
      </c>
      <c r="I34" s="98"/>
      <c r="J34" s="73">
        <f t="shared" ref="J34:J65" si="16">AM34+CQ34+AO34+DA34</f>
        <v>30642172.246139999</v>
      </c>
      <c r="K34" s="99">
        <f t="shared" ref="K34:K65" si="17">AN34+CR34+AP34+DB34</f>
        <v>802</v>
      </c>
      <c r="L34" s="78">
        <f t="shared" ref="L34:L65" si="18">BC34+CK34+DE34</f>
        <v>21373815.760000002</v>
      </c>
      <c r="M34" s="100">
        <f t="shared" si="9"/>
        <v>1</v>
      </c>
      <c r="N34" s="82"/>
      <c r="O34" s="69">
        <f>SILVX!B41</f>
        <v>72553875.760000005</v>
      </c>
      <c r="P34" s="91">
        <f>SILVX!G41</f>
        <v>1</v>
      </c>
      <c r="U34" s="75"/>
      <c r="V34" s="94"/>
      <c r="W34" s="94"/>
      <c r="X34" s="94"/>
      <c r="Y34" s="69"/>
      <c r="Z34" s="91"/>
      <c r="AM34" s="76">
        <f>Schwab!S29</f>
        <v>26503267.216919996</v>
      </c>
      <c r="AN34" s="74">
        <f>Schwab!Q29</f>
        <v>711</v>
      </c>
      <c r="AO34" s="75">
        <f>Fidelity!P34</f>
        <v>2740839.7855799999</v>
      </c>
      <c r="AP34" s="94">
        <f>Fidelity!O34</f>
        <v>39</v>
      </c>
      <c r="AQ34" s="94"/>
      <c r="AR34" s="94"/>
      <c r="AS34" s="94"/>
      <c r="AT34" s="94"/>
      <c r="AU34" s="94"/>
      <c r="AV34" s="94"/>
      <c r="AW34" s="94"/>
      <c r="AX34" s="94"/>
      <c r="AY34" s="94"/>
      <c r="AZ34" s="94"/>
      <c r="BA34" s="69">
        <f>'TFA - Folio'!H39</f>
        <v>172070406.5</v>
      </c>
      <c r="BB34" s="40">
        <f>'TFA - Folio'!I34</f>
        <v>1</v>
      </c>
      <c r="BC34" s="80">
        <f>'TFA - Folio'!K39</f>
        <v>21373815.760000002</v>
      </c>
      <c r="BD34" s="79">
        <f>'TFA - Folio'!N39</f>
        <v>1</v>
      </c>
      <c r="BE34" s="80"/>
      <c r="BG34" s="69"/>
      <c r="BI34" s="69"/>
      <c r="CI34" s="179"/>
      <c r="CK34" s="179"/>
      <c r="CM34" s="179"/>
      <c r="CO34" s="179">
        <f>Stifel!B8</f>
        <v>486766.64</v>
      </c>
      <c r="CP34" s="176">
        <f>Stifel!K8</f>
        <v>1</v>
      </c>
      <c r="CQ34" s="179">
        <f>TDA!O24</f>
        <v>1288767.5321400003</v>
      </c>
      <c r="CR34" s="176">
        <f>TDA!N24</f>
        <v>51</v>
      </c>
      <c r="CS34" s="179"/>
      <c r="CU34" s="179"/>
      <c r="DA34" s="177">
        <f>Prudential!E8</f>
        <v>109297.71149999998</v>
      </c>
      <c r="DB34" s="178">
        <f>Prudential!D8</f>
        <v>1</v>
      </c>
    </row>
    <row r="35" spans="1:112">
      <c r="A35" s="39">
        <v>42277</v>
      </c>
      <c r="B35" s="7">
        <f t="shared" si="10"/>
        <v>300236121.97703993</v>
      </c>
      <c r="C35" s="84">
        <f t="shared" si="11"/>
        <v>810</v>
      </c>
      <c r="D35" s="65">
        <f t="shared" si="12"/>
        <v>248009218.72999999</v>
      </c>
      <c r="E35" s="96">
        <f t="shared" si="13"/>
        <v>3</v>
      </c>
      <c r="F35" s="68">
        <f t="shared" si="14"/>
        <v>0</v>
      </c>
      <c r="G35" s="97"/>
      <c r="H35" s="67">
        <f t="shared" si="15"/>
        <v>0</v>
      </c>
      <c r="I35" s="98"/>
      <c r="J35" s="73">
        <f t="shared" si="16"/>
        <v>29796248.92704</v>
      </c>
      <c r="K35" s="99">
        <f t="shared" si="17"/>
        <v>806</v>
      </c>
      <c r="L35" s="78">
        <f t="shared" si="18"/>
        <v>22430654.32</v>
      </c>
      <c r="M35" s="100">
        <f t="shared" si="9"/>
        <v>1</v>
      </c>
      <c r="N35" s="82"/>
      <c r="O35" s="69">
        <f>SILVX!B42</f>
        <v>72933071.859999999</v>
      </c>
      <c r="P35" s="91">
        <f>SILVX!G42</f>
        <v>1</v>
      </c>
      <c r="U35" s="75"/>
      <c r="V35" s="94"/>
      <c r="W35" s="94"/>
      <c r="X35" s="94"/>
      <c r="Y35" s="69"/>
      <c r="Z35" s="91"/>
      <c r="AM35" s="76">
        <f>Schwab!S30</f>
        <v>25911677.057429999</v>
      </c>
      <c r="AN35" s="74">
        <f>Schwab!Q30</f>
        <v>715</v>
      </c>
      <c r="AO35" s="75">
        <f>Fidelity!P35</f>
        <v>2459675.0761299999</v>
      </c>
      <c r="AP35" s="94">
        <f>Fidelity!O35</f>
        <v>39</v>
      </c>
      <c r="AQ35" s="94"/>
      <c r="AR35" s="94"/>
      <c r="AS35" s="94"/>
      <c r="AT35" s="94"/>
      <c r="AU35" s="94"/>
      <c r="AV35" s="94"/>
      <c r="AW35" s="94"/>
      <c r="AX35" s="94"/>
      <c r="AY35" s="94"/>
      <c r="AZ35" s="94"/>
      <c r="BA35" s="69">
        <f>'TFA - Folio'!H40</f>
        <v>174586800.53</v>
      </c>
      <c r="BB35" s="40">
        <f>'TFA - Folio'!I35</f>
        <v>1</v>
      </c>
      <c r="BC35" s="80">
        <f>'TFA - Folio'!K40</f>
        <v>22430654.32</v>
      </c>
      <c r="BD35" s="79">
        <f>'TFA - Folio'!N40</f>
        <v>1</v>
      </c>
      <c r="BE35" s="80"/>
      <c r="BG35" s="69"/>
      <c r="BI35" s="69"/>
      <c r="CI35" s="179"/>
      <c r="CK35" s="179"/>
      <c r="CM35" s="179"/>
      <c r="CO35" s="179">
        <f>Stifel!B9</f>
        <v>489346.34</v>
      </c>
      <c r="CP35" s="176">
        <f>Stifel!K9</f>
        <v>1</v>
      </c>
      <c r="CQ35" s="179">
        <f>TDA!O25</f>
        <v>1317738.0082300003</v>
      </c>
      <c r="CR35" s="176">
        <f>TDA!N25</f>
        <v>51</v>
      </c>
      <c r="CS35" s="179"/>
      <c r="CU35" s="179"/>
      <c r="DA35" s="177">
        <f>Prudential!E9</f>
        <v>107158.78524999999</v>
      </c>
      <c r="DB35" s="178">
        <f>Prudential!D9</f>
        <v>1</v>
      </c>
    </row>
    <row r="36" spans="1:112">
      <c r="A36" s="38">
        <v>42308</v>
      </c>
      <c r="B36" s="7">
        <f t="shared" si="10"/>
        <v>330970152.92313999</v>
      </c>
      <c r="C36" s="84">
        <f t="shared" si="11"/>
        <v>822</v>
      </c>
      <c r="D36" s="65">
        <f t="shared" si="12"/>
        <v>273578618.98000002</v>
      </c>
      <c r="E36" s="96">
        <f t="shared" si="13"/>
        <v>3</v>
      </c>
      <c r="F36" s="68">
        <f t="shared" si="14"/>
        <v>0</v>
      </c>
      <c r="G36" s="97"/>
      <c r="H36" s="67">
        <f t="shared" si="15"/>
        <v>0</v>
      </c>
      <c r="I36" s="98"/>
      <c r="J36" s="73">
        <f t="shared" si="16"/>
        <v>32098574.523139995</v>
      </c>
      <c r="K36" s="99">
        <f t="shared" si="17"/>
        <v>813</v>
      </c>
      <c r="L36" s="78">
        <f t="shared" si="18"/>
        <v>25292959.420000002</v>
      </c>
      <c r="M36" s="100">
        <f t="shared" si="9"/>
        <v>6</v>
      </c>
      <c r="N36" s="82"/>
      <c r="O36" s="69">
        <f>SILVX!B43</f>
        <v>81294137.920000002</v>
      </c>
      <c r="P36" s="91">
        <f>SILVX!G43</f>
        <v>1</v>
      </c>
      <c r="U36" s="75"/>
      <c r="V36" s="94"/>
      <c r="W36" s="94"/>
      <c r="X36" s="94"/>
      <c r="Y36" s="69"/>
      <c r="Z36" s="91"/>
      <c r="AM36" s="76">
        <f>Schwab!S31</f>
        <v>27604223.383949995</v>
      </c>
      <c r="AN36" s="74">
        <f>Schwab!Q31</f>
        <v>719</v>
      </c>
      <c r="AO36" s="75">
        <f>Fidelity!P36</f>
        <v>2773930.7509099995</v>
      </c>
      <c r="AP36" s="94">
        <f>Fidelity!O36</f>
        <v>39</v>
      </c>
      <c r="AQ36" s="94"/>
      <c r="AR36" s="94"/>
      <c r="AS36" s="94"/>
      <c r="AT36" s="94"/>
      <c r="AU36" s="94"/>
      <c r="AV36" s="94"/>
      <c r="AW36" s="94"/>
      <c r="AX36" s="94"/>
      <c r="AY36" s="94"/>
      <c r="AZ36" s="94"/>
      <c r="BA36" s="69">
        <f>'TFA - Folio'!H41</f>
        <v>191762776.30000001</v>
      </c>
      <c r="BB36" s="40">
        <f>'TFA - Folio'!I36</f>
        <v>1</v>
      </c>
      <c r="BC36" s="80">
        <f>'TFA - Folio'!K41</f>
        <v>24691379.48</v>
      </c>
      <c r="BD36" s="79">
        <f>'TFA - Folio'!N41</f>
        <v>1</v>
      </c>
      <c r="BE36" s="80"/>
      <c r="BG36" s="69"/>
      <c r="BI36" s="69"/>
      <c r="CI36" s="179"/>
      <c r="CK36" s="179"/>
      <c r="CM36" s="179"/>
      <c r="CO36" s="179">
        <f>Stifel!B10</f>
        <v>521704.76</v>
      </c>
      <c r="CP36" s="176">
        <f>Stifel!K10</f>
        <v>1</v>
      </c>
      <c r="CQ36" s="179">
        <f>TDA!O26</f>
        <v>1610256.1930299997</v>
      </c>
      <c r="CR36" s="176">
        <f>TDA!N26</f>
        <v>54</v>
      </c>
      <c r="CS36" s="179"/>
      <c r="CU36" s="179"/>
      <c r="DA36" s="177">
        <f>Prudential!E10</f>
        <v>110164.19524999996</v>
      </c>
      <c r="DB36" s="178">
        <f>Prudential!D10</f>
        <v>1</v>
      </c>
      <c r="DE36" s="179">
        <f>Folio!B2</f>
        <v>601579.93999999994</v>
      </c>
      <c r="DF36" s="176">
        <f>Folio!C2</f>
        <v>5</v>
      </c>
    </row>
    <row r="37" spans="1:112">
      <c r="A37" s="38">
        <v>42338</v>
      </c>
      <c r="B37" s="7">
        <f t="shared" si="10"/>
        <v>331808730.61584997</v>
      </c>
      <c r="C37" s="84">
        <f t="shared" si="11"/>
        <v>812</v>
      </c>
      <c r="D37" s="65">
        <f t="shared" si="12"/>
        <v>273234126.73000002</v>
      </c>
      <c r="E37" s="96">
        <f t="shared" si="13"/>
        <v>3</v>
      </c>
      <c r="F37" s="68">
        <f t="shared" si="14"/>
        <v>0</v>
      </c>
      <c r="G37" s="97"/>
      <c r="H37" s="67">
        <f t="shared" si="15"/>
        <v>0</v>
      </c>
      <c r="I37" s="98"/>
      <c r="J37" s="73">
        <f t="shared" si="16"/>
        <v>32634033.245850001</v>
      </c>
      <c r="K37" s="99">
        <f t="shared" si="17"/>
        <v>803</v>
      </c>
      <c r="L37" s="78">
        <f t="shared" si="18"/>
        <v>25940570.640000001</v>
      </c>
      <c r="M37" s="100">
        <f t="shared" si="9"/>
        <v>6</v>
      </c>
      <c r="N37" s="82"/>
      <c r="O37" s="69">
        <f>SILVX!B44</f>
        <v>80390279.730000004</v>
      </c>
      <c r="P37" s="91">
        <f>SILVX!G44</f>
        <v>1</v>
      </c>
      <c r="U37" s="75"/>
      <c r="V37" s="94"/>
      <c r="W37" s="94"/>
      <c r="X37" s="94"/>
      <c r="Y37" s="69"/>
      <c r="Z37" s="91"/>
      <c r="AM37" s="76">
        <f>Schwab!S32</f>
        <v>28237671.554650001</v>
      </c>
      <c r="AN37" s="74">
        <f>Schwab!Q32</f>
        <v>708</v>
      </c>
      <c r="AO37" s="75">
        <f>Fidelity!P37</f>
        <v>2731964.8144499999</v>
      </c>
      <c r="AP37" s="94">
        <f>Fidelity!O37</f>
        <v>38</v>
      </c>
      <c r="AQ37" s="94"/>
      <c r="AR37" s="94"/>
      <c r="AS37" s="94"/>
      <c r="AT37" s="94"/>
      <c r="AU37" s="94"/>
      <c r="AV37" s="94"/>
      <c r="AW37" s="94"/>
      <c r="AX37" s="94"/>
      <c r="AY37" s="94"/>
      <c r="AZ37" s="94"/>
      <c r="BA37" s="69">
        <f>'TFA - Folio'!H42</f>
        <v>192321829.86000001</v>
      </c>
      <c r="BB37" s="40">
        <f>'TFA - Folio'!I37</f>
        <v>1</v>
      </c>
      <c r="BC37" s="80">
        <f>'TFA - Folio'!K42</f>
        <v>25345002.260000002</v>
      </c>
      <c r="BD37" s="79">
        <f>'TFA - Folio'!N42</f>
        <v>1</v>
      </c>
      <c r="BE37" s="80"/>
      <c r="BG37" s="69"/>
      <c r="BI37" s="69"/>
      <c r="CI37" s="179"/>
      <c r="CK37" s="179"/>
      <c r="CM37" s="179"/>
      <c r="CO37" s="179">
        <f>Stifel!B11</f>
        <v>522017.14</v>
      </c>
      <c r="CP37" s="176">
        <f>Stifel!K11</f>
        <v>1</v>
      </c>
      <c r="CQ37" s="179">
        <f>TDA!O27</f>
        <v>1555557.5355000002</v>
      </c>
      <c r="CR37" s="176">
        <f>TDA!N27</f>
        <v>56</v>
      </c>
      <c r="CS37" s="179"/>
      <c r="CU37" s="179"/>
      <c r="DA37" s="177">
        <f>Prudential!E11</f>
        <v>108839.34125</v>
      </c>
      <c r="DB37" s="178">
        <f>Prudential!D11</f>
        <v>1</v>
      </c>
      <c r="DE37" s="179">
        <f>Folio!B3</f>
        <v>595568.38</v>
      </c>
      <c r="DF37" s="176">
        <f>Folio!C3</f>
        <v>5</v>
      </c>
    </row>
    <row r="38" spans="1:112" s="140" customFormat="1">
      <c r="A38" s="116">
        <v>42369</v>
      </c>
      <c r="B38" s="117">
        <f t="shared" si="10"/>
        <v>332291843.14131993</v>
      </c>
      <c r="C38" s="118">
        <f t="shared" si="11"/>
        <v>807</v>
      </c>
      <c r="D38" s="119">
        <f t="shared" si="12"/>
        <v>274812978.50999999</v>
      </c>
      <c r="E38" s="120">
        <f t="shared" si="13"/>
        <v>3</v>
      </c>
      <c r="F38" s="121">
        <f t="shared" si="14"/>
        <v>0</v>
      </c>
      <c r="G38" s="122"/>
      <c r="H38" s="123">
        <f t="shared" si="15"/>
        <v>0</v>
      </c>
      <c r="I38" s="124"/>
      <c r="J38" s="125">
        <f t="shared" si="16"/>
        <v>31523435.981319994</v>
      </c>
      <c r="K38" s="126">
        <f t="shared" si="17"/>
        <v>798</v>
      </c>
      <c r="L38" s="127">
        <f t="shared" si="18"/>
        <v>25955428.649999999</v>
      </c>
      <c r="M38" s="128">
        <f t="shared" si="9"/>
        <v>6</v>
      </c>
      <c r="N38" s="82"/>
      <c r="O38" s="129">
        <f>SILVX!B45</f>
        <v>80182146.909999996</v>
      </c>
      <c r="P38" s="130">
        <f>SILVX!G45</f>
        <v>1</v>
      </c>
      <c r="Q38" s="133"/>
      <c r="R38" s="133"/>
      <c r="S38" s="131"/>
      <c r="T38" s="131"/>
      <c r="U38" s="135"/>
      <c r="V38" s="136"/>
      <c r="W38" s="136"/>
      <c r="X38" s="136"/>
      <c r="Y38" s="129"/>
      <c r="Z38" s="130"/>
      <c r="AA38" s="133"/>
      <c r="AB38" s="133"/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41">
        <f>Schwab!S33</f>
        <v>27097924.445659995</v>
      </c>
      <c r="AN38" s="134">
        <f>Schwab!Q33</f>
        <v>701</v>
      </c>
      <c r="AO38" s="135">
        <f>Fidelity!P38</f>
        <v>2746597.6261399998</v>
      </c>
      <c r="AP38" s="136">
        <f>Fidelity!O38</f>
        <v>38</v>
      </c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29">
        <f>'TFA - Folio'!H43</f>
        <v>194107504.15000001</v>
      </c>
      <c r="BB38" s="137">
        <f>'TFA - Folio'!I38</f>
        <v>1</v>
      </c>
      <c r="BC38" s="138">
        <f>'TFA - Folio'!K43</f>
        <v>25368789.09</v>
      </c>
      <c r="BD38" s="139">
        <f>'TFA - Folio'!N43</f>
        <v>1</v>
      </c>
      <c r="BE38" s="138"/>
      <c r="BF38" s="139"/>
      <c r="BG38" s="129"/>
      <c r="BH38" s="137"/>
      <c r="BI38" s="129"/>
      <c r="BJ38" s="137"/>
      <c r="BK38" s="198"/>
      <c r="BL38" s="198"/>
      <c r="BM38" s="198"/>
      <c r="BN38" s="198"/>
      <c r="BO38" s="198"/>
      <c r="BP38" s="198"/>
      <c r="BQ38" s="198"/>
      <c r="BR38" s="198"/>
      <c r="BS38" s="198"/>
      <c r="BT38" s="198"/>
      <c r="BU38" s="198"/>
      <c r="BV38" s="198"/>
      <c r="BW38" s="198"/>
      <c r="BX38" s="198"/>
      <c r="BY38" s="198"/>
      <c r="BZ38" s="198"/>
      <c r="CA38" s="198"/>
      <c r="CB38" s="198"/>
      <c r="CC38" s="198"/>
      <c r="CD38" s="198"/>
      <c r="CE38" s="198"/>
      <c r="CF38" s="198"/>
      <c r="CG38" s="198"/>
      <c r="CH38" s="198"/>
      <c r="CI38" s="180"/>
      <c r="CJ38" s="174"/>
      <c r="CK38" s="180"/>
      <c r="CL38" s="174"/>
      <c r="CM38" s="180"/>
      <c r="CN38" s="174"/>
      <c r="CO38" s="180">
        <f>Stifel!B12</f>
        <v>523327.45</v>
      </c>
      <c r="CP38" s="174">
        <f>Stifel!K12</f>
        <v>1</v>
      </c>
      <c r="CQ38" s="180">
        <f>TDA!O28</f>
        <v>1570764.8076800001</v>
      </c>
      <c r="CR38" s="174">
        <f>TDA!N28</f>
        <v>58</v>
      </c>
      <c r="CS38" s="180"/>
      <c r="CT38" s="174"/>
      <c r="CU38" s="180"/>
      <c r="CV38" s="174"/>
      <c r="CW38" s="174"/>
      <c r="CX38" s="174"/>
      <c r="CY38" s="174"/>
      <c r="CZ38" s="174"/>
      <c r="DA38" s="175">
        <f>Prudential!E12</f>
        <v>108149.10183999999</v>
      </c>
      <c r="DB38" s="181">
        <f>Prudential!D12</f>
        <v>1</v>
      </c>
      <c r="DC38" s="174"/>
      <c r="DD38" s="174"/>
      <c r="DE38" s="180">
        <f>Folio!B4</f>
        <v>586639.56000000006</v>
      </c>
      <c r="DF38" s="174">
        <f>Folio!C4</f>
        <v>5</v>
      </c>
      <c r="DG38" s="174"/>
      <c r="DH38" s="174"/>
    </row>
    <row r="39" spans="1:112">
      <c r="A39" s="38">
        <v>42400</v>
      </c>
      <c r="B39" s="7">
        <f t="shared" si="10"/>
        <v>396319380.75485003</v>
      </c>
      <c r="C39" s="84">
        <f t="shared" si="11"/>
        <v>798</v>
      </c>
      <c r="D39" s="65">
        <f t="shared" si="12"/>
        <v>336565584.37</v>
      </c>
      <c r="E39" s="96">
        <f t="shared" si="13"/>
        <v>4</v>
      </c>
      <c r="F39" s="68">
        <f t="shared" si="14"/>
        <v>0</v>
      </c>
      <c r="G39" s="97"/>
      <c r="H39" s="67">
        <f t="shared" si="15"/>
        <v>0</v>
      </c>
      <c r="I39" s="98"/>
      <c r="J39" s="73">
        <f t="shared" si="16"/>
        <v>29267066.724849995</v>
      </c>
      <c r="K39" s="99">
        <f t="shared" si="17"/>
        <v>788</v>
      </c>
      <c r="L39" s="78">
        <f t="shared" si="18"/>
        <v>30486729.66</v>
      </c>
      <c r="M39" s="100">
        <f t="shared" si="9"/>
        <v>6</v>
      </c>
      <c r="N39" s="82"/>
      <c r="O39" s="69">
        <f>SILVX!B46</f>
        <v>79613453.459999993</v>
      </c>
      <c r="P39" s="91">
        <f>SILVX!G46</f>
        <v>1</v>
      </c>
      <c r="U39" s="75"/>
      <c r="V39" s="94"/>
      <c r="W39" s="94"/>
      <c r="X39" s="94"/>
      <c r="Y39" s="69"/>
      <c r="Z39" s="91"/>
      <c r="AM39" s="76">
        <f>Schwab!S34</f>
        <v>24725092.291139998</v>
      </c>
      <c r="AN39" s="74">
        <f>Schwab!Q34</f>
        <v>691</v>
      </c>
      <c r="AO39" s="75">
        <f>Fidelity!P39</f>
        <v>2625482.4295899994</v>
      </c>
      <c r="AP39" s="94">
        <f>Fidelity!O39</f>
        <v>38</v>
      </c>
      <c r="AQ39" s="94"/>
      <c r="AR39" s="94"/>
      <c r="AS39" s="94"/>
      <c r="AT39" s="94"/>
      <c r="AU39" s="94"/>
      <c r="AV39" s="94"/>
      <c r="AW39" s="94"/>
      <c r="AX39" s="94"/>
      <c r="AY39" s="94"/>
      <c r="AZ39" s="94"/>
      <c r="BA39" s="69">
        <f>'TFA - Folio'!H44</f>
        <v>195923598.46000001</v>
      </c>
      <c r="BB39" s="40">
        <f>'TFA - Folio'!I39</f>
        <v>1</v>
      </c>
      <c r="BC39" s="80">
        <f>'TFA - Folio'!K44</f>
        <v>29896320.600000001</v>
      </c>
      <c r="BD39" s="79">
        <f>'TFA - Folio'!N44</f>
        <v>1</v>
      </c>
      <c r="BE39" s="80"/>
      <c r="BG39" s="69">
        <f>UNC!B2</f>
        <v>60512887.5</v>
      </c>
      <c r="BH39" s="40">
        <f>UNC!C2</f>
        <v>1</v>
      </c>
      <c r="BI39" s="69"/>
      <c r="CI39" s="179"/>
      <c r="CK39" s="179"/>
      <c r="CM39" s="179"/>
      <c r="CO39" s="179">
        <f>Stifel!B13</f>
        <v>515644.95</v>
      </c>
      <c r="CP39" s="176">
        <f>Stifel!K13</f>
        <v>1</v>
      </c>
      <c r="CQ39" s="179">
        <f>TDA!O29</f>
        <v>1809504.4390799999</v>
      </c>
      <c r="CR39" s="176">
        <f>TDA!N29</f>
        <v>58</v>
      </c>
      <c r="CS39" s="179"/>
      <c r="CU39" s="179"/>
      <c r="DA39" s="177">
        <f>Prudential!E13</f>
        <v>106987.56503999999</v>
      </c>
      <c r="DB39" s="178">
        <f>Prudential!D13</f>
        <v>1</v>
      </c>
      <c r="DE39" s="179">
        <f>Folio!B5</f>
        <v>590409.06000000006</v>
      </c>
      <c r="DF39" s="176">
        <f>Folio!C5</f>
        <v>5</v>
      </c>
    </row>
    <row r="40" spans="1:112">
      <c r="A40" s="38">
        <v>42429</v>
      </c>
      <c r="B40" s="7">
        <f t="shared" si="10"/>
        <v>431882422.29268998</v>
      </c>
      <c r="C40" s="84">
        <f t="shared" si="11"/>
        <v>796</v>
      </c>
      <c r="D40" s="65">
        <f t="shared" si="12"/>
        <v>365944041.71999997</v>
      </c>
      <c r="E40" s="96">
        <f t="shared" si="13"/>
        <v>6</v>
      </c>
      <c r="F40" s="68">
        <f t="shared" si="14"/>
        <v>0</v>
      </c>
      <c r="G40" s="97"/>
      <c r="H40" s="67">
        <f t="shared" si="15"/>
        <v>0</v>
      </c>
      <c r="I40" s="98"/>
      <c r="J40" s="73">
        <f t="shared" si="16"/>
        <v>31268321.142689999</v>
      </c>
      <c r="K40" s="99">
        <f t="shared" si="17"/>
        <v>784</v>
      </c>
      <c r="L40" s="78">
        <f t="shared" si="18"/>
        <v>34670059.43</v>
      </c>
      <c r="M40" s="100">
        <f t="shared" si="9"/>
        <v>6</v>
      </c>
      <c r="N40" s="82"/>
      <c r="O40" s="69">
        <f>SILVX!B47</f>
        <v>92880464.780000001</v>
      </c>
      <c r="P40" s="91">
        <f>SILVX!G47</f>
        <v>1</v>
      </c>
      <c r="U40" s="75"/>
      <c r="V40" s="94"/>
      <c r="W40" s="94"/>
      <c r="X40" s="94"/>
      <c r="Y40" s="69"/>
      <c r="Z40" s="91"/>
      <c r="AM40" s="76">
        <f>Schwab!S35</f>
        <v>26838835.518449999</v>
      </c>
      <c r="AN40" s="74">
        <f>Schwab!Q35</f>
        <v>696</v>
      </c>
      <c r="AO40" s="75">
        <f>Fidelity!P40</f>
        <v>2775074.6741699995</v>
      </c>
      <c r="AP40" s="94">
        <f>Fidelity!O40</f>
        <v>33</v>
      </c>
      <c r="AQ40" s="94"/>
      <c r="AR40" s="94"/>
      <c r="AS40" s="94"/>
      <c r="AT40" s="94"/>
      <c r="AU40" s="94"/>
      <c r="AV40" s="94"/>
      <c r="AW40" s="94"/>
      <c r="AX40" s="94"/>
      <c r="AY40" s="94"/>
      <c r="AZ40" s="94"/>
      <c r="BA40" s="69">
        <f>'TFA - Folio'!H45</f>
        <v>208818765.25</v>
      </c>
      <c r="BB40" s="40">
        <f>'TFA - Folio'!I40</f>
        <v>1</v>
      </c>
      <c r="BC40" s="80">
        <f>'TFA - Folio'!K45</f>
        <v>34079650.369999997</v>
      </c>
      <c r="BD40" s="79">
        <f>'TFA - Folio'!N45</f>
        <v>1</v>
      </c>
      <c r="BE40" s="80"/>
      <c r="BG40" s="69">
        <f>UNC!B3</f>
        <v>61869873</v>
      </c>
      <c r="BH40" s="40">
        <f>UNC!C3</f>
        <v>1</v>
      </c>
      <c r="BI40" s="69"/>
      <c r="CI40" s="179"/>
      <c r="CK40" s="179"/>
      <c r="CM40" s="179"/>
      <c r="CO40" s="179">
        <f>Stifel!B14</f>
        <v>2374938.69</v>
      </c>
      <c r="CP40" s="176">
        <f>Stifel!K14</f>
        <v>3</v>
      </c>
      <c r="CQ40" s="179">
        <f>TDA!O30</f>
        <v>1546479.5125500001</v>
      </c>
      <c r="CR40" s="176">
        <f>TDA!N30</f>
        <v>54</v>
      </c>
      <c r="CS40" s="179"/>
      <c r="CU40" s="179"/>
      <c r="DA40" s="177">
        <f>Prudential!E14</f>
        <v>107931.43751999998</v>
      </c>
      <c r="DB40" s="178">
        <f>Prudential!D14</f>
        <v>1</v>
      </c>
      <c r="DE40" s="179">
        <f>Folio!B6</f>
        <v>590409.06000000006</v>
      </c>
      <c r="DF40" s="176">
        <f>Folio!C6</f>
        <v>5</v>
      </c>
    </row>
    <row r="41" spans="1:112">
      <c r="A41" s="38">
        <v>42460</v>
      </c>
      <c r="B41" s="7">
        <f t="shared" si="10"/>
        <v>553718881.89839995</v>
      </c>
      <c r="C41" s="84">
        <f t="shared" si="11"/>
        <v>813</v>
      </c>
      <c r="D41" s="65">
        <f t="shared" si="12"/>
        <v>449607815.61000001</v>
      </c>
      <c r="E41" s="96">
        <f t="shared" si="13"/>
        <v>6</v>
      </c>
      <c r="F41" s="68">
        <f t="shared" si="14"/>
        <v>26636104.670000002</v>
      </c>
      <c r="G41" s="97">
        <f t="shared" ref="G41:G72" si="19">CN41+CT41</f>
        <v>1</v>
      </c>
      <c r="H41" s="67">
        <f t="shared" si="15"/>
        <v>0</v>
      </c>
      <c r="I41" s="98"/>
      <c r="J41" s="73">
        <f t="shared" si="16"/>
        <v>33214194.378400005</v>
      </c>
      <c r="K41" s="99">
        <f t="shared" si="17"/>
        <v>800</v>
      </c>
      <c r="L41" s="78">
        <f t="shared" si="18"/>
        <v>44260767.240000002</v>
      </c>
      <c r="M41" s="100">
        <f t="shared" si="9"/>
        <v>6</v>
      </c>
      <c r="N41" s="82"/>
      <c r="O41" s="69">
        <f>SILVX!B48</f>
        <v>101535195.39</v>
      </c>
      <c r="P41" s="91">
        <f>SILVX!G48</f>
        <v>1</v>
      </c>
      <c r="U41" s="75"/>
      <c r="V41" s="94"/>
      <c r="W41" s="94"/>
      <c r="X41" s="94"/>
      <c r="Y41" s="69"/>
      <c r="Z41" s="91"/>
      <c r="AM41" s="76">
        <f>Schwab!S36</f>
        <v>28589053.931600004</v>
      </c>
      <c r="AN41" s="74">
        <f>Schwab!Q36</f>
        <v>712</v>
      </c>
      <c r="AO41" s="75">
        <f>Fidelity!P41</f>
        <v>2878941.7218999993</v>
      </c>
      <c r="AP41" s="94">
        <f>Fidelity!O41</f>
        <v>33</v>
      </c>
      <c r="AQ41" s="94"/>
      <c r="AR41" s="94"/>
      <c r="AS41" s="94"/>
      <c r="AT41" s="94"/>
      <c r="AU41" s="94"/>
      <c r="AV41" s="94"/>
      <c r="AW41" s="94"/>
      <c r="AX41" s="94"/>
      <c r="AY41" s="94"/>
      <c r="AZ41" s="94"/>
      <c r="BA41" s="69">
        <f>'TFA - Folio'!H46</f>
        <v>243145651.66</v>
      </c>
      <c r="BB41" s="40">
        <f>'TFA - Folio'!I41</f>
        <v>1</v>
      </c>
      <c r="BC41" s="80">
        <f>'TFA - Folio'!K46</f>
        <v>43670358.18</v>
      </c>
      <c r="BD41" s="79">
        <f>'TFA - Folio'!N46</f>
        <v>1</v>
      </c>
      <c r="BE41" s="80"/>
      <c r="BG41" s="69">
        <f>UNC!B4</f>
        <v>102460603.65000001</v>
      </c>
      <c r="BH41" s="40">
        <f>UNC!C4</f>
        <v>1</v>
      </c>
      <c r="BI41" s="69"/>
      <c r="CI41" s="179"/>
      <c r="CK41" s="179"/>
      <c r="CM41" s="179"/>
      <c r="CO41" s="179">
        <f>Stifel!B15</f>
        <v>2466364.9099999997</v>
      </c>
      <c r="CP41" s="176">
        <f>Stifel!K15</f>
        <v>3</v>
      </c>
      <c r="CQ41" s="179">
        <f>TDA!O31</f>
        <v>1634301.8084999998</v>
      </c>
      <c r="CR41" s="176">
        <f>TDA!N31</f>
        <v>54</v>
      </c>
      <c r="CS41" s="179">
        <f>UNC!D4</f>
        <v>26636104.670000002</v>
      </c>
      <c r="CT41" s="176">
        <f>UNC!E4</f>
        <v>1</v>
      </c>
      <c r="CU41" s="179"/>
      <c r="DA41" s="177">
        <f>Prudential!E15</f>
        <v>111896.91639999999</v>
      </c>
      <c r="DB41" s="178">
        <f>Prudential!D15</f>
        <v>1</v>
      </c>
      <c r="DE41" s="179">
        <f>Folio!B7</f>
        <v>590409.06000000006</v>
      </c>
      <c r="DF41" s="176">
        <f>Folio!C7</f>
        <v>5</v>
      </c>
    </row>
    <row r="42" spans="1:112">
      <c r="A42" s="38">
        <v>42490</v>
      </c>
      <c r="B42" s="7">
        <f t="shared" si="10"/>
        <v>564090472.80479991</v>
      </c>
      <c r="C42" s="84">
        <f t="shared" si="11"/>
        <v>824</v>
      </c>
      <c r="D42" s="65">
        <f t="shared" si="12"/>
        <v>455662405.27000004</v>
      </c>
      <c r="E42" s="96">
        <f t="shared" si="13"/>
        <v>7</v>
      </c>
      <c r="F42" s="68">
        <f t="shared" si="14"/>
        <v>26649522.039999999</v>
      </c>
      <c r="G42" s="97">
        <f t="shared" si="19"/>
        <v>2</v>
      </c>
      <c r="H42" s="67">
        <f t="shared" si="15"/>
        <v>0</v>
      </c>
      <c r="I42" s="98"/>
      <c r="J42" s="73">
        <f t="shared" si="16"/>
        <v>32794992.694799997</v>
      </c>
      <c r="K42" s="99">
        <f t="shared" si="17"/>
        <v>809</v>
      </c>
      <c r="L42" s="78">
        <f t="shared" si="18"/>
        <v>48983552.800000004</v>
      </c>
      <c r="M42" s="100">
        <f t="shared" si="9"/>
        <v>6</v>
      </c>
      <c r="N42" s="82"/>
      <c r="O42" s="69">
        <f>SILVX!B49</f>
        <v>102153602.39</v>
      </c>
      <c r="P42" s="91">
        <f>SILVX!G49</f>
        <v>1</v>
      </c>
      <c r="S42" s="71"/>
      <c r="T42" s="92"/>
      <c r="U42" s="75"/>
      <c r="V42" s="94"/>
      <c r="W42" s="94"/>
      <c r="X42" s="94"/>
      <c r="Y42" s="69"/>
      <c r="Z42" s="91"/>
      <c r="AM42" s="76">
        <f>Schwab!S37</f>
        <v>28212575.935799994</v>
      </c>
      <c r="AN42" s="74">
        <f>Schwab!Q37</f>
        <v>721</v>
      </c>
      <c r="AO42" s="75">
        <f>Fidelity!P42</f>
        <v>2879856.6885999995</v>
      </c>
      <c r="AP42" s="94">
        <f>Fidelity!O42</f>
        <v>33</v>
      </c>
      <c r="AQ42" s="94"/>
      <c r="AR42" s="94"/>
      <c r="AS42" s="94"/>
      <c r="AT42" s="94"/>
      <c r="AU42" s="94"/>
      <c r="AV42" s="94"/>
      <c r="AW42" s="94"/>
      <c r="AX42" s="94"/>
      <c r="AY42" s="94"/>
      <c r="AZ42" s="94"/>
      <c r="BA42" s="69">
        <f>'TFA - Folio'!H47</f>
        <v>249121371.15000001</v>
      </c>
      <c r="BB42" s="40">
        <f>'TFA - Folio'!I42</f>
        <v>1</v>
      </c>
      <c r="BC42" s="80">
        <f>'TFA - Folio'!K47</f>
        <v>48393143.740000002</v>
      </c>
      <c r="BD42" s="79">
        <f>'TFA - Folio'!N47</f>
        <v>1</v>
      </c>
      <c r="BE42" s="80"/>
      <c r="BG42" s="69">
        <f>UNC!B5</f>
        <v>100992050.42</v>
      </c>
      <c r="BH42" s="40">
        <f>UNC!C5</f>
        <v>1</v>
      </c>
      <c r="BI42" s="69">
        <f>'Schwab LC'!D2</f>
        <v>983504.05</v>
      </c>
      <c r="BJ42" s="40">
        <f>'Schwab LC'!E2</f>
        <v>1</v>
      </c>
      <c r="CI42" s="179"/>
      <c r="CK42" s="179"/>
      <c r="CM42" s="179">
        <f>SCLVX!B3</f>
        <v>292845.33</v>
      </c>
      <c r="CN42" s="176">
        <f>SCLVX!G3</f>
        <v>1</v>
      </c>
      <c r="CO42" s="179">
        <f>Stifel!B16</f>
        <v>2411877.2599999998</v>
      </c>
      <c r="CP42" s="176">
        <f>Stifel!K16</f>
        <v>3</v>
      </c>
      <c r="CQ42" s="179">
        <f>TDA!O32</f>
        <v>1590409.4136000001</v>
      </c>
      <c r="CR42" s="176">
        <f>TDA!N32</f>
        <v>54</v>
      </c>
      <c r="CS42" s="179">
        <f>UNC!D5</f>
        <v>26356676.710000001</v>
      </c>
      <c r="CT42" s="176">
        <f>UNC!E5</f>
        <v>1</v>
      </c>
      <c r="CU42" s="179"/>
      <c r="DA42" s="177">
        <f>Prudential!E16</f>
        <v>112150.65680000003</v>
      </c>
      <c r="DB42" s="178">
        <f>Prudential!D16</f>
        <v>1</v>
      </c>
      <c r="DE42" s="179">
        <f>Folio!B8</f>
        <v>590409.06000000006</v>
      </c>
      <c r="DF42" s="176">
        <f>Folio!C8</f>
        <v>5</v>
      </c>
    </row>
    <row r="43" spans="1:112">
      <c r="A43" s="38">
        <v>42521</v>
      </c>
      <c r="B43" s="7">
        <f t="shared" si="10"/>
        <v>587911840.24853992</v>
      </c>
      <c r="C43" s="84">
        <f t="shared" si="11"/>
        <v>807</v>
      </c>
      <c r="D43" s="65">
        <f t="shared" si="12"/>
        <v>477445733.66000003</v>
      </c>
      <c r="E43" s="96">
        <f t="shared" si="13"/>
        <v>11</v>
      </c>
      <c r="F43" s="68">
        <f t="shared" si="14"/>
        <v>38203240.789999999</v>
      </c>
      <c r="G43" s="97">
        <f t="shared" si="19"/>
        <v>2</v>
      </c>
      <c r="H43" s="67">
        <f t="shared" si="15"/>
        <v>0</v>
      </c>
      <c r="I43" s="98"/>
      <c r="J43" s="73">
        <f t="shared" si="16"/>
        <v>19983210.47854</v>
      </c>
      <c r="K43" s="99">
        <f t="shared" si="17"/>
        <v>788</v>
      </c>
      <c r="L43" s="78">
        <f t="shared" si="18"/>
        <v>52279655.32</v>
      </c>
      <c r="M43" s="100">
        <f t="shared" si="9"/>
        <v>6</v>
      </c>
      <c r="N43" s="82"/>
      <c r="O43" s="69">
        <f>SILVX!B50</f>
        <v>110002370.58</v>
      </c>
      <c r="P43" s="91">
        <f>SILVX!G50</f>
        <v>1</v>
      </c>
      <c r="S43" s="71"/>
      <c r="T43" s="92"/>
      <c r="U43" s="75"/>
      <c r="V43" s="94"/>
      <c r="W43" s="94"/>
      <c r="X43" s="94"/>
      <c r="Y43" s="69"/>
      <c r="Z43" s="91"/>
      <c r="AM43" s="76">
        <f>Schwab!S38</f>
        <v>15694541.043609999</v>
      </c>
      <c r="AN43" s="74">
        <f>Schwab!Q38</f>
        <v>699</v>
      </c>
      <c r="AO43" s="75">
        <f>Fidelity!P43</f>
        <v>2861990.13613</v>
      </c>
      <c r="AP43" s="94">
        <f>Fidelity!O43</f>
        <v>32</v>
      </c>
      <c r="AQ43" s="94"/>
      <c r="AR43" s="94"/>
      <c r="AS43" s="94"/>
      <c r="AT43" s="94"/>
      <c r="AU43" s="94"/>
      <c r="AV43" s="94"/>
      <c r="AW43" s="94"/>
      <c r="AX43" s="94"/>
      <c r="AY43" s="94"/>
      <c r="AZ43" s="94"/>
      <c r="BA43" s="69">
        <f>'TFA - Folio'!H48</f>
        <v>259697004.65000001</v>
      </c>
      <c r="BB43" s="40">
        <f>'TFA - Folio'!I43</f>
        <v>1</v>
      </c>
      <c r="BC43" s="80">
        <f>'TFA - Folio'!K48</f>
        <v>51689246.259999998</v>
      </c>
      <c r="BD43" s="79">
        <f>'TFA - Folio'!N48</f>
        <v>1</v>
      </c>
      <c r="BE43" s="80"/>
      <c r="BG43" s="69">
        <f>UNC!B6</f>
        <v>102949466</v>
      </c>
      <c r="BH43" s="40">
        <f>UNC!C6</f>
        <v>1</v>
      </c>
      <c r="BI43" s="69">
        <f>'Schwab LC'!D3</f>
        <v>1505135.92</v>
      </c>
      <c r="BJ43" s="40">
        <f>'Schwab LC'!E3</f>
        <v>2</v>
      </c>
      <c r="CI43" s="179"/>
      <c r="CK43" s="179"/>
      <c r="CM43" s="179">
        <f>SCLVX!B4</f>
        <v>11273788.789999999</v>
      </c>
      <c r="CN43" s="176">
        <f>SCLVX!G4</f>
        <v>1</v>
      </c>
      <c r="CO43" s="179">
        <f>Stifel!B17</f>
        <v>3291756.5100000007</v>
      </c>
      <c r="CP43" s="176">
        <f>Stifel!K17</f>
        <v>6</v>
      </c>
      <c r="CQ43" s="179">
        <f>TDA!O33</f>
        <v>1315648.9490399994</v>
      </c>
      <c r="CR43" s="176">
        <f>TDA!N33</f>
        <v>56</v>
      </c>
      <c r="CS43" s="179">
        <f>UNC!D6</f>
        <v>26929452</v>
      </c>
      <c r="CT43" s="176">
        <f>UNC!E6</f>
        <v>1</v>
      </c>
      <c r="CU43" s="179"/>
      <c r="DA43" s="177">
        <f>Prudential!E17</f>
        <v>111030.34976000001</v>
      </c>
      <c r="DB43" s="178">
        <f>Prudential!D17</f>
        <v>1</v>
      </c>
      <c r="DE43" s="179">
        <f>Folio!B9</f>
        <v>590409.06000000006</v>
      </c>
      <c r="DF43" s="176">
        <f>Folio!C9</f>
        <v>5</v>
      </c>
    </row>
    <row r="44" spans="1:112">
      <c r="A44" s="38">
        <v>42551</v>
      </c>
      <c r="B44" s="7">
        <f t="shared" si="10"/>
        <v>620482461.38192976</v>
      </c>
      <c r="C44" s="84">
        <f t="shared" si="11"/>
        <v>770</v>
      </c>
      <c r="D44" s="65">
        <f t="shared" si="12"/>
        <v>507526857.42000002</v>
      </c>
      <c r="E44" s="96">
        <f t="shared" si="13"/>
        <v>11</v>
      </c>
      <c r="F44" s="68">
        <f t="shared" si="14"/>
        <v>39531910.659999996</v>
      </c>
      <c r="G44" s="97">
        <f t="shared" si="19"/>
        <v>2</v>
      </c>
      <c r="H44" s="67">
        <f t="shared" si="15"/>
        <v>0</v>
      </c>
      <c r="I44" s="98"/>
      <c r="J44" s="73">
        <f t="shared" si="16"/>
        <v>20690593.83193</v>
      </c>
      <c r="K44" s="99">
        <f t="shared" si="17"/>
        <v>751</v>
      </c>
      <c r="L44" s="78">
        <f t="shared" si="18"/>
        <v>52733099.469999999</v>
      </c>
      <c r="M44" s="100">
        <f t="shared" si="9"/>
        <v>6</v>
      </c>
      <c r="N44" s="82"/>
      <c r="O44" s="69">
        <f>SILVX!B51</f>
        <v>124920578.98999999</v>
      </c>
      <c r="P44" s="91">
        <f>SILVX!G51</f>
        <v>1</v>
      </c>
      <c r="S44" s="71"/>
      <c r="T44" s="92"/>
      <c r="U44" s="75"/>
      <c r="V44" s="94"/>
      <c r="W44" s="94"/>
      <c r="X44" s="94"/>
      <c r="Y44" s="69"/>
      <c r="Z44" s="91"/>
      <c r="AM44" s="76">
        <f>Schwab!S39</f>
        <v>16352790.352700002</v>
      </c>
      <c r="AN44" s="74">
        <f>Schwab!Q39</f>
        <v>664</v>
      </c>
      <c r="AO44" s="75">
        <f>Fidelity!P44</f>
        <v>2873908.0860000006</v>
      </c>
      <c r="AP44" s="94">
        <f>Fidelity!O44</f>
        <v>31</v>
      </c>
      <c r="AQ44" s="94"/>
      <c r="AR44" s="94"/>
      <c r="AS44" s="94"/>
      <c r="AT44" s="94"/>
      <c r="AU44" s="94"/>
      <c r="AV44" s="94"/>
      <c r="AW44" s="94"/>
      <c r="AX44" s="94"/>
      <c r="AY44" s="94"/>
      <c r="AZ44" s="94"/>
      <c r="BA44" s="69">
        <f>'TFA - Folio'!H49</f>
        <v>271005010.44</v>
      </c>
      <c r="BB44" s="40">
        <f>'TFA - Folio'!I44</f>
        <v>1</v>
      </c>
      <c r="BC44" s="80">
        <f>'TFA - Folio'!K49</f>
        <v>52142690.409999996</v>
      </c>
      <c r="BD44" s="79">
        <f>'TFA - Folio'!N49</f>
        <v>1</v>
      </c>
      <c r="BE44" s="80"/>
      <c r="BG44" s="69">
        <f>UNC!B7</f>
        <v>106503332</v>
      </c>
      <c r="BH44" s="40">
        <f>UNC!C7</f>
        <v>1</v>
      </c>
      <c r="BI44" s="69">
        <f>'Schwab LC'!D4</f>
        <v>1567343.4100000001</v>
      </c>
      <c r="BJ44" s="40">
        <f>'Schwab LC'!E4</f>
        <v>2</v>
      </c>
      <c r="CI44" s="179"/>
      <c r="CK44" s="179"/>
      <c r="CM44" s="179">
        <f>SCLVX!B5</f>
        <v>11434375.659999998</v>
      </c>
      <c r="CN44" s="176">
        <f>SCLVX!G5</f>
        <v>1</v>
      </c>
      <c r="CO44" s="179">
        <f>Stifel!B18</f>
        <v>3530592.58</v>
      </c>
      <c r="CP44" s="176">
        <f>Stifel!K18</f>
        <v>6</v>
      </c>
      <c r="CQ44" s="179">
        <f>TDA!O34</f>
        <v>1346912.7652299991</v>
      </c>
      <c r="CR44" s="176">
        <f>TDA!N34</f>
        <v>55</v>
      </c>
      <c r="CS44" s="179">
        <f>UNC!D7</f>
        <v>28097535</v>
      </c>
      <c r="CT44" s="176">
        <f>UNC!E7</f>
        <v>1</v>
      </c>
      <c r="CU44" s="179"/>
      <c r="DA44" s="177">
        <f>Prudential!E18</f>
        <v>116982.628</v>
      </c>
      <c r="DB44" s="178">
        <f>Prudential!D18</f>
        <v>1</v>
      </c>
      <c r="DE44" s="179">
        <f>Folio!B10</f>
        <v>590409.06000000006</v>
      </c>
      <c r="DF44" s="176">
        <f>Folio!C10</f>
        <v>5</v>
      </c>
    </row>
    <row r="45" spans="1:112">
      <c r="A45" s="38">
        <v>42582</v>
      </c>
      <c r="B45" s="7">
        <f t="shared" si="10"/>
        <v>649422616.61662996</v>
      </c>
      <c r="C45" s="84">
        <f t="shared" si="11"/>
        <v>772</v>
      </c>
      <c r="D45" s="65">
        <f t="shared" si="12"/>
        <v>529257397.31999999</v>
      </c>
      <c r="E45" s="96">
        <f t="shared" si="13"/>
        <v>12</v>
      </c>
      <c r="F45" s="68">
        <f t="shared" si="14"/>
        <v>40527284.289999999</v>
      </c>
      <c r="G45" s="97">
        <f t="shared" si="19"/>
        <v>2</v>
      </c>
      <c r="H45" s="67">
        <f t="shared" si="15"/>
        <v>0</v>
      </c>
      <c r="I45" s="98"/>
      <c r="J45" s="73">
        <f t="shared" si="16"/>
        <v>21712795.926630002</v>
      </c>
      <c r="K45" s="99">
        <f t="shared" si="17"/>
        <v>752</v>
      </c>
      <c r="L45" s="78">
        <f t="shared" si="18"/>
        <v>57925139.080000006</v>
      </c>
      <c r="M45" s="100">
        <f t="shared" si="9"/>
        <v>6</v>
      </c>
      <c r="N45" s="82"/>
      <c r="O45" s="69">
        <f>SILVX!B52</f>
        <v>127648204.13</v>
      </c>
      <c r="P45" s="91">
        <f>SILVX!G52</f>
        <v>1</v>
      </c>
      <c r="S45" s="71"/>
      <c r="T45" s="92"/>
      <c r="U45" s="75"/>
      <c r="V45" s="94"/>
      <c r="W45" s="94"/>
      <c r="X45" s="94"/>
      <c r="Y45" s="69"/>
      <c r="Z45" s="91"/>
      <c r="AM45" s="76">
        <f>Schwab!S40</f>
        <v>17289711.942290001</v>
      </c>
      <c r="AN45" s="74">
        <f>Schwab!Q40</f>
        <v>664</v>
      </c>
      <c r="AO45" s="75">
        <f>Fidelity!P45</f>
        <v>2946401.8360799998</v>
      </c>
      <c r="AP45" s="94">
        <f>Fidelity!O45</f>
        <v>32</v>
      </c>
      <c r="AQ45" s="94"/>
      <c r="AR45" s="94"/>
      <c r="AS45" s="94"/>
      <c r="AT45" s="94"/>
      <c r="AU45" s="94"/>
      <c r="AV45" s="94"/>
      <c r="AW45" s="94"/>
      <c r="AX45" s="94"/>
      <c r="AY45" s="94"/>
      <c r="AZ45" s="94"/>
      <c r="BA45" s="69">
        <f>'TFA - Folio'!H50</f>
        <v>287655913.88999999</v>
      </c>
      <c r="BB45" s="40">
        <f>'TFA - Folio'!I45</f>
        <v>1</v>
      </c>
      <c r="BC45" s="80">
        <f>'TFA - Folio'!K50</f>
        <v>57334730.020000003</v>
      </c>
      <c r="BD45" s="79">
        <f>'TFA - Folio'!N50</f>
        <v>1</v>
      </c>
      <c r="BE45" s="80"/>
      <c r="BG45" s="69">
        <f>UNC!B8</f>
        <v>108346736</v>
      </c>
      <c r="BH45" s="40">
        <f>UNC!C8</f>
        <v>1</v>
      </c>
      <c r="BI45" s="69">
        <f>'Schwab LC'!D5</f>
        <v>1590064.1400000001</v>
      </c>
      <c r="BJ45" s="40">
        <f>'Schwab LC'!E5</f>
        <v>2</v>
      </c>
      <c r="CI45" s="179"/>
      <c r="CK45" s="179"/>
      <c r="CM45" s="179">
        <f>SCLVX!B6</f>
        <v>11915017.290000001</v>
      </c>
      <c r="CN45" s="176">
        <f>SCLVX!G6</f>
        <v>1</v>
      </c>
      <c r="CO45" s="179">
        <f>Stifel!B19</f>
        <v>4016479.16</v>
      </c>
      <c r="CP45" s="176">
        <f>Stifel!K19</f>
        <v>7</v>
      </c>
      <c r="CQ45" s="179">
        <f>TDA!O35</f>
        <v>1359785.440179999</v>
      </c>
      <c r="CR45" s="176">
        <f>TDA!N35</f>
        <v>55</v>
      </c>
      <c r="CS45" s="179">
        <f>UNC!D8</f>
        <v>28612267</v>
      </c>
      <c r="CT45" s="176">
        <f>UNC!E8</f>
        <v>1</v>
      </c>
      <c r="CU45" s="179"/>
      <c r="DA45" s="177">
        <f>Prudential!E19</f>
        <v>116896.70807999998</v>
      </c>
      <c r="DB45" s="178">
        <f>Prudential!D19</f>
        <v>1</v>
      </c>
      <c r="DE45" s="179">
        <f>Folio!B11</f>
        <v>590409.06000000006</v>
      </c>
      <c r="DF45" s="176">
        <f>Folio!C11</f>
        <v>5</v>
      </c>
    </row>
    <row r="46" spans="1:112">
      <c r="A46" s="38">
        <v>42613</v>
      </c>
      <c r="B46" s="7">
        <f t="shared" si="10"/>
        <v>653829683.93123996</v>
      </c>
      <c r="C46" s="84">
        <f t="shared" si="11"/>
        <v>746</v>
      </c>
      <c r="D46" s="65">
        <f t="shared" si="12"/>
        <v>531756381.10999995</v>
      </c>
      <c r="E46" s="96">
        <f t="shared" si="13"/>
        <v>12</v>
      </c>
      <c r="F46" s="68">
        <f t="shared" si="14"/>
        <v>40765287.640000001</v>
      </c>
      <c r="G46" s="97">
        <f t="shared" si="19"/>
        <v>2</v>
      </c>
      <c r="H46" s="67">
        <f t="shared" si="15"/>
        <v>0</v>
      </c>
      <c r="I46" s="98"/>
      <c r="J46" s="73">
        <f t="shared" si="16"/>
        <v>21553148.321239993</v>
      </c>
      <c r="K46" s="99">
        <f t="shared" si="17"/>
        <v>726</v>
      </c>
      <c r="L46" s="78">
        <f t="shared" si="18"/>
        <v>59754866.859999999</v>
      </c>
      <c r="M46" s="100">
        <f t="shared" si="9"/>
        <v>6</v>
      </c>
      <c r="N46" s="82"/>
      <c r="O46" s="69">
        <f>SILVX!B53</f>
        <v>128637685</v>
      </c>
      <c r="P46" s="91">
        <f>SILVX!G53</f>
        <v>1</v>
      </c>
      <c r="S46" s="71"/>
      <c r="T46" s="92"/>
      <c r="U46" s="75"/>
      <c r="V46" s="94"/>
      <c r="W46" s="94"/>
      <c r="X46" s="94"/>
      <c r="Y46" s="69"/>
      <c r="Z46" s="91"/>
      <c r="AM46" s="76">
        <f>Schwab!S41</f>
        <v>17140347.608819991</v>
      </c>
      <c r="AN46" s="74">
        <f>Schwab!Q41</f>
        <v>639</v>
      </c>
      <c r="AO46" s="75">
        <f>Fidelity!P46</f>
        <v>2899822.4333699998</v>
      </c>
      <c r="AP46" s="94">
        <f>Fidelity!O46</f>
        <v>31</v>
      </c>
      <c r="AQ46" s="94"/>
      <c r="AR46" s="94"/>
      <c r="AS46" s="94"/>
      <c r="AT46" s="94"/>
      <c r="AU46" s="94"/>
      <c r="AV46" s="94"/>
      <c r="AW46" s="94"/>
      <c r="AX46" s="94"/>
      <c r="AY46" s="94"/>
      <c r="AZ46" s="94"/>
      <c r="BA46" s="69">
        <f>'TFA - Folio'!H51</f>
        <v>290963163.31999999</v>
      </c>
      <c r="BB46" s="40">
        <f>'TFA - Folio'!I46</f>
        <v>1</v>
      </c>
      <c r="BC46" s="80">
        <f>'TFA - Folio'!K51</f>
        <v>59164457.799999997</v>
      </c>
      <c r="BD46" s="79">
        <f>'TFA - Folio'!N51</f>
        <v>1</v>
      </c>
      <c r="BE46" s="80"/>
      <c r="BG46" s="69">
        <f>UNC!B9</f>
        <v>106554191</v>
      </c>
      <c r="BH46" s="40">
        <f>UNC!C9</f>
        <v>1</v>
      </c>
      <c r="BI46" s="69">
        <f>'Schwab LC'!D6</f>
        <v>1564552.64</v>
      </c>
      <c r="BJ46" s="40">
        <f>'Schwab LC'!E6</f>
        <v>2</v>
      </c>
      <c r="CI46" s="179"/>
      <c r="CK46" s="179"/>
      <c r="CM46" s="179">
        <f>SCLVX!B7</f>
        <v>12096875.639999999</v>
      </c>
      <c r="CN46" s="176">
        <f>SCLVX!G7</f>
        <v>1</v>
      </c>
      <c r="CO46" s="179">
        <f>Stifel!B20</f>
        <v>4036789.1500000008</v>
      </c>
      <c r="CP46" s="176">
        <f>Stifel!K20</f>
        <v>7</v>
      </c>
      <c r="CQ46" s="179">
        <f>TDA!O36</f>
        <v>1397452.40393</v>
      </c>
      <c r="CR46" s="176">
        <f>TDA!N36</f>
        <v>55</v>
      </c>
      <c r="CS46" s="179">
        <f>UNC!D9</f>
        <v>28668412</v>
      </c>
      <c r="CT46" s="176">
        <f>UNC!E9</f>
        <v>1</v>
      </c>
      <c r="CU46" s="179"/>
      <c r="DA46" s="177">
        <f>Prudential!E20</f>
        <v>115525.87512000004</v>
      </c>
      <c r="DB46" s="178">
        <f>Prudential!D20</f>
        <v>1</v>
      </c>
      <c r="DE46" s="179">
        <f>Folio!B12</f>
        <v>590409.06000000006</v>
      </c>
      <c r="DF46" s="176">
        <f>Folio!C12</f>
        <v>5</v>
      </c>
    </row>
    <row r="47" spans="1:112">
      <c r="A47" s="38">
        <v>42643</v>
      </c>
      <c r="B47" s="7">
        <f t="shared" si="10"/>
        <v>642807534.13390994</v>
      </c>
      <c r="C47" s="84">
        <f t="shared" si="11"/>
        <v>747</v>
      </c>
      <c r="D47" s="65">
        <f t="shared" si="12"/>
        <v>519791946.70000005</v>
      </c>
      <c r="E47" s="96">
        <f t="shared" si="13"/>
        <v>12</v>
      </c>
      <c r="F47" s="68">
        <f t="shared" si="14"/>
        <v>41274809.530000001</v>
      </c>
      <c r="G47" s="97">
        <f t="shared" si="19"/>
        <v>2</v>
      </c>
      <c r="H47" s="67">
        <f t="shared" si="15"/>
        <v>0</v>
      </c>
      <c r="I47" s="98"/>
      <c r="J47" s="73">
        <f t="shared" si="16"/>
        <v>20422979.083909992</v>
      </c>
      <c r="K47" s="99">
        <f t="shared" si="17"/>
        <v>727</v>
      </c>
      <c r="L47" s="78">
        <f t="shared" si="18"/>
        <v>61317798.82</v>
      </c>
      <c r="M47" s="100">
        <f t="shared" si="9"/>
        <v>6</v>
      </c>
      <c r="N47" s="82"/>
      <c r="O47" s="69">
        <f>SILVX!B54</f>
        <v>118866402.90000001</v>
      </c>
      <c r="P47" s="91">
        <f>SILVX!G54</f>
        <v>1</v>
      </c>
      <c r="S47" s="71"/>
      <c r="T47" s="92"/>
      <c r="U47" s="75"/>
      <c r="V47" s="94"/>
      <c r="W47" s="94"/>
      <c r="X47" s="94"/>
      <c r="Y47" s="69"/>
      <c r="Z47" s="91"/>
      <c r="AM47" s="76">
        <f>Schwab!S42</f>
        <v>16193782.383219995</v>
      </c>
      <c r="AN47" s="74">
        <f>Schwab!Q42</f>
        <v>638</v>
      </c>
      <c r="AO47" s="75">
        <f>Fidelity!P47</f>
        <v>2819675.4987699999</v>
      </c>
      <c r="AP47" s="94">
        <f>Fidelity!O47</f>
        <v>32</v>
      </c>
      <c r="AQ47" s="94"/>
      <c r="AR47" s="94"/>
      <c r="AS47" s="94"/>
      <c r="AT47" s="94"/>
      <c r="AU47" s="94"/>
      <c r="AV47" s="94"/>
      <c r="AW47" s="94"/>
      <c r="AX47" s="94"/>
      <c r="AY47" s="94"/>
      <c r="AZ47" s="94"/>
      <c r="BA47" s="69">
        <f>'TFA - Folio'!H52</f>
        <v>289895763.04000002</v>
      </c>
      <c r="BB47" s="40">
        <f>'TFA - Folio'!I47</f>
        <v>1</v>
      </c>
      <c r="BC47" s="80">
        <f>'TFA - Folio'!K52</f>
        <v>60727389.759999998</v>
      </c>
      <c r="BD47" s="79">
        <f>'TFA - Folio'!N52</f>
        <v>1</v>
      </c>
      <c r="BE47" s="80"/>
      <c r="BG47" s="69">
        <f>UNC!B10</f>
        <v>105353798</v>
      </c>
      <c r="BH47" s="40">
        <f>UNC!C10</f>
        <v>1</v>
      </c>
      <c r="BI47" s="69">
        <f>'Schwab LC'!D7</f>
        <v>1563657.27</v>
      </c>
      <c r="BJ47" s="40">
        <f>'Schwab LC'!E7</f>
        <v>2</v>
      </c>
      <c r="CI47" s="179"/>
      <c r="CK47" s="179"/>
      <c r="CM47" s="179">
        <f>SCLVX!B8</f>
        <v>12437809.529999999</v>
      </c>
      <c r="CN47" s="176">
        <f>SCLVX!G8</f>
        <v>1</v>
      </c>
      <c r="CO47" s="179">
        <f>Stifel!B21</f>
        <v>4112325.49</v>
      </c>
      <c r="CP47" s="176">
        <f>Stifel!K21</f>
        <v>7</v>
      </c>
      <c r="CQ47" s="179">
        <f>TDA!O37</f>
        <v>1298986.9264000002</v>
      </c>
      <c r="CR47" s="176">
        <f>TDA!N37</f>
        <v>56</v>
      </c>
      <c r="CS47" s="179">
        <f>UNC!D10</f>
        <v>28837000</v>
      </c>
      <c r="CT47" s="176">
        <f>UNC!E10</f>
        <v>1</v>
      </c>
      <c r="CU47" s="179"/>
      <c r="DA47" s="177">
        <f>Prudential!E21</f>
        <v>110534.27552000002</v>
      </c>
      <c r="DB47" s="178">
        <f>Prudential!D21</f>
        <v>1</v>
      </c>
      <c r="DE47" s="179">
        <f>Folio!B13</f>
        <v>590409.06000000006</v>
      </c>
      <c r="DF47" s="176">
        <f>Folio!C13</f>
        <v>5</v>
      </c>
    </row>
    <row r="48" spans="1:112">
      <c r="A48" s="38">
        <v>42674</v>
      </c>
      <c r="B48" s="7">
        <f t="shared" si="10"/>
        <v>620419615.03501987</v>
      </c>
      <c r="C48" s="84">
        <f t="shared" si="11"/>
        <v>751</v>
      </c>
      <c r="D48" s="65">
        <f t="shared" si="12"/>
        <v>497050191.91999996</v>
      </c>
      <c r="E48" s="96">
        <f t="shared" si="13"/>
        <v>12</v>
      </c>
      <c r="F48" s="68">
        <f t="shared" si="14"/>
        <v>40770824.380000003</v>
      </c>
      <c r="G48" s="97">
        <f t="shared" si="19"/>
        <v>2</v>
      </c>
      <c r="H48" s="67">
        <f t="shared" si="15"/>
        <v>0</v>
      </c>
      <c r="I48" s="98"/>
      <c r="J48" s="73">
        <f t="shared" si="16"/>
        <v>21258278.555019993</v>
      </c>
      <c r="K48" s="99">
        <f t="shared" si="17"/>
        <v>731</v>
      </c>
      <c r="L48" s="78">
        <f t="shared" si="18"/>
        <v>61340320.18</v>
      </c>
      <c r="M48" s="100">
        <f t="shared" si="9"/>
        <v>6</v>
      </c>
      <c r="N48" s="82"/>
      <c r="O48" s="69">
        <f>SILVX!B55</f>
        <v>110000276.52</v>
      </c>
      <c r="P48" s="91">
        <f>SILVX!G55</f>
        <v>1</v>
      </c>
      <c r="S48" s="71"/>
      <c r="T48" s="92"/>
      <c r="U48" s="75"/>
      <c r="V48" s="94"/>
      <c r="W48" s="94"/>
      <c r="X48" s="94"/>
      <c r="Y48" s="69"/>
      <c r="Z48" s="91"/>
      <c r="AM48" s="76">
        <f>Schwab!S43</f>
        <v>16932752.619269997</v>
      </c>
      <c r="AN48" s="74">
        <f>Schwab!Q43</f>
        <v>642</v>
      </c>
      <c r="AO48" s="75">
        <f>Fidelity!P48</f>
        <v>2819676.4987699999</v>
      </c>
      <c r="AP48" s="94">
        <f>Fidelity!O48</f>
        <v>32</v>
      </c>
      <c r="AQ48" s="94"/>
      <c r="AR48" s="94"/>
      <c r="AS48" s="94"/>
      <c r="AT48" s="94"/>
      <c r="AU48" s="94"/>
      <c r="AV48" s="94"/>
      <c r="AW48" s="94"/>
      <c r="AX48" s="94"/>
      <c r="AY48" s="94"/>
      <c r="AZ48" s="94"/>
      <c r="BA48" s="69">
        <f>'TFA - Folio'!H53</f>
        <v>279048854.76999998</v>
      </c>
      <c r="BB48" s="40">
        <f>'TFA - Folio'!I48</f>
        <v>1</v>
      </c>
      <c r="BC48" s="80">
        <f>'TFA - Folio'!K53</f>
        <v>60749911.119999997</v>
      </c>
      <c r="BD48" s="79">
        <f>'TFA - Folio'!N53</f>
        <v>1</v>
      </c>
      <c r="BE48" s="80"/>
      <c r="BG48" s="69">
        <f>UNC!B11</f>
        <v>102506111</v>
      </c>
      <c r="BH48" s="40">
        <f>UNC!C11</f>
        <v>1</v>
      </c>
      <c r="BI48" s="69">
        <f>'Schwab LC'!D8</f>
        <v>1513736.1099999999</v>
      </c>
      <c r="BJ48" s="40">
        <f>'Schwab LC'!E8</f>
        <v>2</v>
      </c>
      <c r="CI48" s="179"/>
      <c r="CK48" s="179"/>
      <c r="CM48" s="179">
        <f>SCLVX!B9</f>
        <v>12311759.970000003</v>
      </c>
      <c r="CN48" s="176">
        <f>SCLVX!G9</f>
        <v>1</v>
      </c>
      <c r="CO48" s="179">
        <f>Stifel!B22</f>
        <v>3981213.52</v>
      </c>
      <c r="CP48" s="176">
        <f>Stifel!K22</f>
        <v>7</v>
      </c>
      <c r="CQ48" s="179">
        <f>TDA!O38</f>
        <v>1390225.9073000001</v>
      </c>
      <c r="CR48" s="176">
        <f>TDA!N38</f>
        <v>56</v>
      </c>
      <c r="CS48" s="179">
        <f>UNC!D11</f>
        <v>28459064.41</v>
      </c>
      <c r="CT48" s="176">
        <f>UNC!E11</f>
        <v>1</v>
      </c>
      <c r="CU48" s="179"/>
      <c r="DA48" s="177">
        <f>Prudential!E22</f>
        <v>115623.52968000001</v>
      </c>
      <c r="DB48" s="178">
        <f>Prudential!D22</f>
        <v>1</v>
      </c>
      <c r="DE48" s="179">
        <f>Folio!B14</f>
        <v>590409.06000000006</v>
      </c>
      <c r="DF48" s="176">
        <f>Folio!C14</f>
        <v>5</v>
      </c>
    </row>
    <row r="49" spans="1:112">
      <c r="A49" s="38">
        <v>42704</v>
      </c>
      <c r="B49" s="7">
        <f t="shared" si="10"/>
        <v>639319190.91340995</v>
      </c>
      <c r="C49" s="84">
        <f t="shared" si="11"/>
        <v>757</v>
      </c>
      <c r="D49" s="65">
        <f t="shared" si="12"/>
        <v>513378782.59999996</v>
      </c>
      <c r="E49" s="96">
        <f t="shared" si="13"/>
        <v>12</v>
      </c>
      <c r="F49" s="68">
        <f t="shared" si="14"/>
        <v>44409690.840000004</v>
      </c>
      <c r="G49" s="97">
        <f t="shared" si="19"/>
        <v>2</v>
      </c>
      <c r="H49" s="67">
        <f t="shared" si="15"/>
        <v>0</v>
      </c>
      <c r="I49" s="98"/>
      <c r="J49" s="73">
        <f t="shared" si="16"/>
        <v>23032394.113409996</v>
      </c>
      <c r="K49" s="99">
        <f t="shared" si="17"/>
        <v>742</v>
      </c>
      <c r="L49" s="78">
        <f t="shared" si="18"/>
        <v>58498323.359999999</v>
      </c>
      <c r="M49" s="100">
        <f t="shared" si="9"/>
        <v>1</v>
      </c>
      <c r="N49" s="82"/>
      <c r="O49" s="69">
        <f>SILVX!B56</f>
        <v>113274501.15000001</v>
      </c>
      <c r="P49" s="91">
        <f>SILVX!G56</f>
        <v>1</v>
      </c>
      <c r="R49" s="93"/>
      <c r="S49" s="71"/>
      <c r="T49" s="92"/>
      <c r="U49" s="75"/>
      <c r="V49" s="94"/>
      <c r="W49" s="94"/>
      <c r="X49" s="94"/>
      <c r="Y49" s="69"/>
      <c r="Z49" s="91"/>
      <c r="AB49" s="93"/>
      <c r="AM49" s="76">
        <f>Schwab!S44</f>
        <v>18703661.758649997</v>
      </c>
      <c r="AN49" s="74">
        <f>Schwab!Q44</f>
        <v>653</v>
      </c>
      <c r="AO49" s="75">
        <f>Fidelity!P49</f>
        <v>2905518.9631999996</v>
      </c>
      <c r="AP49" s="94">
        <f>Fidelity!O49</f>
        <v>32</v>
      </c>
      <c r="AQ49" s="94"/>
      <c r="AR49" s="94"/>
      <c r="AS49" s="94"/>
      <c r="AT49" s="94"/>
      <c r="AU49" s="94"/>
      <c r="AV49" s="94"/>
      <c r="AW49" s="94"/>
      <c r="AX49" s="94"/>
      <c r="AY49" s="94"/>
      <c r="AZ49" s="94"/>
      <c r="BA49" s="69">
        <f>'TFA - Folio'!H54</f>
        <v>287983401.75</v>
      </c>
      <c r="BB49" s="40">
        <f>'TFA - Folio'!I49</f>
        <v>1</v>
      </c>
      <c r="BC49" s="80">
        <f>'TFA - Folio'!K54</f>
        <v>58498323.359999999</v>
      </c>
      <c r="BD49" s="79">
        <f>'TFA - Folio'!N54</f>
        <v>1</v>
      </c>
      <c r="BE49" s="80"/>
      <c r="BG49" s="69">
        <f>UNC!B12</f>
        <v>106540191</v>
      </c>
      <c r="BH49" s="40">
        <f>UNC!C12</f>
        <v>1</v>
      </c>
      <c r="BI49" s="69">
        <f>'Schwab LC'!D9</f>
        <v>1523356.8</v>
      </c>
      <c r="BJ49" s="40">
        <f>'Schwab LC'!E9</f>
        <v>2</v>
      </c>
      <c r="CI49" s="179"/>
      <c r="CK49" s="179"/>
      <c r="CM49" s="179">
        <f>SCLVX!B10</f>
        <v>13443511.640000001</v>
      </c>
      <c r="CN49" s="176">
        <f>SCLVX!G10</f>
        <v>1</v>
      </c>
      <c r="CO49" s="179">
        <f>Stifel!B23</f>
        <v>4057331.9</v>
      </c>
      <c r="CP49" s="176">
        <f>Stifel!K23</f>
        <v>7</v>
      </c>
      <c r="CQ49" s="179">
        <f>TDA!O39</f>
        <v>1317356.04268</v>
      </c>
      <c r="CR49" s="176">
        <f>TDA!N39</f>
        <v>56</v>
      </c>
      <c r="CS49" s="179">
        <f>UNC!D12</f>
        <v>30966179.199999999</v>
      </c>
      <c r="CT49" s="176">
        <f>UNC!E12</f>
        <v>1</v>
      </c>
      <c r="CU49" s="179"/>
      <c r="DA49" s="177">
        <f>Prudential!E23</f>
        <v>105857.34887999998</v>
      </c>
      <c r="DB49" s="178">
        <f>Prudential!D23</f>
        <v>1</v>
      </c>
      <c r="DE49" s="179"/>
    </row>
    <row r="50" spans="1:112" s="146" customFormat="1">
      <c r="A50" s="116">
        <v>42735</v>
      </c>
      <c r="B50" s="117">
        <f t="shared" si="10"/>
        <v>653090621.79486001</v>
      </c>
      <c r="C50" s="118">
        <f t="shared" si="11"/>
        <v>747</v>
      </c>
      <c r="D50" s="119">
        <f t="shared" si="12"/>
        <v>523142671.92000002</v>
      </c>
      <c r="E50" s="120">
        <f t="shared" si="13"/>
        <v>12</v>
      </c>
      <c r="F50" s="121">
        <f t="shared" si="14"/>
        <v>46874484.100000001</v>
      </c>
      <c r="G50" s="122">
        <f t="shared" si="19"/>
        <v>2</v>
      </c>
      <c r="H50" s="123">
        <f t="shared" si="15"/>
        <v>0</v>
      </c>
      <c r="I50" s="124"/>
      <c r="J50" s="125">
        <f t="shared" si="16"/>
        <v>23585396.994860005</v>
      </c>
      <c r="K50" s="126">
        <f t="shared" si="17"/>
        <v>732</v>
      </c>
      <c r="L50" s="127">
        <f t="shared" si="18"/>
        <v>59488068.780000001</v>
      </c>
      <c r="M50" s="128">
        <f t="shared" si="9"/>
        <v>1</v>
      </c>
      <c r="N50" s="82"/>
      <c r="O50" s="129">
        <f>SILVX!B57</f>
        <v>115831369.53999999</v>
      </c>
      <c r="P50" s="130">
        <f>SILVX!G57</f>
        <v>1</v>
      </c>
      <c r="Q50" s="144"/>
      <c r="R50" s="145"/>
      <c r="S50" s="142"/>
      <c r="T50" s="143"/>
      <c r="U50" s="135"/>
      <c r="V50" s="136"/>
      <c r="W50" s="136"/>
      <c r="X50" s="136"/>
      <c r="Y50" s="129"/>
      <c r="Z50" s="130"/>
      <c r="AA50" s="144"/>
      <c r="AB50" s="145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41">
        <f>Schwab!S45</f>
        <v>20085007.617770001</v>
      </c>
      <c r="AN50" s="134">
        <f>Schwab!Q45</f>
        <v>644</v>
      </c>
      <c r="AO50" s="135">
        <f>Fidelity!P50</f>
        <v>2297922.6160000004</v>
      </c>
      <c r="AP50" s="136">
        <f>Fidelity!O50</f>
        <v>32</v>
      </c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29">
        <f>'TFA - Folio'!H55</f>
        <v>295202963.56999999</v>
      </c>
      <c r="BB50" s="137">
        <f>'TFA - Folio'!I50</f>
        <v>1</v>
      </c>
      <c r="BC50" s="138">
        <f>'TFA - Folio'!K55</f>
        <v>59488068.780000001</v>
      </c>
      <c r="BD50" s="139">
        <f>'TFA - Folio'!N55</f>
        <v>1</v>
      </c>
      <c r="BE50" s="138"/>
      <c r="BF50" s="139"/>
      <c r="BG50" s="129">
        <f>UNC!B13</f>
        <v>106440166.52</v>
      </c>
      <c r="BH50" s="137">
        <f>UNC!C13</f>
        <v>1</v>
      </c>
      <c r="BI50" s="129">
        <f>'Schwab LC'!D10</f>
        <v>1544165.1099999999</v>
      </c>
      <c r="BJ50" s="137">
        <f>'Schwab LC'!E10</f>
        <v>2</v>
      </c>
      <c r="BK50" s="198"/>
      <c r="BL50" s="198"/>
      <c r="BM50" s="198"/>
      <c r="BN50" s="198"/>
      <c r="BO50" s="198"/>
      <c r="BP50" s="198"/>
      <c r="BQ50" s="198"/>
      <c r="BR50" s="198"/>
      <c r="BS50" s="198"/>
      <c r="BT50" s="198"/>
      <c r="BU50" s="198"/>
      <c r="BV50" s="198"/>
      <c r="BW50" s="198"/>
      <c r="BX50" s="198"/>
      <c r="BY50" s="198"/>
      <c r="BZ50" s="198"/>
      <c r="CA50" s="198"/>
      <c r="CB50" s="198"/>
      <c r="CC50" s="198"/>
      <c r="CD50" s="198"/>
      <c r="CE50" s="198"/>
      <c r="CF50" s="198"/>
      <c r="CG50" s="198"/>
      <c r="CH50" s="198"/>
      <c r="CI50" s="180"/>
      <c r="CJ50" s="174"/>
      <c r="CK50" s="180"/>
      <c r="CL50" s="174"/>
      <c r="CM50" s="180">
        <f>SCLVX!B11</f>
        <v>14332581.610000001</v>
      </c>
      <c r="CN50" s="174">
        <f>SCLVX!G11</f>
        <v>1</v>
      </c>
      <c r="CO50" s="180">
        <f>Stifel!B24</f>
        <v>4124007.1799999997</v>
      </c>
      <c r="CP50" s="174">
        <f>Stifel!K24</f>
        <v>7</v>
      </c>
      <c r="CQ50" s="180">
        <f>TDA!O40</f>
        <v>1096124.5026900005</v>
      </c>
      <c r="CR50" s="174">
        <f>TDA!N40</f>
        <v>55</v>
      </c>
      <c r="CS50" s="180">
        <f>UNC!D13</f>
        <v>32541902.489999998</v>
      </c>
      <c r="CT50" s="174">
        <f>UNC!E13</f>
        <v>1</v>
      </c>
      <c r="CU50" s="180"/>
      <c r="CV50" s="174"/>
      <c r="CW50" s="174"/>
      <c r="CX50" s="174"/>
      <c r="CY50" s="174"/>
      <c r="CZ50" s="174"/>
      <c r="DA50" s="175">
        <f>Prudential!E24</f>
        <v>106342.25839999999</v>
      </c>
      <c r="DB50" s="181">
        <f>Prudential!D24</f>
        <v>1</v>
      </c>
      <c r="DC50" s="174"/>
      <c r="DD50" s="174"/>
      <c r="DE50" s="180"/>
      <c r="DF50" s="174"/>
      <c r="DG50" s="174"/>
      <c r="DH50" s="174"/>
    </row>
    <row r="51" spans="1:112">
      <c r="A51" s="38">
        <v>42766</v>
      </c>
      <c r="B51" s="7">
        <f t="shared" si="10"/>
        <v>669504030.02728009</v>
      </c>
      <c r="C51" s="84">
        <f t="shared" si="11"/>
        <v>754</v>
      </c>
      <c r="D51" s="65">
        <f t="shared" si="12"/>
        <v>519612152.76999998</v>
      </c>
      <c r="E51" s="96">
        <f t="shared" si="13"/>
        <v>12</v>
      </c>
      <c r="F51" s="68">
        <f t="shared" si="14"/>
        <v>45799862.619999997</v>
      </c>
      <c r="G51" s="97">
        <f t="shared" si="19"/>
        <v>2</v>
      </c>
      <c r="H51" s="67">
        <f t="shared" si="15"/>
        <v>26074095.140000001</v>
      </c>
      <c r="I51" s="98">
        <f t="shared" ref="I51:I68" si="20">R51+CZ51</f>
        <v>1</v>
      </c>
      <c r="J51" s="73">
        <f t="shared" si="16"/>
        <v>20537970.937279996</v>
      </c>
      <c r="K51" s="99">
        <f t="shared" si="17"/>
        <v>738</v>
      </c>
      <c r="L51" s="78">
        <f t="shared" si="18"/>
        <v>57479948.560000002</v>
      </c>
      <c r="M51" s="100">
        <f t="shared" si="9"/>
        <v>1</v>
      </c>
      <c r="N51" s="82"/>
      <c r="O51" s="69">
        <f>SILVX!B58</f>
        <v>116458384.22</v>
      </c>
      <c r="P51" s="91">
        <f>SILVX!G58</f>
        <v>1</v>
      </c>
      <c r="Q51" s="70">
        <f>SGLIX!B3</f>
        <v>26074095.140000001</v>
      </c>
      <c r="R51" s="93">
        <f>SGLIX!G3</f>
        <v>1</v>
      </c>
      <c r="S51" s="71"/>
      <c r="T51" s="92"/>
      <c r="U51" s="75"/>
      <c r="V51" s="94"/>
      <c r="W51" s="94"/>
      <c r="X51" s="94"/>
      <c r="Y51" s="69"/>
      <c r="Z51" s="91"/>
      <c r="AA51" s="70"/>
      <c r="AB51" s="93"/>
      <c r="AM51" s="76">
        <f>Schwab!S46</f>
        <v>17034214.522939995</v>
      </c>
      <c r="AN51" s="74">
        <f>Schwab!Q46</f>
        <v>651</v>
      </c>
      <c r="AO51" s="75">
        <f>Fidelity!P51</f>
        <v>2367455.1538000004</v>
      </c>
      <c r="AP51" s="94">
        <f>Fidelity!O51</f>
        <v>31</v>
      </c>
      <c r="AQ51" s="94"/>
      <c r="AR51" s="94"/>
      <c r="AS51" s="94"/>
      <c r="AT51" s="94"/>
      <c r="AU51" s="94"/>
      <c r="AV51" s="94"/>
      <c r="AW51" s="94"/>
      <c r="AX51" s="94"/>
      <c r="AY51" s="94"/>
      <c r="AZ51" s="94"/>
      <c r="BA51" s="69">
        <f>'TFA - Folio'!H56</f>
        <v>290925967.30000001</v>
      </c>
      <c r="BB51" s="40">
        <f>'TFA - Folio'!I51</f>
        <v>1</v>
      </c>
      <c r="BC51" s="80">
        <f>'TFA - Folio'!K56</f>
        <v>57479948.560000002</v>
      </c>
      <c r="BD51" s="79">
        <f>'TFA - Folio'!N56</f>
        <v>1</v>
      </c>
      <c r="BE51" s="80"/>
      <c r="BG51" s="69">
        <f>UNC!B14</f>
        <v>106551075</v>
      </c>
      <c r="BH51" s="40">
        <f>UNC!C14</f>
        <v>1</v>
      </c>
      <c r="BI51" s="69">
        <f>'Schwab LC'!D11</f>
        <v>1547390.52</v>
      </c>
      <c r="BJ51" s="40">
        <f>'Schwab LC'!E11</f>
        <v>2</v>
      </c>
      <c r="CI51" s="179"/>
      <c r="CK51" s="179"/>
      <c r="CM51" s="179">
        <f>SCLVX!B12</f>
        <v>14035667.619999999</v>
      </c>
      <c r="CN51" s="176">
        <f>SCLVX!G12</f>
        <v>1</v>
      </c>
      <c r="CO51" s="179">
        <f>Stifel!B25</f>
        <v>4129335.73</v>
      </c>
      <c r="CP51" s="176">
        <f>Stifel!K25</f>
        <v>7</v>
      </c>
      <c r="CQ51" s="179">
        <f>TDA!O41</f>
        <v>1028268.6794199999</v>
      </c>
      <c r="CR51" s="176">
        <f>TDA!N41</f>
        <v>55</v>
      </c>
      <c r="CS51" s="179">
        <f>UNC!D14</f>
        <v>31764195</v>
      </c>
      <c r="CT51" s="176">
        <f>UNC!E14</f>
        <v>1</v>
      </c>
      <c r="CU51" s="179"/>
      <c r="DA51" s="177">
        <f>Prudential!E25</f>
        <v>108032.58112000002</v>
      </c>
      <c r="DB51" s="178">
        <f>Prudential!D25</f>
        <v>1</v>
      </c>
      <c r="DE51" s="179"/>
    </row>
    <row r="52" spans="1:112">
      <c r="A52" s="38">
        <v>42794</v>
      </c>
      <c r="B52" s="7">
        <f t="shared" si="10"/>
        <v>683285764.94646001</v>
      </c>
      <c r="C52" s="84">
        <f t="shared" si="11"/>
        <v>760</v>
      </c>
      <c r="D52" s="65">
        <f t="shared" si="12"/>
        <v>533514816.51999998</v>
      </c>
      <c r="E52" s="96">
        <f t="shared" si="13"/>
        <v>12</v>
      </c>
      <c r="F52" s="68">
        <f t="shared" si="14"/>
        <v>46199672</v>
      </c>
      <c r="G52" s="97">
        <f t="shared" si="19"/>
        <v>2</v>
      </c>
      <c r="H52" s="67">
        <f t="shared" si="15"/>
        <v>24556813.329999998</v>
      </c>
      <c r="I52" s="98">
        <f t="shared" si="20"/>
        <v>1</v>
      </c>
      <c r="J52" s="73">
        <f t="shared" si="16"/>
        <v>21592432.926459994</v>
      </c>
      <c r="K52" s="99">
        <f t="shared" si="17"/>
        <v>744</v>
      </c>
      <c r="L52" s="78">
        <f t="shared" si="18"/>
        <v>57422030.170000002</v>
      </c>
      <c r="M52" s="100">
        <f t="shared" si="9"/>
        <v>1</v>
      </c>
      <c r="N52" s="82"/>
      <c r="O52" s="69">
        <f>SILVX!B59</f>
        <v>113204259.97999999</v>
      </c>
      <c r="P52" s="91">
        <f>SILVX!G59</f>
        <v>1</v>
      </c>
      <c r="Q52" s="70">
        <f>SGLIX!B4</f>
        <v>24556813.329999998</v>
      </c>
      <c r="R52" s="93">
        <f>SGLIX!G4</f>
        <v>1</v>
      </c>
      <c r="S52" s="71"/>
      <c r="T52" s="92"/>
      <c r="U52" s="75"/>
      <c r="V52" s="94"/>
      <c r="W52" s="94"/>
      <c r="X52" s="94"/>
      <c r="Y52" s="69"/>
      <c r="Z52" s="91"/>
      <c r="AA52" s="70"/>
      <c r="AB52" s="93"/>
      <c r="AM52" s="76">
        <f>Schwab!S47</f>
        <v>18171761.099419996</v>
      </c>
      <c r="AN52" s="74">
        <f>Schwab!Q47</f>
        <v>657</v>
      </c>
      <c r="AO52" s="75">
        <f>Fidelity!P52</f>
        <v>2278714.9437999995</v>
      </c>
      <c r="AP52" s="94">
        <f>Fidelity!O52</f>
        <v>31</v>
      </c>
      <c r="AQ52" s="94"/>
      <c r="AR52" s="94"/>
      <c r="AS52" s="94"/>
      <c r="AT52" s="94"/>
      <c r="AU52" s="94"/>
      <c r="AV52" s="94"/>
      <c r="AW52" s="94"/>
      <c r="AX52" s="94"/>
      <c r="AY52" s="94"/>
      <c r="AZ52" s="94"/>
      <c r="BA52" s="69">
        <f>'TFA - Folio'!H57</f>
        <v>303590294.55000001</v>
      </c>
      <c r="BB52" s="40">
        <f>'TFA - Folio'!I52</f>
        <v>1</v>
      </c>
      <c r="BC52" s="80">
        <f>'TFA - Folio'!K57</f>
        <v>57422030.170000002</v>
      </c>
      <c r="BD52" s="79">
        <f>'TFA - Folio'!N57</f>
        <v>1</v>
      </c>
      <c r="BE52" s="80"/>
      <c r="BG52" s="69">
        <f>UNC!B15</f>
        <v>110850120.33</v>
      </c>
      <c r="BH52" s="40">
        <f>UNC!C15</f>
        <v>1</v>
      </c>
      <c r="BI52" s="69">
        <f>'Schwab LC'!D12</f>
        <v>1595924.81</v>
      </c>
      <c r="BJ52" s="40">
        <f>'Schwab LC'!E12</f>
        <v>2</v>
      </c>
      <c r="CI52" s="179"/>
      <c r="CK52" s="179"/>
      <c r="CM52" s="179">
        <f>SCLVX!B13</f>
        <v>14165872</v>
      </c>
      <c r="CN52" s="176">
        <f>SCLVX!G13</f>
        <v>1</v>
      </c>
      <c r="CO52" s="179">
        <f>Stifel!B26</f>
        <v>4274216.8499999996</v>
      </c>
      <c r="CP52" s="176">
        <f>Stifel!K26</f>
        <v>7</v>
      </c>
      <c r="CQ52" s="179">
        <f>TDA!O42</f>
        <v>1032984.3423199998</v>
      </c>
      <c r="CR52" s="176">
        <f>TDA!N42</f>
        <v>55</v>
      </c>
      <c r="CS52" s="179">
        <f>UNC!D15</f>
        <v>32033800</v>
      </c>
      <c r="CT52" s="176">
        <f>UNC!E15</f>
        <v>1</v>
      </c>
      <c r="CU52" s="179"/>
      <c r="DA52" s="177">
        <f>Prudential!E26</f>
        <v>108972.54092</v>
      </c>
      <c r="DB52" s="178">
        <f>Prudential!D26</f>
        <v>1</v>
      </c>
      <c r="DC52" s="179"/>
      <c r="DE52" s="179"/>
    </row>
    <row r="53" spans="1:112">
      <c r="A53" s="38">
        <v>42825</v>
      </c>
      <c r="B53" s="7">
        <f t="shared" si="10"/>
        <v>700378613.58982003</v>
      </c>
      <c r="C53" s="84">
        <f t="shared" si="11"/>
        <v>750</v>
      </c>
      <c r="D53" s="65">
        <f t="shared" si="12"/>
        <v>552884996.79999995</v>
      </c>
      <c r="E53" s="96">
        <f t="shared" si="13"/>
        <v>13</v>
      </c>
      <c r="F53" s="68">
        <f t="shared" si="14"/>
        <v>46267199.75</v>
      </c>
      <c r="G53" s="97">
        <f t="shared" si="19"/>
        <v>2</v>
      </c>
      <c r="H53" s="67">
        <f t="shared" si="15"/>
        <v>23502173.510000002</v>
      </c>
      <c r="I53" s="98">
        <f t="shared" si="20"/>
        <v>1</v>
      </c>
      <c r="J53" s="73">
        <f t="shared" si="16"/>
        <v>21121469.309819989</v>
      </c>
      <c r="K53" s="99">
        <f t="shared" si="17"/>
        <v>733</v>
      </c>
      <c r="L53" s="78">
        <f t="shared" si="18"/>
        <v>56602774.219999999</v>
      </c>
      <c r="M53" s="100">
        <f t="shared" si="9"/>
        <v>1</v>
      </c>
      <c r="N53" s="82"/>
      <c r="O53" s="69">
        <f>SILVX!B60</f>
        <v>112584162.15000001</v>
      </c>
      <c r="P53" s="91">
        <f>SILVX!G60</f>
        <v>1</v>
      </c>
      <c r="Q53" s="70">
        <f>SGLIX!B5</f>
        <v>23502173.510000002</v>
      </c>
      <c r="R53" s="93">
        <f>SGLIX!G5</f>
        <v>1</v>
      </c>
      <c r="S53" s="71"/>
      <c r="T53" s="92"/>
      <c r="U53" s="75"/>
      <c r="V53" s="94"/>
      <c r="W53" s="94"/>
      <c r="X53" s="94"/>
      <c r="Y53" s="69"/>
      <c r="Z53" s="91"/>
      <c r="AA53" s="70"/>
      <c r="AB53" s="93"/>
      <c r="AM53" s="76">
        <f>Schwab!S48</f>
        <v>16792284.899999984</v>
      </c>
      <c r="AN53" s="74">
        <f>Schwab!Q48</f>
        <v>649</v>
      </c>
      <c r="AO53" s="75">
        <f>Fidelity!P53</f>
        <v>3232038.3483000025</v>
      </c>
      <c r="AP53" s="94">
        <f>Fidelity!O53</f>
        <v>31</v>
      </c>
      <c r="AQ53" s="94"/>
      <c r="AR53" s="94"/>
      <c r="AS53" s="94"/>
      <c r="AT53" s="94"/>
      <c r="AU53" s="94"/>
      <c r="AV53" s="94"/>
      <c r="AW53" s="94"/>
      <c r="AX53" s="94"/>
      <c r="AY53" s="94"/>
      <c r="AZ53" s="94"/>
      <c r="BA53" s="69">
        <f>'TFA - Folio'!H58</f>
        <v>303762655.02999997</v>
      </c>
      <c r="BB53" s="40">
        <f>'TFA - Folio'!I53</f>
        <v>1</v>
      </c>
      <c r="BC53" s="80">
        <f>'TFA - Folio'!K58</f>
        <v>56602774.219999999</v>
      </c>
      <c r="BD53" s="79">
        <f>'TFA - Folio'!N58</f>
        <v>1</v>
      </c>
      <c r="BE53" s="80"/>
      <c r="BG53" s="69">
        <f>UNC!B16</f>
        <v>110545879.15000001</v>
      </c>
      <c r="BH53" s="40">
        <f>UNC!C16</f>
        <v>1</v>
      </c>
      <c r="BI53" s="69">
        <f>'Schwab LC'!D13</f>
        <v>1588770.0699999998</v>
      </c>
      <c r="BJ53" s="40">
        <f>'Schwab LC'!E13</f>
        <v>2</v>
      </c>
      <c r="CI53" s="179"/>
      <c r="CK53" s="179"/>
      <c r="CM53" s="179">
        <f>SCLVX!B14</f>
        <v>14155179.27</v>
      </c>
      <c r="CN53" s="176">
        <f>SCLVX!G14</f>
        <v>1</v>
      </c>
      <c r="CO53" s="179">
        <f>Stifel!B27</f>
        <v>4257359.3600000003</v>
      </c>
      <c r="CP53" s="176">
        <f>Stifel!K27</f>
        <v>7</v>
      </c>
      <c r="CQ53" s="179">
        <f>TDA!O43</f>
        <v>988340.76420000009</v>
      </c>
      <c r="CR53" s="176">
        <f>TDA!N43</f>
        <v>52</v>
      </c>
      <c r="CS53" s="179">
        <f>UNC!D16</f>
        <v>32112020.48</v>
      </c>
      <c r="CT53" s="176">
        <f>UNC!E16</f>
        <v>1</v>
      </c>
      <c r="CU53" s="179"/>
      <c r="DA53" s="177">
        <f>Prudential!E27</f>
        <v>108805.29732000004</v>
      </c>
      <c r="DB53" s="178">
        <f>Prudential!D27</f>
        <v>1</v>
      </c>
      <c r="DC53" s="179">
        <f>LACERA!B2</f>
        <v>20146171.039999999</v>
      </c>
      <c r="DD53" s="176">
        <f>LACERA!C2</f>
        <v>1</v>
      </c>
      <c r="DE53" s="179"/>
    </row>
    <row r="54" spans="1:112">
      <c r="A54" s="38">
        <v>42855</v>
      </c>
      <c r="B54" s="7">
        <f t="shared" si="10"/>
        <v>703196762.12538671</v>
      </c>
      <c r="C54" s="84">
        <f t="shared" si="11"/>
        <v>772</v>
      </c>
      <c r="D54" s="65">
        <f t="shared" si="12"/>
        <v>557187776.06000006</v>
      </c>
      <c r="E54" s="96">
        <f t="shared" si="13"/>
        <v>13</v>
      </c>
      <c r="F54" s="68">
        <f t="shared" si="14"/>
        <v>46114541.710000001</v>
      </c>
      <c r="G54" s="97">
        <f t="shared" si="19"/>
        <v>2</v>
      </c>
      <c r="H54" s="67">
        <f t="shared" si="15"/>
        <v>22855948.266666699</v>
      </c>
      <c r="I54" s="98">
        <f t="shared" si="20"/>
        <v>1</v>
      </c>
      <c r="J54" s="73">
        <f t="shared" si="16"/>
        <v>19687233.068719998</v>
      </c>
      <c r="K54" s="99">
        <f t="shared" si="17"/>
        <v>755</v>
      </c>
      <c r="L54" s="78">
        <f t="shared" si="18"/>
        <v>57351263.020000003</v>
      </c>
      <c r="M54" s="100">
        <f t="shared" si="9"/>
        <v>1</v>
      </c>
      <c r="N54" s="82"/>
      <c r="O54" s="69">
        <f>SILVX!B61</f>
        <v>111972789.14</v>
      </c>
      <c r="P54" s="91">
        <f>SILVX!G61</f>
        <v>1</v>
      </c>
      <c r="Q54" s="70">
        <f>SGLIX!B6</f>
        <v>22855948.266666699</v>
      </c>
      <c r="R54" s="93">
        <f>SGLIX!G6</f>
        <v>1</v>
      </c>
      <c r="S54" s="71"/>
      <c r="T54" s="92"/>
      <c r="U54" s="75"/>
      <c r="V54" s="94"/>
      <c r="W54" s="94"/>
      <c r="X54" s="94"/>
      <c r="Y54" s="69"/>
      <c r="Z54" s="91"/>
      <c r="AA54" s="70"/>
      <c r="AB54" s="93"/>
      <c r="AM54" s="76">
        <f>Schwab!S49</f>
        <v>15801367.007679999</v>
      </c>
      <c r="AN54" s="74">
        <f>Schwab!Q49</f>
        <v>669</v>
      </c>
      <c r="AO54" s="75">
        <f>Fidelity!P54</f>
        <v>2181421.7500000009</v>
      </c>
      <c r="AP54" s="94">
        <f>Fidelity!O54</f>
        <v>31</v>
      </c>
      <c r="AQ54" s="94"/>
      <c r="AR54" s="94"/>
      <c r="AS54" s="94"/>
      <c r="AT54" s="94"/>
      <c r="AU54" s="94"/>
      <c r="AV54" s="94"/>
      <c r="AW54" s="94"/>
      <c r="AX54" s="94"/>
      <c r="AY54" s="94"/>
      <c r="AZ54" s="94"/>
      <c r="BA54" s="69">
        <f>'TFA - Folio'!H59</f>
        <v>303574268.91000003</v>
      </c>
      <c r="BB54" s="40">
        <f>'TFA - Folio'!I54</f>
        <v>1</v>
      </c>
      <c r="BC54" s="80">
        <f>'TFA - Folio'!K59</f>
        <v>57351263.020000003</v>
      </c>
      <c r="BD54" s="79">
        <f>'TFA - Folio'!N59</f>
        <v>1</v>
      </c>
      <c r="BE54" s="80"/>
      <c r="BG54" s="69">
        <f>UNC!B17</f>
        <v>110545880.15000001</v>
      </c>
      <c r="BH54" s="40">
        <f>UNC!C17</f>
        <v>1</v>
      </c>
      <c r="BI54" s="69">
        <f>'Schwab LC'!D14</f>
        <v>1596414.5</v>
      </c>
      <c r="BJ54" s="40">
        <f>'Schwab LC'!E14</f>
        <v>2</v>
      </c>
      <c r="CI54" s="179"/>
      <c r="CK54" s="179"/>
      <c r="CM54" s="179">
        <f>SCLVX!B15</f>
        <v>14002520.23</v>
      </c>
      <c r="CN54" s="176">
        <f>SCLVX!G15</f>
        <v>1</v>
      </c>
      <c r="CO54" s="179">
        <f>Stifel!B28</f>
        <v>4287070.3600000003</v>
      </c>
      <c r="CP54" s="176">
        <f>Stifel!K28</f>
        <v>7</v>
      </c>
      <c r="CQ54" s="179">
        <f>TDA!O44</f>
        <v>1595254.1092399992</v>
      </c>
      <c r="CR54" s="176">
        <f>TDA!N44</f>
        <v>54</v>
      </c>
      <c r="CS54" s="179">
        <f>UNC!D17</f>
        <v>32112021.48</v>
      </c>
      <c r="CT54" s="176">
        <f>UNC!E17</f>
        <v>1</v>
      </c>
      <c r="CU54" s="179"/>
      <c r="DA54" s="177">
        <f>Prudential!E28</f>
        <v>109190.20180000001</v>
      </c>
      <c r="DB54" s="178">
        <f>Prudential!D28</f>
        <v>1</v>
      </c>
      <c r="DC54" s="179">
        <f>LACERA!B3</f>
        <v>25211353</v>
      </c>
      <c r="DD54" s="176">
        <f>LACERA!C3</f>
        <v>1</v>
      </c>
      <c r="DE54" s="179"/>
    </row>
    <row r="55" spans="1:112">
      <c r="A55" s="38">
        <v>42886</v>
      </c>
      <c r="B55" s="7">
        <f t="shared" si="10"/>
        <v>710717300.31666005</v>
      </c>
      <c r="C55" s="84">
        <f t="shared" si="11"/>
        <v>778</v>
      </c>
      <c r="D55" s="65">
        <f t="shared" si="12"/>
        <v>562112089.17999995</v>
      </c>
      <c r="E55" s="96">
        <f t="shared" si="13"/>
        <v>13</v>
      </c>
      <c r="F55" s="68">
        <f t="shared" si="14"/>
        <v>49309309.32</v>
      </c>
      <c r="G55" s="97">
        <f t="shared" si="19"/>
        <v>2</v>
      </c>
      <c r="H55" s="67">
        <f t="shared" si="15"/>
        <v>22435710.190000001</v>
      </c>
      <c r="I55" s="98">
        <f t="shared" si="20"/>
        <v>1</v>
      </c>
      <c r="J55" s="73">
        <f t="shared" si="16"/>
        <v>20355977.236659996</v>
      </c>
      <c r="K55" s="99">
        <f t="shared" si="17"/>
        <v>761</v>
      </c>
      <c r="L55" s="78">
        <f t="shared" si="18"/>
        <v>56504214.390000001</v>
      </c>
      <c r="M55" s="100">
        <f t="shared" si="9"/>
        <v>1</v>
      </c>
      <c r="N55" s="82"/>
      <c r="O55" s="69">
        <f>SILVX!B62</f>
        <v>113575928.79000001</v>
      </c>
      <c r="P55" s="91">
        <f>SILVX!G62</f>
        <v>1</v>
      </c>
      <c r="Q55" s="70">
        <f>SGLIX!B7</f>
        <v>22435710.190000001</v>
      </c>
      <c r="R55" s="93">
        <f>SGLIX!G7</f>
        <v>1</v>
      </c>
      <c r="S55" s="71"/>
      <c r="T55" s="92"/>
      <c r="U55" s="75"/>
      <c r="V55" s="94"/>
      <c r="W55" s="94"/>
      <c r="X55" s="94"/>
      <c r="Y55" s="69"/>
      <c r="Z55" s="91"/>
      <c r="AA55" s="70"/>
      <c r="AB55" s="93"/>
      <c r="AM55" s="76">
        <f>Schwab!S50</f>
        <v>16550789.699019998</v>
      </c>
      <c r="AN55" s="74">
        <f>Schwab!Q50</f>
        <v>675</v>
      </c>
      <c r="AO55" s="75">
        <f>Fidelity!P55</f>
        <v>2175287.1556799989</v>
      </c>
      <c r="AP55" s="94">
        <f>Fidelity!O55</f>
        <v>31</v>
      </c>
      <c r="AQ55" s="94"/>
      <c r="AR55" s="94"/>
      <c r="AS55" s="94"/>
      <c r="AT55" s="94"/>
      <c r="AU55" s="94"/>
      <c r="AV55" s="94"/>
      <c r="AW55" s="94"/>
      <c r="AX55" s="94"/>
      <c r="AY55" s="94"/>
      <c r="AZ55" s="94"/>
      <c r="BA55" s="69">
        <f>'TFA - Folio'!H60</f>
        <v>304464642.13999999</v>
      </c>
      <c r="BB55" s="40">
        <f>'TFA - Folio'!I55</f>
        <v>1</v>
      </c>
      <c r="BC55" s="80">
        <f>'TFA - Folio'!K60</f>
        <v>56504214.390000001</v>
      </c>
      <c r="BD55" s="79">
        <f>'TFA - Folio'!N60</f>
        <v>1</v>
      </c>
      <c r="BE55" s="80"/>
      <c r="BG55" s="69">
        <f>UNC!B18</f>
        <v>112761672.90000001</v>
      </c>
      <c r="BH55" s="40">
        <f>UNC!C18</f>
        <v>1</v>
      </c>
      <c r="BI55" s="69">
        <f>'Schwab LC'!D15</f>
        <v>1613083.21</v>
      </c>
      <c r="BJ55" s="40">
        <f>'Schwab LC'!E15</f>
        <v>2</v>
      </c>
      <c r="CI55" s="179"/>
      <c r="CK55" s="179"/>
      <c r="CM55" s="179">
        <f>SCLVX!B16</f>
        <v>16286885.68</v>
      </c>
      <c r="CN55" s="176">
        <f>SCLVX!G16</f>
        <v>1</v>
      </c>
      <c r="CO55" s="179">
        <f>Stifel!B29</f>
        <v>4340622.45</v>
      </c>
      <c r="CP55" s="176">
        <f>Stifel!K29</f>
        <v>7</v>
      </c>
      <c r="CQ55" s="179">
        <f>TDA!O45</f>
        <v>1519237.0065600006</v>
      </c>
      <c r="CR55" s="176">
        <f>TDA!N45</f>
        <v>54</v>
      </c>
      <c r="CS55" s="179">
        <f>UNC!D18</f>
        <v>33022423.640000001</v>
      </c>
      <c r="CT55" s="176">
        <f>UNC!E18</f>
        <v>1</v>
      </c>
      <c r="CU55" s="179"/>
      <c r="DA55" s="177">
        <f>Prudential!E29</f>
        <v>110663.37539999999</v>
      </c>
      <c r="DB55" s="178">
        <f>Prudential!D29</f>
        <v>1</v>
      </c>
      <c r="DC55" s="179">
        <f>LACERA!B4</f>
        <v>25356139.690000001</v>
      </c>
      <c r="DD55" s="176">
        <f>LACERA!C4</f>
        <v>1</v>
      </c>
    </row>
    <row r="56" spans="1:112">
      <c r="A56" s="38">
        <v>42916</v>
      </c>
      <c r="B56" s="7">
        <f t="shared" si="10"/>
        <v>719352023.67531192</v>
      </c>
      <c r="C56" s="84">
        <f t="shared" si="11"/>
        <v>780</v>
      </c>
      <c r="D56" s="65">
        <f t="shared" si="12"/>
        <v>562216882.2299999</v>
      </c>
      <c r="E56" s="96">
        <f t="shared" si="13"/>
        <v>13</v>
      </c>
      <c r="F56" s="68">
        <f t="shared" si="14"/>
        <v>49857150.324611999</v>
      </c>
      <c r="G56" s="97">
        <f t="shared" si="19"/>
        <v>2</v>
      </c>
      <c r="H56" s="67">
        <f t="shared" si="15"/>
        <v>32392904.649999999</v>
      </c>
      <c r="I56" s="98">
        <f t="shared" si="20"/>
        <v>2</v>
      </c>
      <c r="J56" s="73">
        <f t="shared" si="16"/>
        <v>19421259.430700004</v>
      </c>
      <c r="K56" s="99">
        <f t="shared" si="17"/>
        <v>762</v>
      </c>
      <c r="L56" s="78">
        <f t="shared" si="18"/>
        <v>55463827.039999999</v>
      </c>
      <c r="M56" s="100">
        <f t="shared" si="9"/>
        <v>1</v>
      </c>
      <c r="N56" s="82"/>
      <c r="O56" s="69">
        <f>SILVX!B63</f>
        <v>114281134.66</v>
      </c>
      <c r="P56" s="91">
        <f>SILVX!G63</f>
        <v>1</v>
      </c>
      <c r="Q56" s="70">
        <f>SGLIX!B8</f>
        <v>22484294.789999999</v>
      </c>
      <c r="R56" s="93">
        <f>SGLIX!G8</f>
        <v>1</v>
      </c>
      <c r="S56" s="71"/>
      <c r="T56" s="92"/>
      <c r="U56" s="75"/>
      <c r="V56" s="94"/>
      <c r="W56" s="94"/>
      <c r="X56" s="94"/>
      <c r="Y56" s="69"/>
      <c r="Z56" s="91"/>
      <c r="AA56" s="70"/>
      <c r="AB56" s="93"/>
      <c r="AM56" s="76">
        <f>Schwab!S51</f>
        <v>15931701.112230003</v>
      </c>
      <c r="AN56" s="74">
        <f>Schwab!Q51</f>
        <v>676</v>
      </c>
      <c r="AO56" s="75">
        <f>Fidelity!P56</f>
        <v>2189645.0300000012</v>
      </c>
      <c r="AP56" s="94">
        <f>Fidelity!O56</f>
        <v>31</v>
      </c>
      <c r="AQ56" s="94"/>
      <c r="AR56" s="94"/>
      <c r="AS56" s="94"/>
      <c r="AT56" s="94"/>
      <c r="AU56" s="94"/>
      <c r="AV56" s="94"/>
      <c r="AW56" s="94"/>
      <c r="AX56" s="94"/>
      <c r="AY56" s="94"/>
      <c r="AZ56" s="94"/>
      <c r="BA56" s="69">
        <f>'TFA - Folio'!H61</f>
        <v>303495717.49000001</v>
      </c>
      <c r="BB56" s="40">
        <f>'TFA - Folio'!I56</f>
        <v>1</v>
      </c>
      <c r="BC56" s="80">
        <f>'TFA - Folio'!K61</f>
        <v>55463827.039999999</v>
      </c>
      <c r="BD56" s="79">
        <f>'TFA - Folio'!N61</f>
        <v>1</v>
      </c>
      <c r="BE56" s="80"/>
      <c r="BG56" s="69">
        <f>UNC!B19</f>
        <v>112986062.94</v>
      </c>
      <c r="BH56" s="40">
        <f>UNC!C19</f>
        <v>1</v>
      </c>
      <c r="BI56" s="69">
        <f>'Schwab LC'!D16</f>
        <v>1614176.27</v>
      </c>
      <c r="BJ56" s="40">
        <f>'Schwab LC'!E16</f>
        <v>2</v>
      </c>
      <c r="CI56" s="179"/>
      <c r="CK56" s="179"/>
      <c r="CM56" s="179">
        <f>SCLVX!B17</f>
        <v>16585055.67</v>
      </c>
      <c r="CN56" s="176">
        <f>SCLVX!G17</f>
        <v>1</v>
      </c>
      <c r="CO56" s="179">
        <f>Stifel!B30</f>
        <v>4348894.33</v>
      </c>
      <c r="CP56" s="176">
        <f>Stifel!K30</f>
        <v>7</v>
      </c>
      <c r="CQ56" s="179">
        <f>TDA!O46</f>
        <v>1189385.0749100009</v>
      </c>
      <c r="CR56" s="176">
        <f>TDA!N46</f>
        <v>54</v>
      </c>
      <c r="CS56" s="179">
        <f>UNC!D19</f>
        <v>33272094.654612001</v>
      </c>
      <c r="CT56" s="176">
        <f>UNC!E19</f>
        <v>1</v>
      </c>
      <c r="CU56" s="179"/>
      <c r="CY56" s="179">
        <f>Cline!B2</f>
        <v>9908609.8599999994</v>
      </c>
      <c r="CZ56" s="176">
        <f>Cline!C2</f>
        <v>1</v>
      </c>
      <c r="DA56" s="177">
        <f>Prudential!E30</f>
        <v>110528.21356</v>
      </c>
      <c r="DB56" s="178">
        <f>Prudential!D30</f>
        <v>1</v>
      </c>
      <c r="DC56" s="179">
        <f>LACERA!B5</f>
        <v>25490896.539999999</v>
      </c>
      <c r="DD56" s="176">
        <f>LACERA!C5</f>
        <v>1</v>
      </c>
    </row>
    <row r="57" spans="1:112">
      <c r="A57" s="38">
        <v>42947</v>
      </c>
      <c r="B57" s="7">
        <f t="shared" si="10"/>
        <v>723205749.93431985</v>
      </c>
      <c r="C57" s="84">
        <f t="shared" si="11"/>
        <v>778</v>
      </c>
      <c r="D57" s="65">
        <f t="shared" si="12"/>
        <v>565183027.67999995</v>
      </c>
      <c r="E57" s="96">
        <f t="shared" si="13"/>
        <v>13</v>
      </c>
      <c r="F57" s="68">
        <f t="shared" si="14"/>
        <v>50196765.839999996</v>
      </c>
      <c r="G57" s="97">
        <f t="shared" si="19"/>
        <v>2</v>
      </c>
      <c r="H57" s="67">
        <f t="shared" si="15"/>
        <v>32554580.009999998</v>
      </c>
      <c r="I57" s="98">
        <f t="shared" si="20"/>
        <v>2</v>
      </c>
      <c r="J57" s="73">
        <f t="shared" si="16"/>
        <v>20423298.744319994</v>
      </c>
      <c r="K57" s="99">
        <f t="shared" si="17"/>
        <v>760</v>
      </c>
      <c r="L57" s="78">
        <f t="shared" si="18"/>
        <v>54848077.659999996</v>
      </c>
      <c r="M57" s="100">
        <f t="shared" si="9"/>
        <v>1</v>
      </c>
      <c r="N57" s="82"/>
      <c r="O57" s="69">
        <f>SILVX!B64</f>
        <v>113575928.79000001</v>
      </c>
      <c r="P57" s="91">
        <f>SILVX!G64</f>
        <v>1</v>
      </c>
      <c r="Q57" s="70">
        <f>SGLIX!B9</f>
        <v>22532879.390000001</v>
      </c>
      <c r="R57" s="93">
        <f>SGLIX!G9</f>
        <v>1</v>
      </c>
      <c r="S57" s="71"/>
      <c r="T57" s="92"/>
      <c r="U57" s="75"/>
      <c r="V57" s="94"/>
      <c r="W57" s="94"/>
      <c r="X57" s="94"/>
      <c r="Y57" s="69"/>
      <c r="Z57" s="91"/>
      <c r="AA57" s="70"/>
      <c r="AB57" s="93"/>
      <c r="AM57" s="76">
        <f>Schwab!S52</f>
        <v>16923460.025549993</v>
      </c>
      <c r="AN57" s="74">
        <f>Schwab!Q52</f>
        <v>674</v>
      </c>
      <c r="AO57" s="75">
        <f>Fidelity!P57</f>
        <v>2191575.0818999996</v>
      </c>
      <c r="AP57" s="94">
        <f>Fidelity!O57</f>
        <v>31</v>
      </c>
      <c r="AQ57" s="94"/>
      <c r="AR57" s="94"/>
      <c r="AS57" s="94"/>
      <c r="AT57" s="94"/>
      <c r="AU57" s="94"/>
      <c r="AV57" s="94"/>
      <c r="AW57" s="94"/>
      <c r="AX57" s="94"/>
      <c r="AY57" s="94"/>
      <c r="AZ57" s="94"/>
      <c r="BA57" s="69">
        <f>'TFA - Folio'!H62</f>
        <v>304780931.77999997</v>
      </c>
      <c r="BB57" s="40">
        <f>'TFA - Folio'!I57</f>
        <v>1</v>
      </c>
      <c r="BC57" s="80">
        <f>'TFA - Folio'!K62</f>
        <v>54848077.659999996</v>
      </c>
      <c r="BD57" s="79">
        <f>'TFA - Folio'!N62</f>
        <v>1</v>
      </c>
      <c r="BE57" s="80"/>
      <c r="BG57" s="69">
        <f>UNC!B20</f>
        <v>114882119.81999999</v>
      </c>
      <c r="BH57" s="40">
        <f>UNC!C20</f>
        <v>1</v>
      </c>
      <c r="BI57" s="69">
        <f>'Schwab LC'!D17</f>
        <v>1637157.3900000001</v>
      </c>
      <c r="BJ57" s="40">
        <f>'Schwab LC'!E17</f>
        <v>2</v>
      </c>
      <c r="CI57" s="179"/>
      <c r="CK57" s="179"/>
      <c r="CM57" s="179">
        <f>SCLVX!B18</f>
        <v>16286885.68</v>
      </c>
      <c r="CN57" s="176">
        <f>SCLVX!G18</f>
        <v>1</v>
      </c>
      <c r="CO57" s="179">
        <f>Stifel!B31</f>
        <v>4413096.0999999996</v>
      </c>
      <c r="CP57" s="176">
        <f>Stifel!K31</f>
        <v>7</v>
      </c>
      <c r="CQ57" s="179">
        <f>TDA!O47</f>
        <v>1196497.7433900004</v>
      </c>
      <c r="CR57" s="176">
        <f>TDA!N47</f>
        <v>54</v>
      </c>
      <c r="CS57" s="179">
        <f>UNC!D20</f>
        <v>33909880.159999996</v>
      </c>
      <c r="CT57" s="176">
        <f>UNC!E20</f>
        <v>1</v>
      </c>
      <c r="CU57" s="179"/>
      <c r="CY57" s="179">
        <f>Cline!B3</f>
        <v>10021700.619999999</v>
      </c>
      <c r="CZ57" s="176">
        <f>Cline!C3</f>
        <v>1</v>
      </c>
      <c r="DA57" s="177">
        <f>Prudential!E31</f>
        <v>111765.89348000003</v>
      </c>
      <c r="DB57" s="178">
        <f>Prudential!D31</f>
        <v>1</v>
      </c>
      <c r="DC57" s="179">
        <f>LACERA!B6</f>
        <v>25893793.800000001</v>
      </c>
      <c r="DD57" s="176">
        <f>LACERA!C6</f>
        <v>1</v>
      </c>
    </row>
    <row r="58" spans="1:112">
      <c r="A58" s="38">
        <v>42978</v>
      </c>
      <c r="B58" s="7">
        <f t="shared" si="10"/>
        <v>734090838.75267994</v>
      </c>
      <c r="C58" s="84">
        <f t="shared" si="11"/>
        <v>785</v>
      </c>
      <c r="D58" s="65">
        <f t="shared" si="12"/>
        <v>571402712.69000006</v>
      </c>
      <c r="E58" s="96">
        <f t="shared" si="13"/>
        <v>13</v>
      </c>
      <c r="F58" s="68">
        <f t="shared" si="14"/>
        <v>49517793.090000004</v>
      </c>
      <c r="G58" s="97">
        <f t="shared" si="19"/>
        <v>2</v>
      </c>
      <c r="H58" s="67">
        <f t="shared" si="15"/>
        <v>37985275.300000004</v>
      </c>
      <c r="I58" s="98">
        <f t="shared" si="20"/>
        <v>2</v>
      </c>
      <c r="J58" s="73">
        <f t="shared" si="16"/>
        <v>20685971.962680016</v>
      </c>
      <c r="K58" s="99">
        <f t="shared" si="17"/>
        <v>767</v>
      </c>
      <c r="L58" s="78">
        <f t="shared" si="18"/>
        <v>54499085.710000001</v>
      </c>
      <c r="M58" s="100">
        <f t="shared" si="9"/>
        <v>1</v>
      </c>
      <c r="N58" s="82"/>
      <c r="O58" s="69">
        <f>SILVX!B65</f>
        <v>115431278.86</v>
      </c>
      <c r="P58" s="91">
        <f>SILVX!G65</f>
        <v>1</v>
      </c>
      <c r="Q58" s="70">
        <f>SGLIX!B10</f>
        <v>22786318.420000002</v>
      </c>
      <c r="R58" s="93">
        <f>SGLIX!G10</f>
        <v>1</v>
      </c>
      <c r="S58" s="71"/>
      <c r="T58" s="92"/>
      <c r="U58" s="75"/>
      <c r="V58" s="94"/>
      <c r="W58" s="94"/>
      <c r="X58" s="94"/>
      <c r="Y58" s="69"/>
      <c r="Z58" s="91"/>
      <c r="AA58" s="70"/>
      <c r="AB58" s="93"/>
      <c r="AM58" s="76">
        <f>Schwab!S53</f>
        <v>16998892.109430015</v>
      </c>
      <c r="AN58" s="74">
        <f>Schwab!Q53</f>
        <v>679</v>
      </c>
      <c r="AO58" s="75">
        <f>Fidelity!P58</f>
        <v>2260470.9926899998</v>
      </c>
      <c r="AP58" s="94">
        <f>Fidelity!O58</f>
        <v>33</v>
      </c>
      <c r="AQ58" s="94"/>
      <c r="AR58" s="94"/>
      <c r="AS58" s="94"/>
      <c r="AT58" s="94"/>
      <c r="AU58" s="94"/>
      <c r="AV58" s="94"/>
      <c r="AW58" s="94"/>
      <c r="AX58" s="94"/>
      <c r="AY58" s="94"/>
      <c r="AZ58" s="94"/>
      <c r="BA58" s="69">
        <f>'TFA - Folio'!H63</f>
        <v>301849568.07999998</v>
      </c>
      <c r="BB58" s="40">
        <f>'TFA - Folio'!I58</f>
        <v>1</v>
      </c>
      <c r="BC58" s="80">
        <f>'TFA - Folio'!K63</f>
        <v>54499085.710000001</v>
      </c>
      <c r="BD58" s="79">
        <f>'TFA - Folio'!N63</f>
        <v>1</v>
      </c>
      <c r="BE58" s="80"/>
      <c r="BG58" s="69">
        <f>UNC!B21</f>
        <v>114815883.61</v>
      </c>
      <c r="BH58" s="40">
        <f>UNC!C21</f>
        <v>1</v>
      </c>
      <c r="BI58" s="69">
        <f>'Schwab LC'!D18</f>
        <v>1632884.88</v>
      </c>
      <c r="BJ58" s="40">
        <f>'Schwab LC'!E18</f>
        <v>2</v>
      </c>
      <c r="CI58" s="179"/>
      <c r="CK58" s="179"/>
      <c r="CM58" s="179">
        <f>SCLVX!B19</f>
        <v>16207389.84</v>
      </c>
      <c r="CN58" s="176">
        <f>SCLVX!G19</f>
        <v>1</v>
      </c>
      <c r="CO58" s="179">
        <f>Stifel!B32</f>
        <v>4411112.6100000003</v>
      </c>
      <c r="CP58" s="176">
        <f>Stifel!K32</f>
        <v>7</v>
      </c>
      <c r="CQ58" s="179">
        <f>TDA!O48</f>
        <v>1314674.2670799997</v>
      </c>
      <c r="CR58" s="176">
        <f>TDA!N48</f>
        <v>54</v>
      </c>
      <c r="CS58" s="179">
        <f>UNC!D21</f>
        <v>33310403.25</v>
      </c>
      <c r="CT58" s="176">
        <f>UNC!E21</f>
        <v>1</v>
      </c>
      <c r="CU58" s="179"/>
      <c r="CY58" s="179">
        <f>Cline!B4</f>
        <v>15198956.880000001</v>
      </c>
      <c r="CZ58" s="176">
        <f>Cline!C4</f>
        <v>1</v>
      </c>
      <c r="DA58" s="177">
        <f>Prudential!E32</f>
        <v>111934.59347999998</v>
      </c>
      <c r="DB58" s="178">
        <f>Prudential!D32</f>
        <v>1</v>
      </c>
      <c r="DC58" s="179">
        <f>LACERA!B7</f>
        <v>33261984.649999999</v>
      </c>
      <c r="DD58" s="176">
        <f>LACERA!C7</f>
        <v>1</v>
      </c>
    </row>
    <row r="59" spans="1:112">
      <c r="A59" s="38">
        <v>43008</v>
      </c>
      <c r="B59" s="7">
        <f t="shared" si="10"/>
        <v>707010633.93540001</v>
      </c>
      <c r="C59" s="84">
        <f t="shared" si="11"/>
        <v>790</v>
      </c>
      <c r="D59" s="65">
        <f t="shared" ref="D59:D74" si="21">O59+BA59+CO59+BG59+BI59+DC59</f>
        <v>541523788.27999997</v>
      </c>
      <c r="E59" s="153">
        <f t="shared" ref="E59:E74" si="22">P59+BB59+CP59+BH59+BJ59</f>
        <v>12</v>
      </c>
      <c r="F59" s="68">
        <f t="shared" si="14"/>
        <v>52921699.030000001</v>
      </c>
      <c r="G59" s="97">
        <f t="shared" si="19"/>
        <v>2</v>
      </c>
      <c r="H59" s="67">
        <f t="shared" si="15"/>
        <v>37871447.439999998</v>
      </c>
      <c r="I59" s="98">
        <f t="shared" si="20"/>
        <v>2</v>
      </c>
      <c r="J59" s="73">
        <f t="shared" si="16"/>
        <v>20015083.895399999</v>
      </c>
      <c r="K59" s="99">
        <f t="shared" si="17"/>
        <v>773</v>
      </c>
      <c r="L59" s="78">
        <f t="shared" si="18"/>
        <v>54678615.289999999</v>
      </c>
      <c r="M59" s="100">
        <f t="shared" si="9"/>
        <v>1</v>
      </c>
      <c r="N59" s="82"/>
      <c r="O59" s="69">
        <f>SILVX!B66</f>
        <v>116745083.69</v>
      </c>
      <c r="P59" s="91">
        <f>SILVX!G66</f>
        <v>1</v>
      </c>
      <c r="Q59" s="70">
        <f>SGLIX!B11</f>
        <v>22416582.149999999</v>
      </c>
      <c r="R59" s="93">
        <f>SGLIX!G11</f>
        <v>1</v>
      </c>
      <c r="S59" s="71"/>
      <c r="T59" s="92"/>
      <c r="U59" s="75"/>
      <c r="V59" s="94"/>
      <c r="W59" s="94"/>
      <c r="X59" s="94"/>
      <c r="Y59" s="69"/>
      <c r="Z59" s="91"/>
      <c r="AA59" s="70"/>
      <c r="AB59" s="93"/>
      <c r="AM59" s="76">
        <f>Schwab!S54</f>
        <v>16403784.059189998</v>
      </c>
      <c r="AN59" s="74">
        <f>Schwab!Q54</f>
        <v>684</v>
      </c>
      <c r="AO59" s="75">
        <f>Fidelity!P59</f>
        <v>2306090.7000000002</v>
      </c>
      <c r="AP59" s="94">
        <f>Fidelity!O59</f>
        <v>34</v>
      </c>
      <c r="AQ59" s="94"/>
      <c r="AR59" s="94"/>
      <c r="AS59" s="94"/>
      <c r="AT59" s="94"/>
      <c r="AU59" s="94"/>
      <c r="AV59" s="94"/>
      <c r="AW59" s="94"/>
      <c r="AX59" s="94"/>
      <c r="AY59" s="94"/>
      <c r="AZ59" s="94"/>
      <c r="BA59" s="69">
        <f>'TFA - Folio'!H64</f>
        <v>302284988.42000002</v>
      </c>
      <c r="BB59" s="40">
        <f>'TFA - Folio'!I59</f>
        <v>1</v>
      </c>
      <c r="BC59" s="80">
        <f>'TFA - Folio'!K64</f>
        <v>54678615.289999999</v>
      </c>
      <c r="BD59" s="79">
        <f>'TFA - Folio'!N64</f>
        <v>1</v>
      </c>
      <c r="BE59" s="80"/>
      <c r="BG59" s="69">
        <f>UNC!B22</f>
        <v>116365386.79000001</v>
      </c>
      <c r="BH59" s="40">
        <f>UNC!C22</f>
        <v>1</v>
      </c>
      <c r="BI59" s="69">
        <f>'Schwab LC'!D19</f>
        <v>1654582.1199999999</v>
      </c>
      <c r="BJ59" s="40">
        <f>'Schwab LC'!E19</f>
        <v>2</v>
      </c>
      <c r="CI59" s="179"/>
      <c r="CK59" s="179"/>
      <c r="CM59" s="179">
        <f>SCLVX!B20</f>
        <v>17491909.280000001</v>
      </c>
      <c r="CN59" s="176">
        <f>SCLVX!G20</f>
        <v>1</v>
      </c>
      <c r="CO59" s="179">
        <f>Stifel!B33</f>
        <v>4473747.26</v>
      </c>
      <c r="CP59" s="176">
        <f>Stifel!K33</f>
        <v>7</v>
      </c>
      <c r="CQ59" s="179">
        <f>TDA!O49</f>
        <v>1196268.7155299997</v>
      </c>
      <c r="CR59" s="176">
        <f>TDA!N49</f>
        <v>54</v>
      </c>
      <c r="CS59" s="179">
        <f>UNC!D22</f>
        <v>35429789.75</v>
      </c>
      <c r="CT59" s="176">
        <f>UNC!E22</f>
        <v>1</v>
      </c>
      <c r="CU59" s="179"/>
      <c r="CY59" s="179">
        <f>Cline!B5</f>
        <v>15454865.289999999</v>
      </c>
      <c r="CZ59" s="176">
        <f>Cline!C5</f>
        <v>1</v>
      </c>
      <c r="DA59" s="177">
        <f>Prudential!E33</f>
        <v>108940.42067999998</v>
      </c>
      <c r="DB59" s="178">
        <f>Prudential!D33</f>
        <v>1</v>
      </c>
    </row>
    <row r="60" spans="1:112">
      <c r="A60" s="38">
        <v>43039</v>
      </c>
      <c r="B60" s="7">
        <f t="shared" si="10"/>
        <v>715679630.84408998</v>
      </c>
      <c r="C60" s="84">
        <f t="shared" si="11"/>
        <v>790</v>
      </c>
      <c r="D60" s="65">
        <f t="shared" si="21"/>
        <v>545406918.91999996</v>
      </c>
      <c r="E60" s="153">
        <f t="shared" si="22"/>
        <v>12</v>
      </c>
      <c r="F60" s="68">
        <f t="shared" si="14"/>
        <v>55703820.990000002</v>
      </c>
      <c r="G60" s="97">
        <f t="shared" si="19"/>
        <v>2</v>
      </c>
      <c r="H60" s="67">
        <f t="shared" si="15"/>
        <v>37819536.840000004</v>
      </c>
      <c r="I60" s="98">
        <f t="shared" si="20"/>
        <v>2</v>
      </c>
      <c r="J60" s="73">
        <f t="shared" si="16"/>
        <v>23669556.524090003</v>
      </c>
      <c r="K60" s="99">
        <f t="shared" si="17"/>
        <v>773</v>
      </c>
      <c r="L60" s="78">
        <f t="shared" si="18"/>
        <v>53079797.57</v>
      </c>
      <c r="M60" s="100">
        <f t="shared" si="9"/>
        <v>1</v>
      </c>
      <c r="N60" s="82"/>
      <c r="O60" s="69">
        <f>SILVX!B67</f>
        <v>116441793.28</v>
      </c>
      <c r="P60" s="91">
        <f>SILVX!G67</f>
        <v>1</v>
      </c>
      <c r="Q60" s="70">
        <f>SGLIX!B12</f>
        <v>22155043.879999999</v>
      </c>
      <c r="R60" s="93">
        <f>SGLIX!G12</f>
        <v>1</v>
      </c>
      <c r="S60" s="71"/>
      <c r="T60" s="92"/>
      <c r="U60" s="75"/>
      <c r="V60" s="94"/>
      <c r="W60" s="94"/>
      <c r="X60" s="94"/>
      <c r="Y60" s="69"/>
      <c r="Z60" s="91"/>
      <c r="AA60" s="70"/>
      <c r="AB60" s="93"/>
      <c r="AM60" s="76">
        <f>Schwab!S55</f>
        <v>20203954.588690005</v>
      </c>
      <c r="AN60" s="74">
        <f>Schwab!Q55</f>
        <v>684</v>
      </c>
      <c r="AO60" s="75">
        <f>Fidelity!P60</f>
        <v>2263073.7838000003</v>
      </c>
      <c r="AP60" s="94">
        <f>Fidelity!O60</f>
        <v>34</v>
      </c>
      <c r="AQ60" s="94"/>
      <c r="AR60" s="94"/>
      <c r="AS60" s="94"/>
      <c r="AT60" s="94"/>
      <c r="AU60" s="94"/>
      <c r="AV60" s="94"/>
      <c r="AW60" s="94"/>
      <c r="AX60" s="94"/>
      <c r="AY60" s="94"/>
      <c r="AZ60" s="94"/>
      <c r="BA60" s="69">
        <f>'TFA - Folio'!H65</f>
        <v>304403118.43000001</v>
      </c>
      <c r="BB60" s="40">
        <f>'TFA - Folio'!I60</f>
        <v>1</v>
      </c>
      <c r="BC60" s="80">
        <f>'TFA - Folio'!K65</f>
        <v>53079797.57</v>
      </c>
      <c r="BD60" s="79">
        <f>'TFA - Folio'!N65</f>
        <v>1</v>
      </c>
      <c r="BE60" s="80"/>
      <c r="BG60" s="69">
        <f>UNC!B23</f>
        <v>118384678.3</v>
      </c>
      <c r="BH60" s="40">
        <f>UNC!C23</f>
        <v>1</v>
      </c>
      <c r="BI60" s="69">
        <f>'Schwab LC'!D20</f>
        <v>1661916.1600000001</v>
      </c>
      <c r="BJ60" s="40">
        <f>'Schwab LC'!E20</f>
        <v>2</v>
      </c>
      <c r="CI60" s="179"/>
      <c r="CK60" s="179"/>
      <c r="CM60" s="179">
        <f>SCLVX!B21</f>
        <v>19931936.240000002</v>
      </c>
      <c r="CN60" s="176">
        <f>SCLVX!G21</f>
        <v>1</v>
      </c>
      <c r="CO60" s="179">
        <f>Stifel!B34</f>
        <v>4515412.75</v>
      </c>
      <c r="CP60" s="176">
        <f>Stifel!K34</f>
        <v>7</v>
      </c>
      <c r="CQ60" s="179">
        <f>TDA!O50</f>
        <v>1091045.3627599999</v>
      </c>
      <c r="CR60" s="176">
        <f>TDA!N50</f>
        <v>54</v>
      </c>
      <c r="CS60" s="179">
        <f>UNC!D23</f>
        <v>35771884.75</v>
      </c>
      <c r="CT60" s="176">
        <f>UNC!E23</f>
        <v>1</v>
      </c>
      <c r="CU60" s="179"/>
      <c r="CY60" s="179">
        <f>Cline!B6</f>
        <v>15664492.960000001</v>
      </c>
      <c r="CZ60" s="176">
        <f>Cline!C6</f>
        <v>1</v>
      </c>
      <c r="DA60" s="177">
        <f>Prudential!E34</f>
        <v>111482.78883999999</v>
      </c>
      <c r="DB60" s="178">
        <f>Prudential!D34</f>
        <v>1</v>
      </c>
    </row>
    <row r="61" spans="1:112">
      <c r="A61" s="38">
        <v>43069</v>
      </c>
      <c r="B61" s="7">
        <f t="shared" si="10"/>
        <v>708042364.30594015</v>
      </c>
      <c r="C61" s="84">
        <f t="shared" si="11"/>
        <v>797</v>
      </c>
      <c r="D61" s="65">
        <f t="shared" si="21"/>
        <v>539963434.63</v>
      </c>
      <c r="E61" s="153">
        <f t="shared" si="22"/>
        <v>12</v>
      </c>
      <c r="F61" s="68">
        <f t="shared" si="14"/>
        <v>57454068.879999995</v>
      </c>
      <c r="G61" s="97">
        <f t="shared" si="19"/>
        <v>2</v>
      </c>
      <c r="H61" s="67">
        <f t="shared" si="15"/>
        <v>38557856.340000004</v>
      </c>
      <c r="I61" s="98">
        <f t="shared" si="20"/>
        <v>2</v>
      </c>
      <c r="J61" s="73">
        <f t="shared" si="16"/>
        <v>18281701.955939986</v>
      </c>
      <c r="K61" s="99">
        <f t="shared" si="17"/>
        <v>780</v>
      </c>
      <c r="L61" s="78">
        <f t="shared" si="18"/>
        <v>53785302.5</v>
      </c>
      <c r="M61" s="100">
        <f t="shared" si="9"/>
        <v>1</v>
      </c>
      <c r="N61" s="82"/>
      <c r="O61" s="69">
        <f>SILVX!B68</f>
        <v>104830068.44</v>
      </c>
      <c r="P61" s="91">
        <f>SILVX!G68</f>
        <v>1</v>
      </c>
      <c r="Q61" s="70">
        <f>SGLIX!B13</f>
        <v>22545614.75</v>
      </c>
      <c r="R61" s="93">
        <f>SGLIX!G13</f>
        <v>1</v>
      </c>
      <c r="S61" s="71"/>
      <c r="T61" s="92"/>
      <c r="U61" s="75"/>
      <c r="V61" s="94"/>
      <c r="W61" s="94"/>
      <c r="X61" s="94"/>
      <c r="Y61" s="69"/>
      <c r="Z61" s="91"/>
      <c r="AA61" s="70"/>
      <c r="AB61" s="93"/>
      <c r="AM61" s="76">
        <f>Schwab!S56</f>
        <v>14750836.251099981</v>
      </c>
      <c r="AN61" s="74">
        <f>Schwab!Q56</f>
        <v>691</v>
      </c>
      <c r="AO61" s="75">
        <f>Fidelity!P61</f>
        <v>2346898.3400000017</v>
      </c>
      <c r="AP61" s="94">
        <f>Fidelity!O61</f>
        <v>34</v>
      </c>
      <c r="AQ61" s="94"/>
      <c r="AR61" s="94"/>
      <c r="AS61" s="94"/>
      <c r="AT61" s="94"/>
      <c r="AU61" s="94"/>
      <c r="AV61" s="94"/>
      <c r="AW61" s="94"/>
      <c r="AX61" s="94"/>
      <c r="AY61" s="94"/>
      <c r="AZ61" s="94"/>
      <c r="BA61" s="69">
        <f>'TFA - Folio'!H66</f>
        <v>316336240.10000002</v>
      </c>
      <c r="BB61" s="40">
        <f>'TFA - Folio'!I61</f>
        <v>1</v>
      </c>
      <c r="BC61" s="80">
        <f>'TFA - Folio'!K66</f>
        <v>53785302.5</v>
      </c>
      <c r="BD61" s="79">
        <f>'TFA - Folio'!N66</f>
        <v>1</v>
      </c>
      <c r="BE61" s="80"/>
      <c r="BG61" s="69">
        <f>UNC!B24</f>
        <v>112348011.72</v>
      </c>
      <c r="BH61" s="40">
        <f>UNC!C24</f>
        <v>1</v>
      </c>
      <c r="BI61" s="69">
        <f>'Schwab LC'!D21</f>
        <v>1734391.87</v>
      </c>
      <c r="BJ61" s="40">
        <f>'Schwab LC'!E21</f>
        <v>2</v>
      </c>
      <c r="CI61" s="179"/>
      <c r="CK61" s="179"/>
      <c r="CM61" s="179">
        <f>SCLVX!B22</f>
        <v>21249097.189999998</v>
      </c>
      <c r="CN61" s="176">
        <f>SCLVX!G22</f>
        <v>1</v>
      </c>
      <c r="CO61" s="179">
        <f>Stifel!B35</f>
        <v>4714722.5</v>
      </c>
      <c r="CP61" s="176">
        <f>Stifel!K35</f>
        <v>7</v>
      </c>
      <c r="CQ61" s="179">
        <f>TDA!O51</f>
        <v>1073197.3681199998</v>
      </c>
      <c r="CR61" s="176">
        <f>TDA!N51</f>
        <v>54</v>
      </c>
      <c r="CS61" s="179">
        <f>UNC!D24</f>
        <v>36204971.689999998</v>
      </c>
      <c r="CT61" s="176">
        <f>UNC!E24</f>
        <v>1</v>
      </c>
      <c r="CU61" s="179"/>
      <c r="CY61" s="179">
        <f>Cline!B7</f>
        <v>16012241.59</v>
      </c>
      <c r="CZ61" s="176">
        <f>Cline!C7</f>
        <v>1</v>
      </c>
      <c r="DA61" s="177">
        <f>Prudential!E35</f>
        <v>110769.99672</v>
      </c>
      <c r="DB61" s="178">
        <f>Prudential!D35</f>
        <v>1</v>
      </c>
    </row>
    <row r="62" spans="1:112" s="140" customFormat="1">
      <c r="A62" s="116">
        <v>43100</v>
      </c>
      <c r="B62" s="117">
        <f t="shared" si="10"/>
        <v>709818669.07042992</v>
      </c>
      <c r="C62" s="118">
        <f t="shared" si="11"/>
        <v>787</v>
      </c>
      <c r="D62" s="119">
        <f t="shared" si="21"/>
        <v>541342737.18999994</v>
      </c>
      <c r="E62" s="154">
        <f t="shared" si="22"/>
        <v>12</v>
      </c>
      <c r="F62" s="121">
        <f t="shared" si="14"/>
        <v>56836704.280000001</v>
      </c>
      <c r="G62" s="122">
        <f t="shared" si="19"/>
        <v>2</v>
      </c>
      <c r="H62" s="123">
        <f t="shared" si="15"/>
        <v>38767508.100000001</v>
      </c>
      <c r="I62" s="124">
        <f t="shared" si="20"/>
        <v>2</v>
      </c>
      <c r="J62" s="125">
        <f t="shared" si="16"/>
        <v>19619608.830430008</v>
      </c>
      <c r="K62" s="126">
        <f t="shared" si="17"/>
        <v>770</v>
      </c>
      <c r="L62" s="127">
        <f t="shared" si="18"/>
        <v>53252110.670000002</v>
      </c>
      <c r="M62" s="128">
        <f t="shared" ref="M62:M82" si="23">BD62+CL62+DF62</f>
        <v>1</v>
      </c>
      <c r="N62" s="82"/>
      <c r="O62" s="129">
        <f>SILVX!B69</f>
        <v>103468358.20999999</v>
      </c>
      <c r="P62" s="130">
        <f>SILVX!G69</f>
        <v>1</v>
      </c>
      <c r="Q62" s="147">
        <f>SGLIX!B14</f>
        <v>22581175.32</v>
      </c>
      <c r="R62" s="148">
        <f>SGLIX!G14</f>
        <v>1</v>
      </c>
      <c r="S62" s="142"/>
      <c r="T62" s="132"/>
      <c r="U62" s="135"/>
      <c r="V62" s="136"/>
      <c r="W62" s="136"/>
      <c r="X62" s="136"/>
      <c r="Y62" s="129"/>
      <c r="Z62" s="130"/>
      <c r="AA62" s="147"/>
      <c r="AB62" s="148"/>
      <c r="AC62" s="137"/>
      <c r="AD62" s="137"/>
      <c r="AE62" s="137"/>
      <c r="AF62" s="137"/>
      <c r="AG62" s="137"/>
      <c r="AH62" s="137"/>
      <c r="AI62" s="137"/>
      <c r="AJ62" s="137"/>
      <c r="AK62" s="137"/>
      <c r="AL62" s="137"/>
      <c r="AM62" s="141">
        <f>Schwab!S57</f>
        <v>16093446.018490009</v>
      </c>
      <c r="AN62" s="134">
        <f>Schwab!Q57</f>
        <v>681</v>
      </c>
      <c r="AO62" s="135">
        <f>Fidelity!P62</f>
        <v>2402291.0900000008</v>
      </c>
      <c r="AP62" s="136">
        <f>Fidelity!O62</f>
        <v>34</v>
      </c>
      <c r="AQ62" s="136"/>
      <c r="AR62" s="136"/>
      <c r="AS62" s="136"/>
      <c r="AT62" s="136"/>
      <c r="AU62" s="136"/>
      <c r="AV62" s="136"/>
      <c r="AW62" s="136"/>
      <c r="AX62" s="136"/>
      <c r="AY62" s="136"/>
      <c r="AZ62" s="136"/>
      <c r="BA62" s="129">
        <f>'TFA - Folio'!H67</f>
        <v>317180283.44999999</v>
      </c>
      <c r="BB62" s="137">
        <f>'TFA - Folio'!I62</f>
        <v>1</v>
      </c>
      <c r="BC62" s="138">
        <f>'TFA - Folio'!K67</f>
        <v>53252110.670000002</v>
      </c>
      <c r="BD62" s="139">
        <f>'TFA - Folio'!N67</f>
        <v>1</v>
      </c>
      <c r="BE62" s="138"/>
      <c r="BF62" s="139"/>
      <c r="BG62" s="129">
        <f>UNC!B25</f>
        <v>114181473.84</v>
      </c>
      <c r="BH62" s="137">
        <f>UNC!C25</f>
        <v>1</v>
      </c>
      <c r="BI62" s="129">
        <f>'Schwab LC'!D22</f>
        <v>1757153.28</v>
      </c>
      <c r="BJ62" s="137">
        <f>'Schwab LC'!E22</f>
        <v>2</v>
      </c>
      <c r="BK62" s="198"/>
      <c r="BL62" s="198"/>
      <c r="BM62" s="198"/>
      <c r="BN62" s="198"/>
      <c r="BO62" s="198"/>
      <c r="BP62" s="198"/>
      <c r="BQ62" s="198"/>
      <c r="BR62" s="198"/>
      <c r="BS62" s="198"/>
      <c r="BT62" s="198"/>
      <c r="BU62" s="198"/>
      <c r="BV62" s="198"/>
      <c r="BW62" s="198"/>
      <c r="BX62" s="198"/>
      <c r="BY62" s="198"/>
      <c r="BZ62" s="198"/>
      <c r="CA62" s="198"/>
      <c r="CB62" s="198"/>
      <c r="CC62" s="198"/>
      <c r="CD62" s="198"/>
      <c r="CE62" s="198"/>
      <c r="CF62" s="198"/>
      <c r="CG62" s="198"/>
      <c r="CH62" s="198"/>
      <c r="CI62" s="180"/>
      <c r="CJ62" s="174"/>
      <c r="CK62" s="180"/>
      <c r="CL62" s="174"/>
      <c r="CM62" s="180">
        <f>SCLVX!B23</f>
        <v>21152071.010000002</v>
      </c>
      <c r="CN62" s="174">
        <f>SCLVX!G23</f>
        <v>1</v>
      </c>
      <c r="CO62" s="180">
        <f>Stifel!B36</f>
        <v>4755468.41</v>
      </c>
      <c r="CP62" s="174">
        <f>Stifel!K36</f>
        <v>7</v>
      </c>
      <c r="CQ62" s="180">
        <f>TDA!O52</f>
        <v>1011729.1519400002</v>
      </c>
      <c r="CR62" s="174">
        <f>TDA!N52</f>
        <v>54</v>
      </c>
      <c r="CS62" s="180">
        <f>UNC!D25</f>
        <v>35684633.270000003</v>
      </c>
      <c r="CT62" s="174">
        <f>UNC!E25</f>
        <v>1</v>
      </c>
      <c r="CU62" s="180"/>
      <c r="CV62" s="174"/>
      <c r="CW62" s="174"/>
      <c r="CX62" s="174"/>
      <c r="CY62" s="180">
        <f>Cline!B8</f>
        <v>16186332.779999999</v>
      </c>
      <c r="CZ62" s="174">
        <f>Cline!C8</f>
        <v>1</v>
      </c>
      <c r="DA62" s="175">
        <f>Prudential!E36</f>
        <v>112142.57</v>
      </c>
      <c r="DB62" s="181">
        <f>Prudential!D36</f>
        <v>1</v>
      </c>
      <c r="DC62" s="174"/>
      <c r="DD62" s="174"/>
      <c r="DE62" s="174"/>
      <c r="DF62" s="174"/>
      <c r="DG62" s="174"/>
      <c r="DH62" s="174"/>
    </row>
    <row r="63" spans="1:112">
      <c r="A63" s="38">
        <v>43131</v>
      </c>
      <c r="B63" s="7">
        <f t="shared" si="10"/>
        <v>728152676.99430001</v>
      </c>
      <c r="C63" s="84">
        <f t="shared" si="11"/>
        <v>796</v>
      </c>
      <c r="D63" s="65">
        <f t="shared" si="21"/>
        <v>559572577.97000003</v>
      </c>
      <c r="E63" s="153">
        <f t="shared" si="22"/>
        <v>12</v>
      </c>
      <c r="F63" s="68">
        <f t="shared" si="14"/>
        <v>57355209.310000002</v>
      </c>
      <c r="G63" s="97">
        <f t="shared" si="19"/>
        <v>2</v>
      </c>
      <c r="H63" s="67">
        <f t="shared" si="15"/>
        <v>39301129.920000002</v>
      </c>
      <c r="I63" s="98">
        <f t="shared" si="20"/>
        <v>2</v>
      </c>
      <c r="J63" s="73">
        <f t="shared" si="16"/>
        <v>18135081.584299989</v>
      </c>
      <c r="K63" s="99">
        <f t="shared" si="17"/>
        <v>779</v>
      </c>
      <c r="L63" s="78">
        <f t="shared" si="18"/>
        <v>53788678.210000001</v>
      </c>
      <c r="M63" s="100">
        <f t="shared" si="23"/>
        <v>1</v>
      </c>
      <c r="N63" s="82"/>
      <c r="O63" s="69">
        <f>SILVX!B70</f>
        <v>106632569.67</v>
      </c>
      <c r="P63" s="91">
        <f>SILVX!G70</f>
        <v>1</v>
      </c>
      <c r="Q63" s="70">
        <f>SGLIX!B15</f>
        <v>22567922.879999999</v>
      </c>
      <c r="R63" s="93">
        <f>SGLIX!G15</f>
        <v>1</v>
      </c>
      <c r="S63" s="71"/>
      <c r="T63" s="92"/>
      <c r="U63" s="75"/>
      <c r="V63" s="94"/>
      <c r="W63" s="94"/>
      <c r="X63" s="94"/>
      <c r="Y63" s="69"/>
      <c r="Z63" s="91"/>
      <c r="AA63" s="70"/>
      <c r="AB63" s="93"/>
      <c r="AM63" s="76">
        <f>Schwab!S58</f>
        <v>14678085.64159999</v>
      </c>
      <c r="AN63" s="74">
        <f>Schwab!Q58</f>
        <v>690</v>
      </c>
      <c r="AO63" s="75">
        <f>Fidelity!P63</f>
        <v>2433543.6165999975</v>
      </c>
      <c r="AP63" s="94">
        <f>Fidelity!O63</f>
        <v>35</v>
      </c>
      <c r="AQ63" s="94"/>
      <c r="AR63" s="94"/>
      <c r="AS63" s="94"/>
      <c r="AT63" s="94"/>
      <c r="AU63" s="94"/>
      <c r="AV63" s="94"/>
      <c r="AW63" s="94"/>
      <c r="AX63" s="94"/>
      <c r="AY63" s="94"/>
      <c r="AZ63" s="94"/>
      <c r="BA63" s="69">
        <f>'TFA - Folio'!H68</f>
        <v>326571406.68000001</v>
      </c>
      <c r="BB63" s="40">
        <f>'TFA - Folio'!I63</f>
        <v>1</v>
      </c>
      <c r="BC63" s="80">
        <f>'TFA - Folio'!K68</f>
        <v>53788678.210000001</v>
      </c>
      <c r="BD63" s="79">
        <f>'TFA - Folio'!N68</f>
        <v>1</v>
      </c>
      <c r="BE63" s="80"/>
      <c r="BG63" s="69">
        <f>UNC!B26</f>
        <v>119595749.08</v>
      </c>
      <c r="BH63" s="40">
        <f>UNC!C26</f>
        <v>1</v>
      </c>
      <c r="BI63" s="69">
        <f>'Schwab LC'!D23</f>
        <v>1828415.37</v>
      </c>
      <c r="BJ63" s="40">
        <f>'Schwab LC'!E23</f>
        <v>2</v>
      </c>
      <c r="CI63" s="179"/>
      <c r="CK63" s="179"/>
      <c r="CM63" s="179">
        <f>SCLVX!B24</f>
        <v>21419695.43</v>
      </c>
      <c r="CN63" s="176">
        <f>SCLVX!G24</f>
        <v>1</v>
      </c>
      <c r="CO63" s="179">
        <f>Stifel!B37</f>
        <v>4944437.17</v>
      </c>
      <c r="CP63" s="176">
        <f>Stifel!K37</f>
        <v>7</v>
      </c>
      <c r="CQ63" s="179">
        <f>TDA!O53</f>
        <v>912352.49610000197</v>
      </c>
      <c r="CR63" s="176">
        <f>TDA!N53</f>
        <v>53</v>
      </c>
      <c r="CS63" s="179">
        <f>UNC!D26</f>
        <v>35935513.880000003</v>
      </c>
      <c r="CT63" s="176">
        <f>UNC!E26</f>
        <v>1</v>
      </c>
      <c r="CU63" s="179"/>
      <c r="CY63" s="179">
        <f>Cline!B9</f>
        <v>16733207.039999999</v>
      </c>
      <c r="CZ63" s="176">
        <f>Cline!C9</f>
        <v>1</v>
      </c>
      <c r="DA63" s="177">
        <f>Prudential!E37</f>
        <v>111099.83000000002</v>
      </c>
      <c r="DB63" s="178">
        <f>Prudential!D37</f>
        <v>1</v>
      </c>
    </row>
    <row r="64" spans="1:112">
      <c r="A64" s="38">
        <v>43159</v>
      </c>
      <c r="B64" s="7">
        <f t="shared" si="10"/>
        <v>715417507.06480014</v>
      </c>
      <c r="C64" s="84">
        <f t="shared" si="11"/>
        <v>811</v>
      </c>
      <c r="D64" s="65">
        <f t="shared" si="21"/>
        <v>536554618.91000003</v>
      </c>
      <c r="E64" s="153">
        <f t="shared" si="22"/>
        <v>12</v>
      </c>
      <c r="F64" s="68">
        <f t="shared" si="14"/>
        <v>55094662.159999996</v>
      </c>
      <c r="G64" s="97">
        <f t="shared" si="19"/>
        <v>2</v>
      </c>
      <c r="H64" s="67">
        <f t="shared" si="15"/>
        <v>37420767.519999996</v>
      </c>
      <c r="I64" s="98">
        <f t="shared" si="20"/>
        <v>2</v>
      </c>
      <c r="J64" s="73">
        <f t="shared" si="16"/>
        <v>18641548.134800065</v>
      </c>
      <c r="K64" s="99">
        <f t="shared" si="17"/>
        <v>793</v>
      </c>
      <c r="L64" s="78">
        <f t="shared" si="18"/>
        <v>67705910.340000004</v>
      </c>
      <c r="M64" s="100">
        <f t="shared" si="23"/>
        <v>2</v>
      </c>
      <c r="N64" s="82"/>
      <c r="O64" s="69">
        <f>SILVX!B71</f>
        <v>101563360.99000001</v>
      </c>
      <c r="P64" s="91">
        <f>SILVX!G71</f>
        <v>1</v>
      </c>
      <c r="Q64" s="70">
        <f>SGLIX!B16</f>
        <v>21278276.989999998</v>
      </c>
      <c r="R64" s="93">
        <f>SGLIX!G16</f>
        <v>1</v>
      </c>
      <c r="S64" s="71"/>
      <c r="T64" s="92"/>
      <c r="U64" s="75"/>
      <c r="V64" s="94"/>
      <c r="W64" s="94"/>
      <c r="X64" s="94"/>
      <c r="Y64" s="69"/>
      <c r="Z64" s="91"/>
      <c r="AA64" s="70"/>
      <c r="AB64" s="93"/>
      <c r="AM64" s="76">
        <f>Schwab!S59</f>
        <v>15259983.880600065</v>
      </c>
      <c r="AN64" s="74">
        <f>Schwab!Q59</f>
        <v>703</v>
      </c>
      <c r="AO64" s="75">
        <f>Fidelity!P64</f>
        <v>2325604.2798000015</v>
      </c>
      <c r="AP64" s="94">
        <f>Fidelity!O64</f>
        <v>36</v>
      </c>
      <c r="AQ64" s="94"/>
      <c r="AR64" s="94"/>
      <c r="AS64" s="94"/>
      <c r="AT64" s="94"/>
      <c r="AU64" s="94"/>
      <c r="AV64" s="94"/>
      <c r="AW64" s="94"/>
      <c r="AX64" s="94"/>
      <c r="AY64" s="94"/>
      <c r="AZ64" s="94"/>
      <c r="BA64" s="69">
        <f>'TFA - Folio'!H69</f>
        <v>312502594.93000001</v>
      </c>
      <c r="BB64" s="40">
        <f>'TFA - Folio'!I64</f>
        <v>1</v>
      </c>
      <c r="BC64" s="80">
        <f>'TFA - Folio'!K69</f>
        <v>52305822.399999999</v>
      </c>
      <c r="BD64" s="79">
        <f>'TFA - Folio'!N69</f>
        <v>1</v>
      </c>
      <c r="BE64" s="80"/>
      <c r="BG64" s="69">
        <f>UNC!B27</f>
        <v>115920962.68000001</v>
      </c>
      <c r="BH64" s="40">
        <f>UNC!C27</f>
        <v>1</v>
      </c>
      <c r="BI64" s="69">
        <f>'Schwab LC'!D24</f>
        <v>1772440.2200000002</v>
      </c>
      <c r="BJ64" s="40">
        <f>'Schwab LC'!E24</f>
        <v>2</v>
      </c>
      <c r="CI64" s="179"/>
      <c r="CK64" s="179">
        <f>'Holiday Oil'!G2</f>
        <v>15400087.940000001</v>
      </c>
      <c r="CL64" s="176">
        <f>'Holiday Oil'!H2</f>
        <v>1</v>
      </c>
      <c r="CM64" s="179">
        <f>SCLVX!B25</f>
        <v>20693892.500000004</v>
      </c>
      <c r="CN64" s="176">
        <f>SCLVX!G25</f>
        <v>1</v>
      </c>
      <c r="CO64" s="179">
        <f>Stifel!B38</f>
        <v>4795260.0900000008</v>
      </c>
      <c r="CP64" s="176">
        <f>Stifel!K38</f>
        <v>7</v>
      </c>
      <c r="CQ64" s="179">
        <f>TDA!O54</f>
        <v>947917.1043999996</v>
      </c>
      <c r="CR64" s="176">
        <f>TDA!N54</f>
        <v>53</v>
      </c>
      <c r="CS64" s="179">
        <f>UNC!D27</f>
        <v>34400769.659999996</v>
      </c>
      <c r="CT64" s="176">
        <f>UNC!E27</f>
        <v>1</v>
      </c>
      <c r="CU64" s="179"/>
      <c r="CY64" s="179">
        <f>Cline!B10</f>
        <v>16142490.529999999</v>
      </c>
      <c r="CZ64" s="176">
        <f>Cline!C10</f>
        <v>1</v>
      </c>
      <c r="DA64" s="177">
        <f>Prudential!E38</f>
        <v>108042.87</v>
      </c>
      <c r="DB64" s="178">
        <f>Prudential!D38</f>
        <v>1</v>
      </c>
    </row>
    <row r="65" spans="1:112">
      <c r="A65" s="38">
        <v>43190</v>
      </c>
      <c r="B65" s="7">
        <f t="shared" si="10"/>
        <v>711176028.34617996</v>
      </c>
      <c r="C65" s="84">
        <f t="shared" si="11"/>
        <v>896</v>
      </c>
      <c r="D65" s="65">
        <f t="shared" si="21"/>
        <v>521884748.22999996</v>
      </c>
      <c r="E65" s="153">
        <f t="shared" si="22"/>
        <v>11</v>
      </c>
      <c r="F65" s="68">
        <f t="shared" si="14"/>
        <v>58319599.989999995</v>
      </c>
      <c r="G65" s="97">
        <f t="shared" si="19"/>
        <v>2</v>
      </c>
      <c r="H65" s="67">
        <f t="shared" si="15"/>
        <v>36875586.439999998</v>
      </c>
      <c r="I65" s="98">
        <f t="shared" si="20"/>
        <v>2</v>
      </c>
      <c r="J65" s="73">
        <f t="shared" si="16"/>
        <v>28789150.366180003</v>
      </c>
      <c r="K65" s="99">
        <f t="shared" si="17"/>
        <v>879</v>
      </c>
      <c r="L65" s="78">
        <f t="shared" si="18"/>
        <v>65306943.320000008</v>
      </c>
      <c r="M65" s="100">
        <f t="shared" si="23"/>
        <v>2</v>
      </c>
      <c r="N65" s="82"/>
      <c r="O65" s="69">
        <f>SILVX!B72</f>
        <v>135316535.74000001</v>
      </c>
      <c r="P65" s="91">
        <f>SILVX!G72</f>
        <v>1</v>
      </c>
      <c r="Q65" s="70">
        <f>SGLIX!B17</f>
        <v>20822420.670000002</v>
      </c>
      <c r="R65" s="93">
        <f>SGLIX!G17</f>
        <v>1</v>
      </c>
      <c r="S65" s="71"/>
      <c r="T65" s="92"/>
      <c r="U65" s="75"/>
      <c r="V65" s="94"/>
      <c r="W65" s="94"/>
      <c r="X65" s="94"/>
      <c r="Y65" s="69"/>
      <c r="Z65" s="91"/>
      <c r="AA65" s="70"/>
      <c r="AB65" s="93"/>
      <c r="AM65" s="76">
        <f>Schwab!S60</f>
        <v>17593882.489999995</v>
      </c>
      <c r="AN65" s="74">
        <f>Schwab!Q60</f>
        <v>727</v>
      </c>
      <c r="AO65" s="75">
        <f>Fidelity!P65</f>
        <v>10118285.826180007</v>
      </c>
      <c r="AP65" s="94">
        <f>Fidelity!O65</f>
        <v>97</v>
      </c>
      <c r="AQ65" s="94"/>
      <c r="AR65" s="94"/>
      <c r="AS65" s="94"/>
      <c r="AT65" s="94"/>
      <c r="AU65" s="94"/>
      <c r="AV65" s="94"/>
      <c r="AW65" s="94"/>
      <c r="AX65" s="94"/>
      <c r="AY65" s="94"/>
      <c r="AZ65" s="94"/>
      <c r="BA65" s="69">
        <f>'TFA - Folio'!H70</f>
        <v>264993487.52999994</v>
      </c>
      <c r="BB65" s="40">
        <f>'TFA - Folio'!I65</f>
        <v>1</v>
      </c>
      <c r="BC65" s="80">
        <f>'TFA - Folio'!K70</f>
        <v>49805942.540000007</v>
      </c>
      <c r="BD65" s="79">
        <f>'TFA - Folio'!N70</f>
        <v>1</v>
      </c>
      <c r="BE65" s="80"/>
      <c r="BG65" s="69">
        <f>UNC!B28</f>
        <v>114933616.52</v>
      </c>
      <c r="BH65" s="40">
        <f>UNC!C28</f>
        <v>1</v>
      </c>
      <c r="BI65" s="69">
        <f>'Schwab LC'!D25</f>
        <v>2437992.85</v>
      </c>
      <c r="BJ65" s="40">
        <f>'Schwab LC'!E25</f>
        <v>2</v>
      </c>
      <c r="CI65" s="179"/>
      <c r="CK65" s="179">
        <f>'Holiday Oil'!G3</f>
        <v>15501000.780000001</v>
      </c>
      <c r="CL65" s="176">
        <f>'Holiday Oil'!H3</f>
        <v>1</v>
      </c>
      <c r="CM65" s="179">
        <f>SCLVX!B26</f>
        <v>22851228.93</v>
      </c>
      <c r="CN65" s="176">
        <f>SCLVX!G26</f>
        <v>1</v>
      </c>
      <c r="CO65" s="179">
        <f>Stifel!B39</f>
        <v>4203115.5900000008</v>
      </c>
      <c r="CP65" s="176">
        <f>Stifel!K39</f>
        <v>6</v>
      </c>
      <c r="CQ65" s="179">
        <f>TDA!O55</f>
        <v>967703.94000000041</v>
      </c>
      <c r="CR65" s="176">
        <f>TDA!N55</f>
        <v>54</v>
      </c>
      <c r="CS65" s="179">
        <f>UNC!D28</f>
        <v>35468371.059999995</v>
      </c>
      <c r="CT65" s="176">
        <f>UNC!E28</f>
        <v>1</v>
      </c>
      <c r="CU65" s="179"/>
      <c r="CY65" s="179">
        <f>Cline!B11</f>
        <v>16053165.77</v>
      </c>
      <c r="CZ65" s="176">
        <f>Cline!C11</f>
        <v>1</v>
      </c>
      <c r="DA65" s="177">
        <f>Prudential!E39</f>
        <v>109278.10999999999</v>
      </c>
      <c r="DB65" s="178">
        <f>Prudential!D39</f>
        <v>1</v>
      </c>
    </row>
    <row r="66" spans="1:112">
      <c r="A66" s="38">
        <v>43220</v>
      </c>
      <c r="B66" s="7">
        <f t="shared" si="10"/>
        <v>718601906.55318975</v>
      </c>
      <c r="C66" s="84">
        <f t="shared" si="11"/>
        <v>921</v>
      </c>
      <c r="D66" s="65">
        <f t="shared" si="21"/>
        <v>528295305.60999995</v>
      </c>
      <c r="E66" s="153">
        <f t="shared" si="22"/>
        <v>11</v>
      </c>
      <c r="F66" s="68">
        <f t="shared" ref="F66:F97" si="24">CM66+CS66</f>
        <v>59746826.68</v>
      </c>
      <c r="G66" s="97">
        <f t="shared" si="19"/>
        <v>2</v>
      </c>
      <c r="H66" s="67">
        <f t="shared" si="15"/>
        <v>36083396.989999995</v>
      </c>
      <c r="I66" s="98">
        <f t="shared" si="20"/>
        <v>2</v>
      </c>
      <c r="J66" s="73">
        <f t="shared" ref="J66:J91" si="25">AM66+CQ66+AO66+DA66</f>
        <v>28748615.953189887</v>
      </c>
      <c r="K66" s="99">
        <f t="shared" ref="K66:K91" si="26">AN66+CR66+AP66+DB66</f>
        <v>904</v>
      </c>
      <c r="L66" s="78">
        <f t="shared" ref="L66:L82" si="27">BC66+CK66+DE66</f>
        <v>65727761.319999993</v>
      </c>
      <c r="M66" s="100">
        <f t="shared" si="23"/>
        <v>2</v>
      </c>
      <c r="O66" s="69">
        <f>SILVX!B73</f>
        <v>243968624.47</v>
      </c>
      <c r="P66" s="91">
        <f>SILVX!G73</f>
        <v>1</v>
      </c>
      <c r="Q66" s="70">
        <f>SGLIX!B18</f>
        <v>20159722.949999999</v>
      </c>
      <c r="R66" s="93">
        <f>SGLIX!G18</f>
        <v>1</v>
      </c>
      <c r="S66" s="71"/>
      <c r="T66" s="92"/>
      <c r="U66" s="75"/>
      <c r="V66" s="94"/>
      <c r="W66" s="94"/>
      <c r="X66" s="94"/>
      <c r="Y66" s="69"/>
      <c r="Z66" s="91"/>
      <c r="AA66" s="70"/>
      <c r="AB66" s="93"/>
      <c r="AM66" s="76">
        <f>Schwab!S61</f>
        <v>17467068.574199952</v>
      </c>
      <c r="AN66" s="74">
        <f>Schwab!Q61</f>
        <v>749</v>
      </c>
      <c r="AO66" s="75">
        <f>Fidelity!P66</f>
        <v>10230727.213899937</v>
      </c>
      <c r="AP66" s="94">
        <f>Fidelity!O66</f>
        <v>102</v>
      </c>
      <c r="AQ66" s="94"/>
      <c r="AR66" s="94"/>
      <c r="AS66" s="94"/>
      <c r="AT66" s="94"/>
      <c r="AU66" s="94"/>
      <c r="AV66" s="94"/>
      <c r="AW66" s="94"/>
      <c r="AX66" s="94"/>
      <c r="AY66" s="94"/>
      <c r="AZ66" s="94"/>
      <c r="BA66" s="69">
        <f>'TFA - Folio'!H71</f>
        <v>160273802.81999999</v>
      </c>
      <c r="BB66" s="40">
        <f>'TFA - Folio'!I66</f>
        <v>1</v>
      </c>
      <c r="BC66" s="80">
        <f>'TFA - Folio'!K71</f>
        <v>50335439.93999999</v>
      </c>
      <c r="BD66" s="79">
        <f>'TFA - Folio'!N71</f>
        <v>1</v>
      </c>
      <c r="BE66" s="80"/>
      <c r="BG66" s="69">
        <f>UNC!B29</f>
        <v>117311978.22</v>
      </c>
      <c r="BH66" s="40">
        <f>UNC!C29</f>
        <v>1</v>
      </c>
      <c r="BI66" s="69">
        <f>'Schwab LC'!D26</f>
        <v>2474473.4299999997</v>
      </c>
      <c r="BJ66" s="40">
        <f>'Schwab LC'!E26</f>
        <v>2</v>
      </c>
      <c r="CI66" s="179"/>
      <c r="CK66" s="179">
        <f>'Holiday Oil'!G4</f>
        <v>15392321.379999999</v>
      </c>
      <c r="CL66" s="176">
        <f>'Holiday Oil'!H4</f>
        <v>1</v>
      </c>
      <c r="CM66" s="179">
        <f>SCLVX!B27</f>
        <v>23885529.719999999</v>
      </c>
      <c r="CN66" s="176">
        <f>SCLVX!G27</f>
        <v>1</v>
      </c>
      <c r="CO66" s="179">
        <f>Stifel!B40</f>
        <v>4266426.67</v>
      </c>
      <c r="CP66" s="176">
        <f>Stifel!K40</f>
        <v>6</v>
      </c>
      <c r="CQ66" s="179">
        <f>TDA!O56</f>
        <v>941928.2050899975</v>
      </c>
      <c r="CR66" s="176">
        <f>TDA!N56</f>
        <v>52</v>
      </c>
      <c r="CS66" s="179">
        <f>UNC!D29</f>
        <v>35861296.960000001</v>
      </c>
      <c r="CT66" s="176">
        <f>UNC!E29</f>
        <v>1</v>
      </c>
      <c r="CU66" s="179"/>
      <c r="CY66" s="179">
        <f>Cline!B12</f>
        <v>15923674.039999999</v>
      </c>
      <c r="CZ66" s="176">
        <f>Cline!C12</f>
        <v>1</v>
      </c>
      <c r="DA66" s="177">
        <f>Prudential!E40</f>
        <v>108891.96000000002</v>
      </c>
      <c r="DB66" s="178">
        <f>Prudential!D40</f>
        <v>1</v>
      </c>
    </row>
    <row r="67" spans="1:112">
      <c r="A67" s="38">
        <v>43251</v>
      </c>
      <c r="B67" s="7">
        <f t="shared" si="10"/>
        <v>731778939.87829018</v>
      </c>
      <c r="C67" s="84">
        <f t="shared" si="11"/>
        <v>932</v>
      </c>
      <c r="D67" s="65">
        <f t="shared" si="21"/>
        <v>535917965.81999999</v>
      </c>
      <c r="E67" s="153">
        <f t="shared" si="22"/>
        <v>11</v>
      </c>
      <c r="F67" s="68">
        <f t="shared" si="24"/>
        <v>64334606.899999999</v>
      </c>
      <c r="G67" s="97">
        <f t="shared" si="19"/>
        <v>2</v>
      </c>
      <c r="H67" s="67">
        <f t="shared" si="15"/>
        <v>35774514.355000004</v>
      </c>
      <c r="I67" s="98">
        <f t="shared" si="20"/>
        <v>2</v>
      </c>
      <c r="J67" s="73">
        <f t="shared" si="25"/>
        <v>29716400.293290116</v>
      </c>
      <c r="K67" s="99">
        <f t="shared" si="26"/>
        <v>915</v>
      </c>
      <c r="L67" s="78">
        <f t="shared" si="27"/>
        <v>66035452.510000005</v>
      </c>
      <c r="M67" s="100">
        <f t="shared" si="23"/>
        <v>2</v>
      </c>
      <c r="O67" s="69">
        <f>SILVX!B74</f>
        <v>385388924.14999998</v>
      </c>
      <c r="P67" s="91">
        <f>SILVX!G74</f>
        <v>1</v>
      </c>
      <c r="Q67" s="70">
        <f>SGLIX!B19</f>
        <v>19672502.600000001</v>
      </c>
      <c r="R67" s="93">
        <f>SGLIX!G19</f>
        <v>1</v>
      </c>
      <c r="S67" s="71"/>
      <c r="T67" s="92"/>
      <c r="U67" s="75"/>
      <c r="V67" s="94"/>
      <c r="W67" s="94"/>
      <c r="X67" s="94"/>
      <c r="Y67" s="69"/>
      <c r="Z67" s="91"/>
      <c r="AA67" s="70"/>
      <c r="AB67" s="93"/>
      <c r="AM67" s="76">
        <f>Schwab!S62</f>
        <v>18197218.840800084</v>
      </c>
      <c r="AN67" s="74">
        <f>Schwab!Q62</f>
        <v>752</v>
      </c>
      <c r="AO67" s="75">
        <f>Fidelity!P67</f>
        <v>10455315.814990032</v>
      </c>
      <c r="AP67" s="94">
        <f>Fidelity!O67</f>
        <v>112</v>
      </c>
      <c r="AQ67" s="94"/>
      <c r="AR67" s="94"/>
      <c r="AS67" s="94"/>
      <c r="AT67" s="94"/>
      <c r="AU67" s="94"/>
      <c r="AV67" s="94"/>
      <c r="AW67" s="94"/>
      <c r="AX67" s="94"/>
      <c r="AY67" s="94"/>
      <c r="AZ67" s="94"/>
      <c r="BA67" s="69">
        <f>'TFA - Folio'!H72</f>
        <v>24050924.189999998</v>
      </c>
      <c r="BB67" s="40">
        <f>'TFA - Folio'!I67</f>
        <v>1</v>
      </c>
      <c r="BC67" s="80">
        <f>'TFA - Folio'!K72</f>
        <v>50674106.38000001</v>
      </c>
      <c r="BD67" s="79">
        <f>'TFA - Folio'!N72</f>
        <v>1</v>
      </c>
      <c r="BE67" s="80"/>
      <c r="BG67" s="69">
        <f>UNC!B30</f>
        <v>119598839.23</v>
      </c>
      <c r="BH67" s="40">
        <f>UNC!C30</f>
        <v>1</v>
      </c>
      <c r="BI67" s="69">
        <f>'Schwab LC'!D27</f>
        <v>2522024.7300000004</v>
      </c>
      <c r="BJ67" s="40">
        <f>'Schwab LC'!E27</f>
        <v>2</v>
      </c>
      <c r="CI67" s="179"/>
      <c r="CK67" s="179">
        <f>'Holiday Oil'!G5</f>
        <v>15361346.129999999</v>
      </c>
      <c r="CL67" s="176">
        <f>'Holiday Oil'!H5</f>
        <v>1</v>
      </c>
      <c r="CM67" s="179">
        <f>SCLVX!B28</f>
        <v>26602136.75</v>
      </c>
      <c r="CN67" s="176">
        <f>SCLVX!G28</f>
        <v>1</v>
      </c>
      <c r="CO67" s="179">
        <f>Stifel!B41</f>
        <v>4357253.5199999986</v>
      </c>
      <c r="CP67" s="176">
        <f>Stifel!K41</f>
        <v>6</v>
      </c>
      <c r="CQ67" s="179">
        <f>TDA!O57</f>
        <v>954433.27749999985</v>
      </c>
      <c r="CR67" s="176">
        <f>TDA!N57</f>
        <v>50</v>
      </c>
      <c r="CS67" s="179">
        <f>UNC!D30</f>
        <v>37732470.149999999</v>
      </c>
      <c r="CT67" s="176">
        <f>UNC!E30</f>
        <v>1</v>
      </c>
      <c r="CU67" s="179"/>
      <c r="CY67" s="179">
        <f>Cline!B13</f>
        <v>16102011.754999999</v>
      </c>
      <c r="CZ67" s="176">
        <f>Cline!C13</f>
        <v>1</v>
      </c>
      <c r="DA67" s="177">
        <f>Prudential!E41</f>
        <v>109432.35999999999</v>
      </c>
      <c r="DB67" s="178">
        <f>Prudential!D41</f>
        <v>1</v>
      </c>
    </row>
    <row r="68" spans="1:112">
      <c r="A68" s="38">
        <v>43281</v>
      </c>
      <c r="B68" s="7">
        <f t="shared" si="10"/>
        <v>745963518.76328003</v>
      </c>
      <c r="C68" s="84">
        <f t="shared" si="11"/>
        <v>886</v>
      </c>
      <c r="D68" s="65">
        <f t="shared" si="21"/>
        <v>551784713.38999999</v>
      </c>
      <c r="E68" s="153">
        <f t="shared" si="22"/>
        <v>11</v>
      </c>
      <c r="F68" s="68">
        <f t="shared" si="24"/>
        <v>67198045.200000003</v>
      </c>
      <c r="G68" s="97">
        <f t="shared" si="19"/>
        <v>2</v>
      </c>
      <c r="H68" s="67">
        <f t="shared" si="15"/>
        <v>35575045.550000004</v>
      </c>
      <c r="I68" s="98">
        <f t="shared" si="20"/>
        <v>2</v>
      </c>
      <c r="J68" s="73">
        <f t="shared" si="25"/>
        <v>27558266.383279983</v>
      </c>
      <c r="K68" s="99">
        <f t="shared" si="26"/>
        <v>869</v>
      </c>
      <c r="L68" s="78">
        <f t="shared" si="27"/>
        <v>63847448.24000001</v>
      </c>
      <c r="M68" s="100">
        <f t="shared" si="23"/>
        <v>2</v>
      </c>
      <c r="O68" s="69">
        <f>SILVX!B75</f>
        <v>398042809.69</v>
      </c>
      <c r="P68" s="91">
        <f>SILVX!G75</f>
        <v>1</v>
      </c>
      <c r="Q68" s="70">
        <f>SGLIX!B20</f>
        <v>19437260.050000001</v>
      </c>
      <c r="R68" s="93">
        <f>SGLIX!G20</f>
        <v>1</v>
      </c>
      <c r="S68" s="71"/>
      <c r="T68" s="92"/>
      <c r="U68" s="75"/>
      <c r="V68" s="94"/>
      <c r="W68" s="94"/>
      <c r="X68" s="94"/>
      <c r="Y68" s="69"/>
      <c r="Z68" s="91"/>
      <c r="AA68" s="70"/>
      <c r="AB68" s="93"/>
      <c r="AM68" s="76">
        <f>Schwab!S63</f>
        <v>16027519.406200059</v>
      </c>
      <c r="AN68" s="74">
        <f>Schwab!Q63</f>
        <v>689</v>
      </c>
      <c r="AO68" s="75">
        <f>Fidelity!P68</f>
        <v>10490797.717079926</v>
      </c>
      <c r="AP68" s="94">
        <f>Fidelity!O68</f>
        <v>128</v>
      </c>
      <c r="AQ68" s="94"/>
      <c r="AR68" s="94"/>
      <c r="AS68" s="94"/>
      <c r="AT68" s="94"/>
      <c r="AU68" s="94"/>
      <c r="AV68" s="94"/>
      <c r="AW68" s="94"/>
      <c r="AX68" s="94"/>
      <c r="AY68" s="94"/>
      <c r="AZ68" s="94"/>
      <c r="BA68" s="69">
        <f>'TFA - Folio'!H73</f>
        <v>24529099.829999983</v>
      </c>
      <c r="BB68" s="40">
        <f>'TFA - Folio'!I68</f>
        <v>1</v>
      </c>
      <c r="BC68" s="80">
        <f>'TFA - Folio'!K73</f>
        <v>50497917.870000005</v>
      </c>
      <c r="BD68" s="79">
        <f>'TFA - Folio'!N73</f>
        <v>1</v>
      </c>
      <c r="BE68" s="80"/>
      <c r="BG68" s="69">
        <f>UNC!B31</f>
        <v>122197551.74000001</v>
      </c>
      <c r="BH68" s="40">
        <f>UNC!C31</f>
        <v>1</v>
      </c>
      <c r="BI68" s="69">
        <f>'Schwab LC'!D28</f>
        <v>2570847.5</v>
      </c>
      <c r="BJ68" s="40">
        <f>'Schwab LC'!E28</f>
        <v>2</v>
      </c>
      <c r="CI68" s="179"/>
      <c r="CK68" s="179">
        <f>'Holiday Oil'!G6</f>
        <v>13349530.370000001</v>
      </c>
      <c r="CL68" s="176">
        <f>'Holiday Oil'!H6</f>
        <v>1</v>
      </c>
      <c r="CM68" s="179">
        <f>SCLVX!B29</f>
        <v>28902762.780000001</v>
      </c>
      <c r="CN68" s="176">
        <f>SCLVX!G29</f>
        <v>1</v>
      </c>
      <c r="CO68" s="179">
        <f>Stifel!B42</f>
        <v>4444404.63</v>
      </c>
      <c r="CP68" s="176">
        <f>Stifel!K42</f>
        <v>6</v>
      </c>
      <c r="CQ68" s="179">
        <f>TDA!O58</f>
        <v>930694.04999999888</v>
      </c>
      <c r="CR68" s="176">
        <f>TDA!N58</f>
        <v>51</v>
      </c>
      <c r="CS68" s="179">
        <f>UNC!D31</f>
        <v>38295282.420000002</v>
      </c>
      <c r="CT68" s="176">
        <f>UNC!E31</f>
        <v>1</v>
      </c>
      <c r="CU68" s="179"/>
      <c r="CY68" s="179">
        <f>Cline!B14</f>
        <v>16137785.500000006</v>
      </c>
      <c r="CZ68" s="176">
        <f>Cline!C14</f>
        <v>1</v>
      </c>
      <c r="DA68" s="177">
        <f>Prudential!E42</f>
        <v>109255.21000000002</v>
      </c>
      <c r="DB68" s="178">
        <f>Prudential!D42</f>
        <v>1</v>
      </c>
    </row>
    <row r="69" spans="1:112">
      <c r="A69" s="38">
        <v>43312</v>
      </c>
      <c r="B69" s="7">
        <f t="shared" ref="B69:B74" si="28">O69+CM69+Q69+AM69+CQ69+AO69+DA69+BA69+BC69+CO69+BG69+CS69+BI69+CY69+CK69+CI69+DC69+DE69</f>
        <v>778709834.51342022</v>
      </c>
      <c r="C69" s="84">
        <f t="shared" ref="C69:C74" si="29">P69+CN69+R69+AN69+CR69+AP69+DB69+BB69+BD69+CP69+BH69+CT69+BJ69+CZ69+CL69+DD69+DF69</f>
        <v>861</v>
      </c>
      <c r="D69" s="65">
        <f t="shared" si="21"/>
        <v>573087868.45000005</v>
      </c>
      <c r="E69" s="153">
        <f t="shared" si="22"/>
        <v>11</v>
      </c>
      <c r="F69" s="68">
        <f t="shared" si="24"/>
        <v>70458849.650000006</v>
      </c>
      <c r="G69" s="97">
        <f t="shared" si="19"/>
        <v>2</v>
      </c>
      <c r="H69" s="67">
        <f t="shared" ref="H69:H101" si="30">Q69+CY69+CI69</f>
        <v>42725518.599999994</v>
      </c>
      <c r="I69" s="115">
        <f t="shared" ref="I69:I101" si="31">R69+CZ69+CJ69</f>
        <v>3</v>
      </c>
      <c r="J69" s="73">
        <f t="shared" si="25"/>
        <v>28496389.273420069</v>
      </c>
      <c r="K69" s="99">
        <f t="shared" si="26"/>
        <v>844</v>
      </c>
      <c r="L69" s="78">
        <f t="shared" si="27"/>
        <v>63941208.540000007</v>
      </c>
      <c r="M69" s="100">
        <f t="shared" si="23"/>
        <v>2</v>
      </c>
      <c r="O69" s="69">
        <f>SILVX!B76</f>
        <v>414175875.44999999</v>
      </c>
      <c r="P69" s="91">
        <f>SILVX!G76</f>
        <v>1</v>
      </c>
      <c r="Q69" s="70">
        <f>SGLIX!B21</f>
        <v>19910035.919999994</v>
      </c>
      <c r="R69" s="93">
        <f>SGLIX!G21</f>
        <v>1</v>
      </c>
      <c r="S69" s="71"/>
      <c r="T69" s="92"/>
      <c r="U69" s="75"/>
      <c r="V69" s="94"/>
      <c r="W69" s="94"/>
      <c r="X69" s="94"/>
      <c r="Y69" s="69"/>
      <c r="Z69" s="91"/>
      <c r="AA69" s="70"/>
      <c r="AB69" s="93"/>
      <c r="AM69" s="76">
        <f>Schwab!S64</f>
        <v>16503950.388900027</v>
      </c>
      <c r="AN69" s="74">
        <f>Schwab!Q64</f>
        <v>663</v>
      </c>
      <c r="AO69" s="75">
        <f>Fidelity!P69</f>
        <v>10912034.657550042</v>
      </c>
      <c r="AP69" s="94">
        <f>Fidelity!O69</f>
        <v>129</v>
      </c>
      <c r="AQ69" s="94"/>
      <c r="AR69" s="94"/>
      <c r="AS69" s="94"/>
      <c r="AT69" s="94"/>
      <c r="AU69" s="94"/>
      <c r="AV69" s="94"/>
      <c r="AW69" s="94"/>
      <c r="AX69" s="94"/>
      <c r="AY69" s="94"/>
      <c r="AZ69" s="94"/>
      <c r="BA69" s="69">
        <f>'TFA - Folio'!H74</f>
        <v>25028910.359999955</v>
      </c>
      <c r="BB69" s="40">
        <f>'TFA - Folio'!I69</f>
        <v>1</v>
      </c>
      <c r="BC69" s="80">
        <f>'TFA - Folio'!K74</f>
        <v>50566902.030000001</v>
      </c>
      <c r="BD69" s="79">
        <f>'TFA - Folio'!N74</f>
        <v>1</v>
      </c>
      <c r="BE69" s="80"/>
      <c r="BG69" s="69">
        <f>UNC!B32</f>
        <v>126612886.84</v>
      </c>
      <c r="BH69" s="40">
        <f>UNC!C32</f>
        <v>1</v>
      </c>
      <c r="BI69" s="69">
        <f>'Schwab LC'!D29</f>
        <v>2662789.0700000003</v>
      </c>
      <c r="BJ69" s="40">
        <f>'Schwab LC'!E29</f>
        <v>2</v>
      </c>
      <c r="CI69" s="179">
        <f>'NC State'!B2</f>
        <v>6091934.9700000007</v>
      </c>
      <c r="CJ69" s="176">
        <f>'NC State'!C2</f>
        <v>1</v>
      </c>
      <c r="CK69" s="179">
        <f>'Holiday Oil'!G7</f>
        <v>13374306.510000002</v>
      </c>
      <c r="CL69" s="176">
        <f>'Holiday Oil'!H7</f>
        <v>1</v>
      </c>
      <c r="CM69" s="179">
        <f>SCLVX!B30</f>
        <v>31246169.390000001</v>
      </c>
      <c r="CN69" s="176">
        <f>SCLVX!G30</f>
        <v>1</v>
      </c>
      <c r="CO69" s="179">
        <f>Stifel!B43</f>
        <v>4607406.7300000004</v>
      </c>
      <c r="CP69" s="176">
        <f>Stifel!K43</f>
        <v>6</v>
      </c>
      <c r="CQ69" s="179">
        <f>TDA!O59</f>
        <v>970212.09696999937</v>
      </c>
      <c r="CR69" s="176">
        <f>TDA!N59</f>
        <v>51</v>
      </c>
      <c r="CS69" s="179">
        <f>UNC!D32</f>
        <v>39212680.260000005</v>
      </c>
      <c r="CT69" s="176">
        <f>UNC!E32</f>
        <v>1</v>
      </c>
      <c r="CU69" s="179"/>
      <c r="CY69" s="179">
        <f>Cline!B15</f>
        <v>16723547.710000005</v>
      </c>
      <c r="CZ69" s="176">
        <f>Cline!C15</f>
        <v>1</v>
      </c>
      <c r="DA69" s="177">
        <f>Prudential!E43</f>
        <v>110192.13</v>
      </c>
      <c r="DB69" s="178">
        <f>Prudential!D43</f>
        <v>1</v>
      </c>
    </row>
    <row r="70" spans="1:112">
      <c r="A70" s="38">
        <v>43343</v>
      </c>
      <c r="B70" s="7">
        <f t="shared" si="28"/>
        <v>826152805.95284045</v>
      </c>
      <c r="C70" s="84">
        <f t="shared" si="29"/>
        <v>871</v>
      </c>
      <c r="D70" s="65">
        <f t="shared" si="21"/>
        <v>612910449.01999998</v>
      </c>
      <c r="E70" s="153">
        <f t="shared" si="22"/>
        <v>11</v>
      </c>
      <c r="F70" s="68">
        <f t="shared" si="24"/>
        <v>76696653.989999995</v>
      </c>
      <c r="G70" s="97">
        <f t="shared" si="19"/>
        <v>2</v>
      </c>
      <c r="H70" s="67">
        <f t="shared" si="30"/>
        <v>42716166.470000006</v>
      </c>
      <c r="I70" s="115">
        <f t="shared" si="31"/>
        <v>3</v>
      </c>
      <c r="J70" s="73">
        <f t="shared" si="25"/>
        <v>29189131.722840209</v>
      </c>
      <c r="K70" s="99">
        <f t="shared" si="26"/>
        <v>854</v>
      </c>
      <c r="L70" s="78">
        <f t="shared" si="27"/>
        <v>64640404.75</v>
      </c>
      <c r="M70" s="100">
        <f t="shared" si="23"/>
        <v>2</v>
      </c>
      <c r="O70" s="69">
        <f>SILVX!B77</f>
        <v>447383472.28999996</v>
      </c>
      <c r="P70" s="91">
        <f>SILVX!G77</f>
        <v>1</v>
      </c>
      <c r="Q70" s="70">
        <f>SGLIX!B22</f>
        <v>19561939.780000001</v>
      </c>
      <c r="R70" s="93">
        <f>SGLIX!G22</f>
        <v>1</v>
      </c>
      <c r="S70" s="71"/>
      <c r="T70" s="92"/>
      <c r="U70" s="75"/>
      <c r="V70" s="94"/>
      <c r="W70" s="94"/>
      <c r="X70" s="94"/>
      <c r="Y70" s="69"/>
      <c r="Z70" s="91"/>
      <c r="AA70" s="70"/>
      <c r="AB70" s="93"/>
      <c r="AM70" s="76">
        <f>Schwab!S65</f>
        <v>17023906.436800152</v>
      </c>
      <c r="AN70" s="74">
        <f>Schwab!Q65</f>
        <v>670</v>
      </c>
      <c r="AO70" s="75">
        <f>Fidelity!P70</f>
        <v>11272849.071730059</v>
      </c>
      <c r="AP70" s="94">
        <f>Fidelity!O70</f>
        <v>130</v>
      </c>
      <c r="AQ70" s="94"/>
      <c r="AR70" s="94"/>
      <c r="AS70" s="94"/>
      <c r="AT70" s="94"/>
      <c r="AU70" s="94"/>
      <c r="AV70" s="94"/>
      <c r="AW70" s="94"/>
      <c r="AX70" s="94"/>
      <c r="AY70" s="94"/>
      <c r="AZ70" s="94"/>
      <c r="BA70" s="69">
        <f>'TFA - Folio'!H75</f>
        <v>25908195.689999998</v>
      </c>
      <c r="BB70" s="40">
        <f>'TFA - Folio'!I70</f>
        <v>1</v>
      </c>
      <c r="BC70" s="80">
        <f>'TFA - Folio'!K75</f>
        <v>51290703.780000001</v>
      </c>
      <c r="BD70" s="79">
        <f>'TFA - Folio'!N75</f>
        <v>1</v>
      </c>
      <c r="BE70" s="80"/>
      <c r="BG70" s="69">
        <f>UNC!B33</f>
        <v>132031765.25999999</v>
      </c>
      <c r="BH70" s="40">
        <f>UNC!C33</f>
        <v>1</v>
      </c>
      <c r="BI70" s="69">
        <f>'Schwab LC'!D30</f>
        <v>2770271.0700000003</v>
      </c>
      <c r="BJ70" s="40">
        <f>'Schwab LC'!E30</f>
        <v>2</v>
      </c>
      <c r="CI70" s="179">
        <f>'NC State'!B3</f>
        <v>6177187.1300000008</v>
      </c>
      <c r="CJ70" s="176">
        <f>'NC State'!C3</f>
        <v>1</v>
      </c>
      <c r="CK70" s="179">
        <f>'Holiday Oil'!G8</f>
        <v>13349700.970000001</v>
      </c>
      <c r="CL70" s="176">
        <f>'Holiday Oil'!H8</f>
        <v>1</v>
      </c>
      <c r="CM70" s="179">
        <f>SCLVX!B31</f>
        <v>35168761.299999997</v>
      </c>
      <c r="CN70" s="176">
        <f>SCLVX!G31</f>
        <v>1</v>
      </c>
      <c r="CO70" s="179">
        <f>Stifel!B44</f>
        <v>4816744.7099999981</v>
      </c>
      <c r="CP70" s="176">
        <f>Stifel!K44</f>
        <v>6</v>
      </c>
      <c r="CQ70" s="179">
        <f>TDA!O60</f>
        <v>892376.21430999786</v>
      </c>
      <c r="CR70" s="176">
        <f>TDA!N60</f>
        <v>54</v>
      </c>
      <c r="CS70" s="179">
        <f>UNC!D33</f>
        <v>41527892.689999998</v>
      </c>
      <c r="CT70" s="176">
        <f>UNC!E33</f>
        <v>1</v>
      </c>
      <c r="CU70" s="179"/>
      <c r="CY70" s="179">
        <f>Cline!B16</f>
        <v>16977039.560000002</v>
      </c>
      <c r="CZ70" s="176">
        <f>Cline!C16</f>
        <v>1</v>
      </c>
      <c r="DA70" s="177"/>
      <c r="DB70" s="178"/>
    </row>
    <row r="71" spans="1:112">
      <c r="A71" s="38">
        <v>43373</v>
      </c>
      <c r="B71" s="7">
        <f t="shared" si="28"/>
        <v>834609989.42184985</v>
      </c>
      <c r="C71" s="84">
        <f t="shared" si="29"/>
        <v>879</v>
      </c>
      <c r="D71" s="65">
        <f t="shared" si="21"/>
        <v>623681515.42999995</v>
      </c>
      <c r="E71" s="153">
        <f t="shared" si="22"/>
        <v>11</v>
      </c>
      <c r="F71" s="68">
        <f t="shared" si="24"/>
        <v>76678651.739999995</v>
      </c>
      <c r="G71" s="97">
        <f t="shared" si="19"/>
        <v>2</v>
      </c>
      <c r="H71" s="67">
        <f t="shared" si="30"/>
        <v>42960019.730000012</v>
      </c>
      <c r="I71" s="115">
        <f t="shared" si="31"/>
        <v>3</v>
      </c>
      <c r="J71" s="73">
        <f t="shared" si="25"/>
        <v>26547079.941850014</v>
      </c>
      <c r="K71" s="99">
        <f t="shared" si="26"/>
        <v>862</v>
      </c>
      <c r="L71" s="78">
        <f t="shared" si="27"/>
        <v>64742722.580000013</v>
      </c>
      <c r="M71" s="100">
        <f t="shared" si="23"/>
        <v>2</v>
      </c>
      <c r="O71" s="69">
        <f>SILVX!B78</f>
        <v>458700911.37</v>
      </c>
      <c r="P71" s="91">
        <f>SILVX!G78</f>
        <v>1</v>
      </c>
      <c r="Q71" s="70">
        <f>SGLIX!B23</f>
        <v>19452300.050000004</v>
      </c>
      <c r="R71" s="93">
        <f>SGLIX!G23</f>
        <v>1</v>
      </c>
      <c r="S71" s="71"/>
      <c r="T71" s="92"/>
      <c r="U71" s="75"/>
      <c r="V71" s="94"/>
      <c r="W71" s="94"/>
      <c r="X71" s="94"/>
      <c r="Y71" s="69"/>
      <c r="Z71" s="91"/>
      <c r="AA71" s="70"/>
      <c r="AB71" s="93"/>
      <c r="AM71" s="76">
        <f>Schwab!S66</f>
        <v>16942578.76530005</v>
      </c>
      <c r="AN71" s="74">
        <f>Schwab!Q66</f>
        <v>676</v>
      </c>
      <c r="AO71" s="75">
        <f>Fidelity!P71</f>
        <v>8702890.2519299593</v>
      </c>
      <c r="AP71" s="94">
        <f>Fidelity!O71</f>
        <v>134</v>
      </c>
      <c r="AQ71" s="94"/>
      <c r="AR71" s="94"/>
      <c r="AS71" s="94"/>
      <c r="AT71" s="94"/>
      <c r="AU71" s="94"/>
      <c r="AV71" s="94"/>
      <c r="AW71" s="94"/>
      <c r="AX71" s="94"/>
      <c r="AY71" s="94"/>
      <c r="AZ71" s="94"/>
      <c r="BA71" s="69">
        <f>'TFA - Folio'!H76</f>
        <v>25114299.209999979</v>
      </c>
      <c r="BB71" s="40">
        <f>'TFA - Folio'!I71</f>
        <v>1</v>
      </c>
      <c r="BC71" s="80">
        <f>'TFA - Folio'!K76</f>
        <v>51416688.940000013</v>
      </c>
      <c r="BD71" s="79">
        <f>'TFA - Folio'!N76</f>
        <v>1</v>
      </c>
      <c r="BE71" s="80"/>
      <c r="BG71" s="69">
        <f>UNC!B34</f>
        <v>132483455.72</v>
      </c>
      <c r="BH71" s="40">
        <f>UNC!C34</f>
        <v>1</v>
      </c>
      <c r="BI71" s="69">
        <f>'Schwab LC'!D31</f>
        <v>2780096.06</v>
      </c>
      <c r="BJ71" s="40">
        <f>'Schwab LC'!E31</f>
        <v>2</v>
      </c>
      <c r="CI71" s="179">
        <f>'NC State'!B4</f>
        <v>6271226.3000000017</v>
      </c>
      <c r="CJ71" s="176">
        <f>'NC State'!C4</f>
        <v>1</v>
      </c>
      <c r="CK71" s="179">
        <f>'Holiday Oil'!G9</f>
        <v>13326033.639999999</v>
      </c>
      <c r="CL71" s="176">
        <f>'Holiday Oil'!H9</f>
        <v>1</v>
      </c>
      <c r="CM71" s="179">
        <f>SCLVX!B32</f>
        <v>36129214.93</v>
      </c>
      <c r="CN71" s="176">
        <f>SCLVX!G32</f>
        <v>1</v>
      </c>
      <c r="CO71" s="179">
        <f>Stifel!B45</f>
        <v>4602753.0699999994</v>
      </c>
      <c r="CP71" s="176">
        <f>Stifel!K45</f>
        <v>6</v>
      </c>
      <c r="CQ71" s="179">
        <f>TDA!O61</f>
        <v>901610.92462000158</v>
      </c>
      <c r="CR71" s="176">
        <f>TDA!N61</f>
        <v>52</v>
      </c>
      <c r="CS71" s="179">
        <f>UNC!D34</f>
        <v>40549436.809999995</v>
      </c>
      <c r="CT71" s="176">
        <f>UNC!E34</f>
        <v>1</v>
      </c>
      <c r="CU71" s="179"/>
      <c r="CY71" s="179">
        <f>Cline!B17</f>
        <v>17236493.379999999</v>
      </c>
      <c r="CZ71" s="176">
        <f>Cline!C17</f>
        <v>1</v>
      </c>
      <c r="DA71" s="177"/>
      <c r="DB71" s="178"/>
    </row>
    <row r="72" spans="1:112">
      <c r="A72" s="38">
        <v>43404</v>
      </c>
      <c r="B72" s="7">
        <f t="shared" si="28"/>
        <v>781987929.89412975</v>
      </c>
      <c r="C72" s="84">
        <f t="shared" si="29"/>
        <v>899</v>
      </c>
      <c r="D72" s="65">
        <f t="shared" si="21"/>
        <v>579776478.28999996</v>
      </c>
      <c r="E72" s="153">
        <f t="shared" si="22"/>
        <v>11</v>
      </c>
      <c r="F72" s="68">
        <f t="shared" si="24"/>
        <v>69899978.280000001</v>
      </c>
      <c r="G72" s="97">
        <f t="shared" si="19"/>
        <v>2</v>
      </c>
      <c r="H72" s="67">
        <f t="shared" si="30"/>
        <v>39947098.340000004</v>
      </c>
      <c r="I72" s="115">
        <f t="shared" si="31"/>
        <v>3</v>
      </c>
      <c r="J72" s="73">
        <f t="shared" si="25"/>
        <v>29343536.414129816</v>
      </c>
      <c r="K72" s="99">
        <f t="shared" si="26"/>
        <v>882</v>
      </c>
      <c r="L72" s="78">
        <f t="shared" si="27"/>
        <v>63020838.569999993</v>
      </c>
      <c r="M72" s="100">
        <f t="shared" si="23"/>
        <v>2</v>
      </c>
      <c r="O72" s="69">
        <f>SILVX!B79</f>
        <v>427270466.11000001</v>
      </c>
      <c r="P72" s="91">
        <f>SILVX!G79</f>
        <v>1</v>
      </c>
      <c r="Q72" s="70">
        <f>SGLIX!B24</f>
        <v>18322539.800000004</v>
      </c>
      <c r="R72" s="93">
        <f>SGLIX!G24</f>
        <v>1</v>
      </c>
      <c r="S72" s="71"/>
      <c r="T72" s="92"/>
      <c r="U72" s="75"/>
      <c r="V72" s="94"/>
      <c r="W72" s="94"/>
      <c r="X72" s="94"/>
      <c r="Y72" s="69"/>
      <c r="Z72" s="91"/>
      <c r="AA72" s="70"/>
      <c r="AB72" s="93"/>
      <c r="AM72" s="76">
        <f>Schwab!S67</f>
        <v>19465955.08809986</v>
      </c>
      <c r="AN72" s="74">
        <f>Schwab!Q67</f>
        <v>686</v>
      </c>
      <c r="AO72" s="75">
        <f>Fidelity!P72</f>
        <v>8844307.0160299446</v>
      </c>
      <c r="AP72" s="94">
        <f>Fidelity!O72</f>
        <v>138</v>
      </c>
      <c r="AQ72" s="94"/>
      <c r="AR72" s="94"/>
      <c r="AS72" s="94"/>
      <c r="AT72" s="94"/>
      <c r="AU72" s="94"/>
      <c r="AV72" s="94"/>
      <c r="AW72" s="94"/>
      <c r="AX72" s="94"/>
      <c r="AY72" s="94"/>
      <c r="AZ72" s="94"/>
      <c r="BA72" s="69">
        <f>'TFA - Folio'!H77</f>
        <v>22916349.290000021</v>
      </c>
      <c r="BB72" s="40">
        <f>'TFA - Folio'!I72</f>
        <v>1</v>
      </c>
      <c r="BC72" s="80">
        <f>'TFA - Folio'!K77</f>
        <v>49765662.759999998</v>
      </c>
      <c r="BD72" s="79">
        <f>'TFA - Folio'!N77</f>
        <v>1</v>
      </c>
      <c r="BE72" s="80"/>
      <c r="BG72" s="69">
        <f>UNC!B35</f>
        <v>122689272.23999999</v>
      </c>
      <c r="BH72" s="40">
        <f>UNC!C35</f>
        <v>1</v>
      </c>
      <c r="BI72" s="69">
        <f>'Schwab LC'!D32</f>
        <v>2639005.27</v>
      </c>
      <c r="BJ72" s="40">
        <f>'Schwab LC'!E32</f>
        <v>2</v>
      </c>
      <c r="CI72" s="179">
        <f>'NC State'!B5</f>
        <v>5916871.4100000001</v>
      </c>
      <c r="CJ72" s="176">
        <f>'NC State'!C5</f>
        <v>1</v>
      </c>
      <c r="CK72" s="179">
        <f>'Holiday Oil'!G10</f>
        <v>13255175.809999999</v>
      </c>
      <c r="CL72" s="176">
        <f>'Holiday Oil'!H10</f>
        <v>1</v>
      </c>
      <c r="CM72" s="179">
        <f>SCLVX!B33</f>
        <v>33824711.049999997</v>
      </c>
      <c r="CN72" s="176">
        <f>SCLVX!G33</f>
        <v>1</v>
      </c>
      <c r="CO72" s="179">
        <f>Stifel!B46</f>
        <v>4261385.3800000008</v>
      </c>
      <c r="CP72" s="176">
        <f>Stifel!K46</f>
        <v>6</v>
      </c>
      <c r="CQ72" s="179">
        <f>TDA!O62</f>
        <v>1033274.3100000108</v>
      </c>
      <c r="CR72" s="176">
        <f>TDA!N62</f>
        <v>58</v>
      </c>
      <c r="CS72" s="179">
        <f>UNC!D35</f>
        <v>36075267.230000004</v>
      </c>
      <c r="CT72" s="176">
        <f>UNC!E35</f>
        <v>1</v>
      </c>
      <c r="CU72" s="179"/>
      <c r="CY72" s="179">
        <f>Cline!B18</f>
        <v>15707687.130000001</v>
      </c>
      <c r="CZ72" s="176">
        <f>Cline!C18</f>
        <v>1</v>
      </c>
      <c r="DA72" s="177"/>
      <c r="DB72" s="178"/>
    </row>
    <row r="73" spans="1:112">
      <c r="A73" s="38">
        <v>43434</v>
      </c>
      <c r="B73" s="7">
        <f t="shared" si="28"/>
        <v>806837926.92924976</v>
      </c>
      <c r="C73" s="84">
        <f t="shared" si="29"/>
        <v>899</v>
      </c>
      <c r="D73" s="65">
        <f t="shared" si="21"/>
        <v>601912090.52999997</v>
      </c>
      <c r="E73" s="153">
        <f t="shared" si="22"/>
        <v>11</v>
      </c>
      <c r="F73" s="68">
        <f t="shared" si="24"/>
        <v>70800512.710000008</v>
      </c>
      <c r="G73" s="97">
        <f t="shared" ref="G73:G104" si="32">CN73+CT73</f>
        <v>2</v>
      </c>
      <c r="H73" s="67">
        <f t="shared" si="30"/>
        <v>41465148.549999997</v>
      </c>
      <c r="I73" s="115">
        <f t="shared" si="31"/>
        <v>3</v>
      </c>
      <c r="J73" s="73">
        <f t="shared" si="25"/>
        <v>29947290.929250017</v>
      </c>
      <c r="K73" s="99">
        <f t="shared" si="26"/>
        <v>882</v>
      </c>
      <c r="L73" s="78">
        <f t="shared" si="27"/>
        <v>62712884.210000008</v>
      </c>
      <c r="M73" s="100">
        <f t="shared" si="23"/>
        <v>2</v>
      </c>
      <c r="O73" s="69">
        <f>SILVX!B80</f>
        <v>447459570.04999995</v>
      </c>
      <c r="P73" s="91">
        <f>SILVX!G80</f>
        <v>1</v>
      </c>
      <c r="Q73" s="70">
        <f>SGLIX!B25</f>
        <v>19092665.049999997</v>
      </c>
      <c r="R73" s="93">
        <f>SGLIX!G25</f>
        <v>1</v>
      </c>
      <c r="S73" s="71"/>
      <c r="T73" s="92"/>
      <c r="U73" s="75"/>
      <c r="V73" s="94"/>
      <c r="W73" s="94"/>
      <c r="X73" s="94"/>
      <c r="Y73" s="69"/>
      <c r="Z73" s="91"/>
      <c r="AA73" s="70"/>
      <c r="AB73" s="93"/>
      <c r="AM73" s="76">
        <f>Schwab!S68</f>
        <v>19413754.712400064</v>
      </c>
      <c r="AN73" s="74">
        <f>Schwab!Q68</f>
        <v>684</v>
      </c>
      <c r="AO73" s="75">
        <f>Fidelity!P73</f>
        <v>9497605.7832399514</v>
      </c>
      <c r="AP73" s="94">
        <f>Fidelity!O73</f>
        <v>139</v>
      </c>
      <c r="AQ73" s="94"/>
      <c r="AR73" s="94"/>
      <c r="AS73" s="94"/>
      <c r="AT73" s="94"/>
      <c r="AU73" s="94"/>
      <c r="AV73" s="94"/>
      <c r="AW73" s="94"/>
      <c r="AX73" s="94"/>
      <c r="AY73" s="94"/>
      <c r="AZ73" s="94"/>
      <c r="BA73" s="69">
        <f>'TFA - Folio'!H78</f>
        <v>22582914.75</v>
      </c>
      <c r="BB73" s="40">
        <f>'TFA - Folio'!I73</f>
        <v>1</v>
      </c>
      <c r="BC73" s="80">
        <f>'TFA - Folio'!K78</f>
        <v>49385646.150000006</v>
      </c>
      <c r="BD73" s="79">
        <f>'TFA - Folio'!N78</f>
        <v>1</v>
      </c>
      <c r="BE73" s="80"/>
      <c r="BG73" s="69">
        <f>UNC!B36</f>
        <v>124864790.5</v>
      </c>
      <c r="BH73" s="40">
        <f>UNC!C36</f>
        <v>1</v>
      </c>
      <c r="BI73" s="69">
        <f>'Schwab LC'!D33</f>
        <v>2676554.5500000007</v>
      </c>
      <c r="BJ73" s="40">
        <f>'Schwab LC'!E33</f>
        <v>2</v>
      </c>
      <c r="CI73" s="179">
        <f>'NC State'!B6</f>
        <v>6143310.2299999995</v>
      </c>
      <c r="CJ73" s="176">
        <f>'NC State'!C6</f>
        <v>1</v>
      </c>
      <c r="CK73" s="179">
        <f>'Holiday Oil'!G11</f>
        <v>13327238.059999999</v>
      </c>
      <c r="CL73" s="176">
        <f>'Holiday Oil'!H11</f>
        <v>1</v>
      </c>
      <c r="CM73" s="179">
        <f>SCLVX!B34</f>
        <v>34434962.149999999</v>
      </c>
      <c r="CN73" s="176">
        <f>SCLVX!G34</f>
        <v>1</v>
      </c>
      <c r="CO73" s="179">
        <f>Stifel!B47</f>
        <v>4328260.68</v>
      </c>
      <c r="CP73" s="176">
        <f>Stifel!K47</f>
        <v>6</v>
      </c>
      <c r="CQ73" s="179">
        <f>TDA!O63</f>
        <v>1035930.4336100034</v>
      </c>
      <c r="CR73" s="176">
        <f>TDA!N63</f>
        <v>59</v>
      </c>
      <c r="CS73" s="179">
        <f>UNC!D36</f>
        <v>36365550.560000002</v>
      </c>
      <c r="CT73" s="176">
        <f>UNC!E36</f>
        <v>1</v>
      </c>
      <c r="CU73" s="179"/>
      <c r="CY73" s="179">
        <f>Cline!B19</f>
        <v>16229173.270000003</v>
      </c>
      <c r="CZ73" s="176">
        <f>Cline!C19</f>
        <v>1</v>
      </c>
      <c r="DA73" s="177"/>
      <c r="DB73" s="178"/>
    </row>
    <row r="74" spans="1:112" s="140" customFormat="1">
      <c r="A74" s="116">
        <v>43465</v>
      </c>
      <c r="B74" s="117">
        <f t="shared" si="28"/>
        <v>736284022.7686801</v>
      </c>
      <c r="C74" s="118">
        <f t="shared" si="29"/>
        <v>916</v>
      </c>
      <c r="D74" s="119">
        <f t="shared" si="21"/>
        <v>538078471.5200001</v>
      </c>
      <c r="E74" s="154">
        <f t="shared" si="22"/>
        <v>11</v>
      </c>
      <c r="F74" s="121">
        <f t="shared" si="24"/>
        <v>63315571.100000001</v>
      </c>
      <c r="G74" s="122">
        <f t="shared" si="32"/>
        <v>2</v>
      </c>
      <c r="H74" s="123">
        <f t="shared" si="30"/>
        <v>38482520</v>
      </c>
      <c r="I74" s="149">
        <f t="shared" si="31"/>
        <v>3</v>
      </c>
      <c r="J74" s="125">
        <f t="shared" si="25"/>
        <v>30637983.748680167</v>
      </c>
      <c r="K74" s="126">
        <f t="shared" si="26"/>
        <v>899</v>
      </c>
      <c r="L74" s="127">
        <f t="shared" si="27"/>
        <v>65769476.399999991</v>
      </c>
      <c r="M74" s="128">
        <f t="shared" si="23"/>
        <v>2</v>
      </c>
      <c r="N74" s="83"/>
      <c r="O74" s="129">
        <f>SILVX!B81</f>
        <v>400236828.50999999</v>
      </c>
      <c r="P74" s="130">
        <f>SILVX!G81</f>
        <v>1</v>
      </c>
      <c r="Q74" s="147">
        <f>SGLIX!B26</f>
        <v>17632437.830000002</v>
      </c>
      <c r="R74" s="148">
        <f>SGLIX!G26</f>
        <v>1</v>
      </c>
      <c r="S74" s="142"/>
      <c r="T74" s="132"/>
      <c r="U74" s="135"/>
      <c r="V74" s="136"/>
      <c r="W74" s="136"/>
      <c r="X74" s="136"/>
      <c r="Y74" s="129"/>
      <c r="Z74" s="130"/>
      <c r="AA74" s="147"/>
      <c r="AB74" s="148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41">
        <f>Schwab!S69</f>
        <v>20301284.948600136</v>
      </c>
      <c r="AN74" s="134">
        <f>Schwab!Q69</f>
        <v>694</v>
      </c>
      <c r="AO74" s="135">
        <f>Fidelity!P74</f>
        <v>9218402.3023400325</v>
      </c>
      <c r="AP74" s="136">
        <f>Fidelity!O74</f>
        <v>146</v>
      </c>
      <c r="AQ74" s="136"/>
      <c r="AR74" s="136"/>
      <c r="AS74" s="136"/>
      <c r="AT74" s="136"/>
      <c r="AU74" s="136"/>
      <c r="AV74" s="136"/>
      <c r="AW74" s="136"/>
      <c r="AX74" s="136"/>
      <c r="AY74" s="136"/>
      <c r="AZ74" s="136"/>
      <c r="BA74" s="129">
        <f>'TFA - Folio'!H79</f>
        <v>16328603.800000042</v>
      </c>
      <c r="BB74" s="137">
        <f>'TFA - Folio'!I74</f>
        <v>1</v>
      </c>
      <c r="BC74" s="138">
        <f>'TFA - Folio'!K79</f>
        <v>52274540.04999999</v>
      </c>
      <c r="BD74" s="139">
        <f>'TFA - Folio'!N79</f>
        <v>1</v>
      </c>
      <c r="BE74" s="138"/>
      <c r="BF74" s="139"/>
      <c r="BG74" s="129">
        <f>UNC!B37</f>
        <v>115049824.15000001</v>
      </c>
      <c r="BH74" s="137">
        <f>UNC!C37</f>
        <v>1</v>
      </c>
      <c r="BI74" s="129">
        <f>'Schwab LC'!D34</f>
        <v>2465445.75</v>
      </c>
      <c r="BJ74" s="137">
        <f>'Schwab LC'!E34</f>
        <v>2</v>
      </c>
      <c r="BK74" s="198"/>
      <c r="BL74" s="198"/>
      <c r="BM74" s="198"/>
      <c r="BN74" s="198"/>
      <c r="BO74" s="198"/>
      <c r="BP74" s="198"/>
      <c r="BQ74" s="198"/>
      <c r="BR74" s="198"/>
      <c r="BS74" s="198"/>
      <c r="BT74" s="198"/>
      <c r="BU74" s="198"/>
      <c r="BV74" s="198"/>
      <c r="BW74" s="198"/>
      <c r="BX74" s="198"/>
      <c r="BY74" s="198"/>
      <c r="BZ74" s="198"/>
      <c r="CA74" s="198"/>
      <c r="CB74" s="198"/>
      <c r="CC74" s="198"/>
      <c r="CD74" s="198"/>
      <c r="CE74" s="198"/>
      <c r="CF74" s="198"/>
      <c r="CG74" s="198"/>
      <c r="CH74" s="198"/>
      <c r="CI74" s="180">
        <f>'NC State'!B7</f>
        <v>5726375.5700000003</v>
      </c>
      <c r="CJ74" s="174">
        <f>'NC State'!C7</f>
        <v>1</v>
      </c>
      <c r="CK74" s="180">
        <f>'Holiday Oil'!G12</f>
        <v>13494936.349999998</v>
      </c>
      <c r="CL74" s="174">
        <f>'Holiday Oil'!H12</f>
        <v>1</v>
      </c>
      <c r="CM74" s="180">
        <f>SCLVX!B35</f>
        <v>30939369</v>
      </c>
      <c r="CN74" s="174">
        <f>SCLVX!G35</f>
        <v>1</v>
      </c>
      <c r="CO74" s="180">
        <f>Stifel!B48</f>
        <v>3997769.3099999991</v>
      </c>
      <c r="CP74" s="174">
        <f>Stifel!K48</f>
        <v>6</v>
      </c>
      <c r="CQ74" s="180">
        <f>TDA!O64</f>
        <v>1118296.4977399986</v>
      </c>
      <c r="CR74" s="174">
        <f>TDA!N64</f>
        <v>59</v>
      </c>
      <c r="CS74" s="180">
        <f>UNC!D37</f>
        <v>32376202.100000001</v>
      </c>
      <c r="CT74" s="174">
        <f>UNC!E37</f>
        <v>1</v>
      </c>
      <c r="CU74" s="180"/>
      <c r="CV74" s="174"/>
      <c r="CW74" s="174"/>
      <c r="CX74" s="174"/>
      <c r="CY74" s="180">
        <f>Cline!B20</f>
        <v>15123706.600000001</v>
      </c>
      <c r="CZ74" s="174">
        <f>Cline!C20</f>
        <v>1</v>
      </c>
      <c r="DA74" s="175"/>
      <c r="DB74" s="181"/>
      <c r="DC74" s="174"/>
      <c r="DD74" s="174"/>
      <c r="DE74" s="174"/>
      <c r="DF74" s="174"/>
      <c r="DG74" s="174"/>
      <c r="DH74" s="174"/>
    </row>
    <row r="75" spans="1:112">
      <c r="A75" s="38">
        <v>43496</v>
      </c>
      <c r="B75" s="7">
        <f t="shared" ref="B75:B82" si="33">O75+CM75+Q75+AM75+CQ75+AO75+DA75+BA75+BC75+CO75+BG75+CS75+BI75+CY75+CK75+CI75+DC75+DE75+CU75</f>
        <v>794812903.23748994</v>
      </c>
      <c r="C75" s="84">
        <f t="shared" ref="C75:C82" si="34">P75+CN75+R75+AN75+CR75+AP75+DB75+BB75+BD75+CP75+BH75+CT75+BJ75+CZ75+CL75+DD75+DF75+CJ75+CV75</f>
        <v>918</v>
      </c>
      <c r="D75" s="65">
        <f t="shared" ref="D75:D106" si="35">O75+BA75+CO75+BG75+BI75+DC75+CU75</f>
        <v>587569967.75999999</v>
      </c>
      <c r="E75" s="153">
        <f t="shared" ref="E75:E106" si="36">P75+BB75+CP75+BH75+BJ75+CV75</f>
        <v>12</v>
      </c>
      <c r="F75" s="68">
        <f t="shared" si="24"/>
        <v>68047979.109999999</v>
      </c>
      <c r="G75" s="97">
        <f t="shared" si="32"/>
        <v>2</v>
      </c>
      <c r="H75" s="67">
        <f t="shared" si="30"/>
        <v>40462986.030000001</v>
      </c>
      <c r="I75" s="115">
        <f t="shared" si="31"/>
        <v>3</v>
      </c>
      <c r="J75" s="73">
        <f t="shared" si="25"/>
        <v>30602016.877489887</v>
      </c>
      <c r="K75" s="99">
        <f t="shared" si="26"/>
        <v>899</v>
      </c>
      <c r="L75" s="78">
        <f t="shared" si="27"/>
        <v>68129953.460000008</v>
      </c>
      <c r="M75" s="100">
        <f t="shared" si="23"/>
        <v>2</v>
      </c>
      <c r="O75" s="69">
        <f>SILVX!B82</f>
        <v>428581970.38999999</v>
      </c>
      <c r="P75" s="91">
        <f>SILVX!G82</f>
        <v>1</v>
      </c>
      <c r="Q75" s="70">
        <f>SGLIX!B27</f>
        <v>18474074.5</v>
      </c>
      <c r="R75" s="93">
        <f>SGLIX!G27</f>
        <v>1</v>
      </c>
      <c r="S75" s="71"/>
      <c r="T75" s="92"/>
      <c r="U75" s="75"/>
      <c r="V75" s="94"/>
      <c r="W75" s="94"/>
      <c r="X75" s="94"/>
      <c r="Y75" s="69"/>
      <c r="Z75" s="91"/>
      <c r="AA75" s="70"/>
      <c r="AB75" s="93"/>
      <c r="AM75" s="76">
        <f>Schwab!S70</f>
        <v>19832554.864999972</v>
      </c>
      <c r="AN75" s="74">
        <f>Schwab!Q70</f>
        <v>694</v>
      </c>
      <c r="AO75" s="75">
        <f>Fidelity!P75</f>
        <v>9401176.0918999147</v>
      </c>
      <c r="AP75" s="94">
        <f>Fidelity!O75</f>
        <v>146</v>
      </c>
      <c r="AQ75" s="94"/>
      <c r="AR75" s="94"/>
      <c r="AS75" s="94"/>
      <c r="AT75" s="94"/>
      <c r="AU75" s="94"/>
      <c r="AV75" s="94"/>
      <c r="AW75" s="94"/>
      <c r="AX75" s="94"/>
      <c r="AY75" s="94"/>
      <c r="AZ75" s="94"/>
      <c r="BA75" s="69">
        <f>'TFA - Folio'!H80</f>
        <v>17428386.939999998</v>
      </c>
      <c r="BB75" s="40">
        <f>'TFA - Folio'!I75</f>
        <v>1</v>
      </c>
      <c r="BC75" s="80">
        <f>'TFA - Folio'!K80</f>
        <v>54496279.360000007</v>
      </c>
      <c r="BD75" s="79">
        <f>'TFA - Folio'!N80</f>
        <v>1</v>
      </c>
      <c r="BE75" s="80"/>
      <c r="BG75" s="69">
        <f>UNC!B38</f>
        <v>123422215.68000001</v>
      </c>
      <c r="BH75" s="40">
        <f>UNC!C38</f>
        <v>1</v>
      </c>
      <c r="BI75" s="69">
        <f>'Schwab LC'!D35</f>
        <v>2639242.83</v>
      </c>
      <c r="BJ75" s="40">
        <f>'Schwab LC'!E35</f>
        <v>2</v>
      </c>
      <c r="CI75" s="179">
        <f>'NC State'!B8</f>
        <v>6042987.5099999998</v>
      </c>
      <c r="CJ75" s="176">
        <f>'NC State'!C8</f>
        <v>1</v>
      </c>
      <c r="CK75" s="179">
        <f>'Holiday Oil'!G13</f>
        <v>13633674.099999998</v>
      </c>
      <c r="CL75" s="176">
        <f>'Holiday Oil'!H13</f>
        <v>1</v>
      </c>
      <c r="CM75" s="179">
        <f>SCLVX!B36</f>
        <v>32806928.5</v>
      </c>
      <c r="CN75" s="176">
        <f>SCLVX!G36</f>
        <v>1</v>
      </c>
      <c r="CO75" s="179">
        <f>Stifel!B49</f>
        <v>4281434.55</v>
      </c>
      <c r="CP75" s="176">
        <f>Stifel!K49</f>
        <v>6</v>
      </c>
      <c r="CQ75" s="179">
        <f>TDA!O65</f>
        <v>1368285.9205899965</v>
      </c>
      <c r="CR75" s="176">
        <f>TDA!N65</f>
        <v>59</v>
      </c>
      <c r="CS75" s="179">
        <f>UNC!D38</f>
        <v>35241050.609999999</v>
      </c>
      <c r="CT75" s="176">
        <f>UNC!E38</f>
        <v>1</v>
      </c>
      <c r="CU75" s="179">
        <f>Asbestos!B2</f>
        <v>11216717.370000001</v>
      </c>
      <c r="CV75" s="176">
        <f>Asbestos!C2</f>
        <v>1</v>
      </c>
      <c r="CY75" s="179">
        <f>Cline!B21</f>
        <v>15945924.020000001</v>
      </c>
      <c r="CZ75" s="176">
        <f>Cline!C21</f>
        <v>1</v>
      </c>
    </row>
    <row r="76" spans="1:112">
      <c r="A76" s="38">
        <v>43524</v>
      </c>
      <c r="B76" s="7">
        <f t="shared" si="33"/>
        <v>829976842.72527003</v>
      </c>
      <c r="C76" s="84">
        <f t="shared" si="34"/>
        <v>938</v>
      </c>
      <c r="D76" s="65">
        <f t="shared" si="35"/>
        <v>615037568.09000003</v>
      </c>
      <c r="E76" s="153">
        <f t="shared" si="36"/>
        <v>12</v>
      </c>
      <c r="F76" s="68">
        <f t="shared" si="24"/>
        <v>71557285.679999992</v>
      </c>
      <c r="G76" s="97">
        <f t="shared" si="32"/>
        <v>2</v>
      </c>
      <c r="H76" s="67">
        <f t="shared" si="30"/>
        <v>41958294.120000005</v>
      </c>
      <c r="I76" s="115">
        <f t="shared" si="31"/>
        <v>3</v>
      </c>
      <c r="J76" s="73">
        <f t="shared" si="25"/>
        <v>31328995.90527001</v>
      </c>
      <c r="K76" s="99">
        <f t="shared" si="26"/>
        <v>919</v>
      </c>
      <c r="L76" s="78">
        <f t="shared" si="27"/>
        <v>70094698.930000007</v>
      </c>
      <c r="M76" s="100">
        <f t="shared" si="23"/>
        <v>2</v>
      </c>
      <c r="O76" s="69">
        <f>SILVX!B83</f>
        <v>448867305.49000001</v>
      </c>
      <c r="P76" s="91">
        <f>SILVX!G83</f>
        <v>1</v>
      </c>
      <c r="Q76" s="70">
        <f>SGLIX!B28</f>
        <v>19109488.34</v>
      </c>
      <c r="R76" s="93">
        <f>SGLIX!G28</f>
        <v>1</v>
      </c>
      <c r="S76" s="71"/>
      <c r="T76" s="92"/>
      <c r="U76" s="75"/>
      <c r="V76" s="94"/>
      <c r="W76" s="94"/>
      <c r="X76" s="94"/>
      <c r="Y76" s="69"/>
      <c r="Z76" s="91"/>
      <c r="AA76" s="70"/>
      <c r="AB76" s="93"/>
      <c r="AM76" s="76">
        <f>Schwab!S71</f>
        <v>20480226.811700024</v>
      </c>
      <c r="AN76" s="74">
        <f>Schwab!Q71</f>
        <v>712</v>
      </c>
      <c r="AO76" s="75">
        <f>Fidelity!P76</f>
        <v>9816964.5456399843</v>
      </c>
      <c r="AP76" s="94">
        <f>Fidelity!O76</f>
        <v>148</v>
      </c>
      <c r="AQ76" s="94"/>
      <c r="AR76" s="94"/>
      <c r="AS76" s="94"/>
      <c r="AT76" s="94"/>
      <c r="AU76" s="94"/>
      <c r="AV76" s="94"/>
      <c r="AW76" s="94"/>
      <c r="AX76" s="94"/>
      <c r="AY76" s="94"/>
      <c r="AZ76" s="94"/>
      <c r="BA76" s="69">
        <f>'TFA - Folio'!H81</f>
        <v>18756502.379999995</v>
      </c>
      <c r="BB76" s="40">
        <f>'TFA - Folio'!I76</f>
        <v>1</v>
      </c>
      <c r="BC76" s="80">
        <f>'TFA - Folio'!K81</f>
        <v>56468464.38000001</v>
      </c>
      <c r="BD76" s="79">
        <f>'TFA - Folio'!N81</f>
        <v>1</v>
      </c>
      <c r="BE76" s="80"/>
      <c r="BG76" s="69">
        <f>UNC!B39</f>
        <v>128586034.03</v>
      </c>
      <c r="BH76" s="40">
        <f>UNC!C39</f>
        <v>1</v>
      </c>
      <c r="BI76" s="69">
        <f>'Schwab LC'!D36</f>
        <v>2748011.79</v>
      </c>
      <c r="BJ76" s="40">
        <f>'Schwab LC'!E36</f>
        <v>2</v>
      </c>
      <c r="CI76" s="179">
        <f>'NC State'!B9</f>
        <v>6280615.709999999</v>
      </c>
      <c r="CJ76" s="176">
        <f>'NC State'!C9</f>
        <v>1</v>
      </c>
      <c r="CK76" s="179">
        <f>'Holiday Oil'!G14</f>
        <v>13626234.550000003</v>
      </c>
      <c r="CL76" s="176">
        <f>'Holiday Oil'!H14</f>
        <v>1</v>
      </c>
      <c r="CM76" s="179">
        <f>SCLVX!B37</f>
        <v>34742654.799999997</v>
      </c>
      <c r="CN76" s="176">
        <f>SCLVX!G37</f>
        <v>1</v>
      </c>
      <c r="CO76" s="179">
        <f>Stifel!B50</f>
        <v>4464057.3100000005</v>
      </c>
      <c r="CP76" s="176">
        <f>Stifel!K50</f>
        <v>6</v>
      </c>
      <c r="CQ76" s="179">
        <f>TDA!O66</f>
        <v>1031804.5479300031</v>
      </c>
      <c r="CR76" s="176">
        <f>TDA!N66</f>
        <v>59</v>
      </c>
      <c r="CS76" s="179">
        <f>UNC!D39</f>
        <v>36814630.879999995</v>
      </c>
      <c r="CT76" s="176">
        <f>UNC!E39</f>
        <v>1</v>
      </c>
      <c r="CU76" s="179">
        <f>Asbestos!B3</f>
        <v>11615657.09</v>
      </c>
      <c r="CV76" s="176">
        <f>Asbestos!C3</f>
        <v>1</v>
      </c>
      <c r="CY76" s="179">
        <f>Cline!B22</f>
        <v>16568190.070000002</v>
      </c>
      <c r="CZ76" s="176">
        <f>Cline!C22</f>
        <v>1</v>
      </c>
    </row>
    <row r="77" spans="1:112">
      <c r="A77" s="38">
        <v>43555</v>
      </c>
      <c r="B77" s="7">
        <f t="shared" si="33"/>
        <v>848181593.1602999</v>
      </c>
      <c r="C77" s="84">
        <f t="shared" si="34"/>
        <v>954</v>
      </c>
      <c r="D77" s="65">
        <f t="shared" si="35"/>
        <v>629301763.14999986</v>
      </c>
      <c r="E77" s="153">
        <f t="shared" si="36"/>
        <v>12</v>
      </c>
      <c r="F77" s="68">
        <f t="shared" si="24"/>
        <v>71520396.099999994</v>
      </c>
      <c r="G77" s="97">
        <f t="shared" si="32"/>
        <v>2</v>
      </c>
      <c r="H77" s="67">
        <f t="shared" si="30"/>
        <v>43065754.799999997</v>
      </c>
      <c r="I77" s="115">
        <f t="shared" si="31"/>
        <v>3</v>
      </c>
      <c r="J77" s="73">
        <f t="shared" si="25"/>
        <v>32526143.14029995</v>
      </c>
      <c r="K77" s="99">
        <f t="shared" si="26"/>
        <v>935</v>
      </c>
      <c r="L77" s="78">
        <f t="shared" si="27"/>
        <v>71767535.969999999</v>
      </c>
      <c r="M77" s="100">
        <f t="shared" si="23"/>
        <v>2</v>
      </c>
      <c r="O77" s="69">
        <f>SILVX!B84</f>
        <v>460121760.48000002</v>
      </c>
      <c r="P77" s="91">
        <f>SILVX!G84</f>
        <v>1</v>
      </c>
      <c r="Q77" s="70">
        <f>SGLIX!B29</f>
        <v>19789283.229999997</v>
      </c>
      <c r="R77" s="93">
        <f>SGLIX!G29</f>
        <v>1</v>
      </c>
      <c r="S77" s="71"/>
      <c r="T77" s="92"/>
      <c r="U77" s="75"/>
      <c r="V77" s="94"/>
      <c r="W77" s="94"/>
      <c r="X77" s="94"/>
      <c r="Y77" s="69"/>
      <c r="Z77" s="91"/>
      <c r="AA77" s="70"/>
      <c r="AB77" s="93"/>
      <c r="AM77" s="76">
        <f>Schwab!S72</f>
        <v>21379858.23809994</v>
      </c>
      <c r="AN77" s="74">
        <f>Schwab!Q72</f>
        <v>726</v>
      </c>
      <c r="AO77" s="75">
        <f>Fidelity!P77</f>
        <v>10090747.010270007</v>
      </c>
      <c r="AP77" s="94">
        <f>Fidelity!O77</f>
        <v>150</v>
      </c>
      <c r="AQ77" s="94"/>
      <c r="AR77" s="94"/>
      <c r="AS77" s="94"/>
      <c r="AT77" s="94"/>
      <c r="AU77" s="94"/>
      <c r="AV77" s="94"/>
      <c r="AW77" s="94"/>
      <c r="AX77" s="94"/>
      <c r="AY77" s="94"/>
      <c r="AZ77" s="94"/>
      <c r="BA77" s="69">
        <f>'TFA - Folio'!H82</f>
        <v>18775726.859999955</v>
      </c>
      <c r="BB77" s="40">
        <f>'TFA - Folio'!I77</f>
        <v>1</v>
      </c>
      <c r="BC77" s="80">
        <f>'TFA - Folio'!K82</f>
        <v>57966835.610000007</v>
      </c>
      <c r="BD77" s="79">
        <f>'TFA - Folio'!N82</f>
        <v>1</v>
      </c>
      <c r="BE77" s="80"/>
      <c r="BG77" s="69">
        <f>UNC!B40</f>
        <v>130779172.3</v>
      </c>
      <c r="BH77" s="40">
        <f>UNC!C40</f>
        <v>1</v>
      </c>
      <c r="BI77" s="69">
        <f>'Schwab LC'!D37</f>
        <v>3304392.5499999984</v>
      </c>
      <c r="BJ77" s="40">
        <f>'Schwab LC'!E37</f>
        <v>2</v>
      </c>
      <c r="CI77" s="179">
        <f>'NC State'!B10</f>
        <v>6398349.0000000009</v>
      </c>
      <c r="CJ77" s="176">
        <f>'NC State'!C10</f>
        <v>1</v>
      </c>
      <c r="CK77" s="179">
        <f>'Holiday Oil'!G15</f>
        <v>13800700.359999999</v>
      </c>
      <c r="CL77" s="176">
        <f>'Holiday Oil'!H15</f>
        <v>1</v>
      </c>
      <c r="CM77" s="179">
        <f>SCLVX!B38</f>
        <v>35454492.519999988</v>
      </c>
      <c r="CN77" s="176">
        <f>SCLVX!G38</f>
        <v>1</v>
      </c>
      <c r="CO77" s="179">
        <f>Stifel!B51</f>
        <v>4542748.42</v>
      </c>
      <c r="CP77" s="176">
        <f>Stifel!K51</f>
        <v>6</v>
      </c>
      <c r="CQ77" s="179">
        <f>TDA!O67</f>
        <v>1055537.8919300027</v>
      </c>
      <c r="CR77" s="176">
        <f>TDA!N67</f>
        <v>59</v>
      </c>
      <c r="CS77" s="179">
        <f>UNC!D40</f>
        <v>36065903.580000006</v>
      </c>
      <c r="CT77" s="176">
        <f>UNC!E40</f>
        <v>1</v>
      </c>
      <c r="CU77" s="179">
        <f>Asbestos!B4</f>
        <v>11777962.539999999</v>
      </c>
      <c r="CV77" s="176">
        <f>Asbestos!C4</f>
        <v>1</v>
      </c>
      <c r="CY77" s="179">
        <f>Cline!B23</f>
        <v>16878122.57</v>
      </c>
      <c r="CZ77" s="176">
        <f>Cline!C23</f>
        <v>1</v>
      </c>
    </row>
    <row r="78" spans="1:112">
      <c r="A78" s="38">
        <v>43585</v>
      </c>
      <c r="B78" s="7">
        <f t="shared" si="33"/>
        <v>879739459.44718051</v>
      </c>
      <c r="C78" s="84">
        <f t="shared" si="34"/>
        <v>970</v>
      </c>
      <c r="D78" s="65">
        <f t="shared" si="35"/>
        <v>657070660.20000005</v>
      </c>
      <c r="E78" s="153">
        <f t="shared" si="36"/>
        <v>12</v>
      </c>
      <c r="F78" s="68">
        <f t="shared" si="24"/>
        <v>74787740.75</v>
      </c>
      <c r="G78" s="97">
        <f t="shared" si="32"/>
        <v>2</v>
      </c>
      <c r="H78" s="67">
        <f t="shared" si="30"/>
        <v>44369260.608000003</v>
      </c>
      <c r="I78" s="115">
        <f t="shared" si="31"/>
        <v>3</v>
      </c>
      <c r="J78" s="73">
        <f t="shared" si="25"/>
        <v>32506848.829180196</v>
      </c>
      <c r="K78" s="99">
        <f t="shared" si="26"/>
        <v>951</v>
      </c>
      <c r="L78" s="78">
        <f t="shared" si="27"/>
        <v>71004949.060000002</v>
      </c>
      <c r="M78" s="100">
        <f t="shared" si="23"/>
        <v>2</v>
      </c>
      <c r="O78" s="69">
        <f>SILVX!B85</f>
        <v>482513457.73000002</v>
      </c>
      <c r="P78" s="91">
        <f>SILVX!G85</f>
        <v>1</v>
      </c>
      <c r="Q78" s="70">
        <f>SGLIX!B30</f>
        <v>20423187.789999999</v>
      </c>
      <c r="R78" s="93">
        <f>SGLIX!G30</f>
        <v>1</v>
      </c>
      <c r="S78" s="71"/>
      <c r="T78" s="92"/>
      <c r="U78" s="75"/>
      <c r="V78" s="94"/>
      <c r="W78" s="94"/>
      <c r="X78" s="94"/>
      <c r="Y78" s="69"/>
      <c r="Z78" s="91"/>
      <c r="AA78" s="70"/>
      <c r="AB78" s="93"/>
      <c r="AM78" s="76">
        <f>Schwab!S73</f>
        <v>21008126.735400118</v>
      </c>
      <c r="AN78" s="74">
        <f>Schwab!Q73</f>
        <v>738</v>
      </c>
      <c r="AO78" s="75">
        <f>Fidelity!P78</f>
        <v>10625311.475040078</v>
      </c>
      <c r="AP78" s="94">
        <f>Fidelity!O78</f>
        <v>156</v>
      </c>
      <c r="AQ78" s="94"/>
      <c r="AR78" s="94"/>
      <c r="AS78" s="94"/>
      <c r="AT78" s="94"/>
      <c r="AU78" s="94"/>
      <c r="AV78" s="94"/>
      <c r="AW78" s="94"/>
      <c r="AX78" s="94"/>
      <c r="AY78" s="94"/>
      <c r="AZ78" s="94"/>
      <c r="BA78" s="69">
        <f>'TFA - Folio'!H83</f>
        <v>18782084.560000002</v>
      </c>
      <c r="BB78" s="40">
        <f>'TFA - Folio'!I78</f>
        <v>1</v>
      </c>
      <c r="BC78" s="80">
        <f>'TFA - Folio'!K83</f>
        <v>59212129.229999997</v>
      </c>
      <c r="BD78" s="79">
        <f>'TFA - Folio'!N83</f>
        <v>1</v>
      </c>
      <c r="BE78" s="80"/>
      <c r="BG78" s="69">
        <f>UNC!B41</f>
        <v>135504430.34</v>
      </c>
      <c r="BH78" s="40">
        <f>UNC!C41</f>
        <v>1</v>
      </c>
      <c r="BI78" s="69">
        <f>'Schwab LC'!D38</f>
        <v>3411836.0200000005</v>
      </c>
      <c r="BJ78" s="40">
        <f>'Schwab LC'!E38</f>
        <v>2</v>
      </c>
      <c r="CI78" s="179">
        <f>'NC State'!B11</f>
        <v>6586840.1180000007</v>
      </c>
      <c r="CJ78" s="176">
        <f>'NC State'!C11</f>
        <v>1</v>
      </c>
      <c r="CK78" s="179">
        <f>'Holiday Oil'!G16</f>
        <v>11792819.829999998</v>
      </c>
      <c r="CL78" s="176">
        <f>'Holiday Oil'!H16</f>
        <v>1</v>
      </c>
      <c r="CM78" s="179">
        <f>SCLVX!B39</f>
        <v>37574293.160000004</v>
      </c>
      <c r="CN78" s="176">
        <f>SCLVX!G39</f>
        <v>1</v>
      </c>
      <c r="CO78" s="179">
        <f>Stifel!B52</f>
        <v>4701545.3500000006</v>
      </c>
      <c r="CP78" s="176">
        <f>Stifel!K52</f>
        <v>6</v>
      </c>
      <c r="CQ78" s="179">
        <f>TDA!O68</f>
        <v>873410.61873999797</v>
      </c>
      <c r="CR78" s="176">
        <f>TDA!N68</f>
        <v>57</v>
      </c>
      <c r="CS78" s="179">
        <f>UNC!D41</f>
        <v>37213447.589999996</v>
      </c>
      <c r="CT78" s="176">
        <f>UNC!E41</f>
        <v>1</v>
      </c>
      <c r="CU78" s="179">
        <f>Asbestos!B5</f>
        <v>12157306.199999999</v>
      </c>
      <c r="CV78" s="176">
        <f>Asbestos!C5</f>
        <v>1</v>
      </c>
      <c r="CY78" s="179">
        <f>Cline!B24</f>
        <v>17359232.700000003</v>
      </c>
      <c r="CZ78" s="176">
        <f>Cline!C24</f>
        <v>1</v>
      </c>
    </row>
    <row r="79" spans="1:112">
      <c r="A79" s="38">
        <v>43616</v>
      </c>
      <c r="B79" s="7">
        <f t="shared" si="33"/>
        <v>846840967.30583012</v>
      </c>
      <c r="C79" s="84">
        <f t="shared" si="34"/>
        <v>981</v>
      </c>
      <c r="D79" s="65">
        <f t="shared" si="35"/>
        <v>624973786.99000001</v>
      </c>
      <c r="E79" s="153">
        <f t="shared" si="36"/>
        <v>12</v>
      </c>
      <c r="F79" s="68">
        <f t="shared" si="24"/>
        <v>71787914.480000019</v>
      </c>
      <c r="G79" s="97">
        <f t="shared" si="32"/>
        <v>2</v>
      </c>
      <c r="H79" s="67">
        <f t="shared" si="30"/>
        <v>39250681.479999997</v>
      </c>
      <c r="I79" s="115">
        <f t="shared" si="31"/>
        <v>3</v>
      </c>
      <c r="J79" s="73">
        <f t="shared" si="25"/>
        <v>39102333.705829903</v>
      </c>
      <c r="K79" s="99">
        <f t="shared" si="26"/>
        <v>962</v>
      </c>
      <c r="L79" s="78">
        <f t="shared" si="27"/>
        <v>71726250.650000006</v>
      </c>
      <c r="M79" s="100">
        <f t="shared" si="23"/>
        <v>2</v>
      </c>
      <c r="O79" s="69">
        <f>SILVX!B86</f>
        <v>461099844.62</v>
      </c>
      <c r="P79" s="91">
        <f>SILVX!G86</f>
        <v>1</v>
      </c>
      <c r="Q79" s="70">
        <f>SGLIX!B31</f>
        <v>20700370.749999996</v>
      </c>
      <c r="R79" s="93">
        <f>SGLIX!G31</f>
        <v>1</v>
      </c>
      <c r="S79" s="71"/>
      <c r="T79" s="92"/>
      <c r="U79" s="75"/>
      <c r="V79" s="94"/>
      <c r="W79" s="94"/>
      <c r="X79" s="94"/>
      <c r="Y79" s="69"/>
      <c r="Z79" s="91"/>
      <c r="AA79" s="70"/>
      <c r="AB79" s="93"/>
      <c r="AM79" s="76">
        <f>Schwab!S74</f>
        <v>22165337.293799855</v>
      </c>
      <c r="AN79" s="74">
        <f>Schwab!Q74</f>
        <v>749</v>
      </c>
      <c r="AO79" s="75">
        <f>Fidelity!P79</f>
        <v>15877115.819650047</v>
      </c>
      <c r="AP79" s="94">
        <f>Fidelity!O79</f>
        <v>156</v>
      </c>
      <c r="AQ79" s="94"/>
      <c r="AR79" s="94"/>
      <c r="AS79" s="94"/>
      <c r="AT79" s="94"/>
      <c r="AU79" s="94"/>
      <c r="AV79" s="94"/>
      <c r="AW79" s="94"/>
      <c r="AX79" s="94"/>
      <c r="AY79" s="94"/>
      <c r="AZ79" s="94"/>
      <c r="BA79" s="69">
        <f>'TFA - Folio'!H84</f>
        <v>16091225.440000057</v>
      </c>
      <c r="BB79" s="40">
        <f>'TFA - Folio'!I79</f>
        <v>1</v>
      </c>
      <c r="BC79" s="80">
        <f>'TFA - Folio'!K84</f>
        <v>60278849.32</v>
      </c>
      <c r="BD79" s="79">
        <f>'TFA - Folio'!N84</f>
        <v>1</v>
      </c>
      <c r="BE79" s="80"/>
      <c r="BG79" s="69">
        <f>UNC!B42</f>
        <v>128894347.47999999</v>
      </c>
      <c r="BH79" s="40">
        <f>UNC!C42</f>
        <v>1</v>
      </c>
      <c r="BI79" s="69">
        <f>'Schwab LC'!D39</f>
        <v>3166566.1499999994</v>
      </c>
      <c r="BJ79" s="40">
        <f>'Schwab LC'!E39</f>
        <v>2</v>
      </c>
      <c r="CI79" s="179">
        <f>'NC State'!B12</f>
        <v>6453582.1100000003</v>
      </c>
      <c r="CJ79" s="176">
        <f>'NC State'!C12</f>
        <v>1</v>
      </c>
      <c r="CK79" s="179">
        <f>'Holiday Oil'!G17</f>
        <v>11447401.329999998</v>
      </c>
      <c r="CL79" s="176">
        <f>'Holiday Oil'!H17</f>
        <v>1</v>
      </c>
      <c r="CM79" s="179">
        <f>SCLVX!B40</f>
        <v>36739947.520000003</v>
      </c>
      <c r="CN79" s="176">
        <f>SCLVX!G40</f>
        <v>1</v>
      </c>
      <c r="CO79" s="179">
        <f>Stifel!B53</f>
        <v>4234424.7799999984</v>
      </c>
      <c r="CP79" s="176">
        <f>Stifel!K53</f>
        <v>6</v>
      </c>
      <c r="CQ79" s="179">
        <f>TDA!O69</f>
        <v>1059880.5923800059</v>
      </c>
      <c r="CR79" s="176">
        <f>TDA!N69</f>
        <v>57</v>
      </c>
      <c r="CS79" s="179">
        <f>UNC!D42</f>
        <v>35047966.960000008</v>
      </c>
      <c r="CT79" s="176">
        <f>UNC!E42</f>
        <v>1</v>
      </c>
      <c r="CU79" s="179">
        <f>Asbestos!B6</f>
        <v>11487378.52</v>
      </c>
      <c r="CV79" s="176">
        <f>Asbestos!C6</f>
        <v>1</v>
      </c>
      <c r="CY79" s="179">
        <f>Cline!B25</f>
        <v>12096728.620000003</v>
      </c>
      <c r="CZ79" s="176">
        <f>Cline!C25</f>
        <v>1</v>
      </c>
    </row>
    <row r="80" spans="1:112">
      <c r="A80" s="38">
        <v>43646</v>
      </c>
      <c r="B80" s="7">
        <f t="shared" si="33"/>
        <v>887824445.13039982</v>
      </c>
      <c r="C80" s="84">
        <f t="shared" si="34"/>
        <v>954</v>
      </c>
      <c r="D80" s="65">
        <f t="shared" si="35"/>
        <v>659365309.98000002</v>
      </c>
      <c r="E80" s="153">
        <f t="shared" si="36"/>
        <v>12</v>
      </c>
      <c r="F80" s="68">
        <f t="shared" si="24"/>
        <v>75422345.060000002</v>
      </c>
      <c r="G80" s="97">
        <f t="shared" si="32"/>
        <v>2</v>
      </c>
      <c r="H80" s="67">
        <f t="shared" si="30"/>
        <v>41158271.206</v>
      </c>
      <c r="I80" s="115">
        <f t="shared" si="31"/>
        <v>3</v>
      </c>
      <c r="J80" s="73">
        <f t="shared" si="25"/>
        <v>36998885.444399983</v>
      </c>
      <c r="K80" s="99">
        <f t="shared" si="26"/>
        <v>935</v>
      </c>
      <c r="L80" s="78">
        <f t="shared" si="27"/>
        <v>74879633.439999998</v>
      </c>
      <c r="M80" s="100">
        <f t="shared" si="23"/>
        <v>2</v>
      </c>
      <c r="O80" s="69">
        <f>SILVX!B87</f>
        <v>486318750.49000001</v>
      </c>
      <c r="P80" s="91">
        <f>SILVX!G87</f>
        <v>1</v>
      </c>
      <c r="Q80" s="70">
        <f>SGLIX!B32</f>
        <v>21749593.419999998</v>
      </c>
      <c r="R80" s="93">
        <f>SGLIX!G32</f>
        <v>1</v>
      </c>
      <c r="S80" s="71"/>
      <c r="T80" s="92"/>
      <c r="U80" s="75"/>
      <c r="V80" s="94"/>
      <c r="W80" s="94"/>
      <c r="X80" s="94"/>
      <c r="Y80" s="69"/>
      <c r="Z80" s="91"/>
      <c r="AA80" s="70"/>
      <c r="AB80" s="93"/>
      <c r="AM80" s="76">
        <f>Schwab!S75</f>
        <v>21253276.30339998</v>
      </c>
      <c r="AN80" s="74">
        <f>Schwab!Q75</f>
        <v>729</v>
      </c>
      <c r="AO80" s="75">
        <f>Fidelity!P80</f>
        <v>14727156.546089999</v>
      </c>
      <c r="AP80" s="94">
        <f>Fidelity!O80</f>
        <v>152</v>
      </c>
      <c r="AQ80" s="94"/>
      <c r="AR80" s="94"/>
      <c r="AS80" s="94"/>
      <c r="AT80" s="94"/>
      <c r="AU80" s="94"/>
      <c r="AV80" s="94"/>
      <c r="AW80" s="94"/>
      <c r="AX80" s="94"/>
      <c r="AY80" s="94"/>
      <c r="AZ80" s="94"/>
      <c r="BA80" s="69">
        <f>'TFA - Folio'!H85</f>
        <v>16725711.519999981</v>
      </c>
      <c r="BB80" s="40">
        <f>'TFA - Folio'!I80</f>
        <v>1</v>
      </c>
      <c r="BC80" s="80">
        <f>'TFA - Folio'!K85</f>
        <v>63261334.729999997</v>
      </c>
      <c r="BD80" s="79">
        <f>'TFA - Folio'!N85</f>
        <v>1</v>
      </c>
      <c r="BE80" s="80"/>
      <c r="BG80" s="69">
        <f>UNC!B43</f>
        <v>136357412.25</v>
      </c>
      <c r="BH80" s="40">
        <f>UNC!C43</f>
        <v>1</v>
      </c>
      <c r="BI80" s="69">
        <f>'Schwab LC'!D40</f>
        <v>3347644.13</v>
      </c>
      <c r="BJ80" s="40">
        <f>'Schwab LC'!E40</f>
        <v>2</v>
      </c>
      <c r="CI80" s="179">
        <f>'NC State'!B13</f>
        <v>6750065.845999999</v>
      </c>
      <c r="CJ80" s="176">
        <f>'NC State'!C13</f>
        <v>1</v>
      </c>
      <c r="CK80" s="179">
        <f>'Holiday Oil'!G18</f>
        <v>11618298.710000003</v>
      </c>
      <c r="CL80" s="176">
        <f>'Holiday Oil'!H18</f>
        <v>1</v>
      </c>
      <c r="CM80" s="179">
        <f>SCLVX!B41</f>
        <v>38576422.250000007</v>
      </c>
      <c r="CN80" s="176">
        <f>SCLVX!G41</f>
        <v>1</v>
      </c>
      <c r="CO80" s="179">
        <f>Stifel!B54</f>
        <v>4480957.25</v>
      </c>
      <c r="CP80" s="176">
        <f>Stifel!K54</f>
        <v>6</v>
      </c>
      <c r="CQ80" s="179">
        <f>TDA!O70</f>
        <v>1018452.5949099995</v>
      </c>
      <c r="CR80" s="176">
        <f>TDA!N70</f>
        <v>54</v>
      </c>
      <c r="CS80" s="179">
        <f>UNC!D43</f>
        <v>36845922.810000002</v>
      </c>
      <c r="CT80" s="176">
        <f>UNC!E43</f>
        <v>1</v>
      </c>
      <c r="CU80" s="179">
        <f>Asbestos!B7</f>
        <v>12134834.34</v>
      </c>
      <c r="CV80" s="176">
        <f>Asbestos!C7</f>
        <v>1</v>
      </c>
      <c r="CY80" s="179">
        <f>Cline!B26</f>
        <v>12658611.939999998</v>
      </c>
      <c r="CZ80" s="176">
        <f>Cline!C26</f>
        <v>1</v>
      </c>
    </row>
    <row r="81" spans="1:112">
      <c r="A81" s="38">
        <v>43677</v>
      </c>
      <c r="B81" s="7">
        <f t="shared" si="33"/>
        <v>932615640.20991981</v>
      </c>
      <c r="C81" s="84">
        <f t="shared" si="34"/>
        <v>960</v>
      </c>
      <c r="D81" s="65">
        <f t="shared" si="35"/>
        <v>676612805.91999996</v>
      </c>
      <c r="E81" s="153">
        <f t="shared" si="36"/>
        <v>12</v>
      </c>
      <c r="F81" s="68">
        <f t="shared" si="24"/>
        <v>76825470.364799991</v>
      </c>
      <c r="G81" s="97">
        <f t="shared" si="32"/>
        <v>2</v>
      </c>
      <c r="H81" s="67">
        <f t="shared" si="30"/>
        <v>40943986.724999994</v>
      </c>
      <c r="I81" s="115">
        <f t="shared" si="31"/>
        <v>3</v>
      </c>
      <c r="J81" s="73">
        <f t="shared" si="25"/>
        <v>60616454.470120028</v>
      </c>
      <c r="K81" s="99">
        <f t="shared" si="26"/>
        <v>941</v>
      </c>
      <c r="L81" s="78">
        <f t="shared" si="27"/>
        <v>77616922.730000004</v>
      </c>
      <c r="M81" s="100">
        <f t="shared" si="23"/>
        <v>2</v>
      </c>
      <c r="O81" s="69">
        <f>SILVX!B88</f>
        <v>500175244.32999998</v>
      </c>
      <c r="P81" s="91">
        <f>SILVX!G88</f>
        <v>1</v>
      </c>
      <c r="Q81" s="70">
        <f>SGLIX!B33</f>
        <v>21542734.800000001</v>
      </c>
      <c r="R81" s="93">
        <f>SGLIX!G33</f>
        <v>1</v>
      </c>
      <c r="S81" s="71"/>
      <c r="T81" s="92"/>
      <c r="U81" s="75"/>
      <c r="V81" s="94"/>
      <c r="W81" s="94"/>
      <c r="X81" s="94"/>
      <c r="Y81" s="69"/>
      <c r="Z81" s="91"/>
      <c r="AA81" s="70"/>
      <c r="AB81" s="93"/>
      <c r="AM81" s="76">
        <f>Schwab!S76</f>
        <v>21073180.299800009</v>
      </c>
      <c r="AN81" s="74">
        <f>Schwab!Q76</f>
        <v>735</v>
      </c>
      <c r="AO81" s="75">
        <f>Fidelity!P81</f>
        <v>38682631.482940011</v>
      </c>
      <c r="AP81" s="94">
        <f>Fidelity!O81</f>
        <v>154</v>
      </c>
      <c r="AQ81" s="94"/>
      <c r="AR81" s="94"/>
      <c r="AS81" s="94"/>
      <c r="AT81" s="94"/>
      <c r="AU81" s="94"/>
      <c r="AV81" s="94"/>
      <c r="AW81" s="94"/>
      <c r="AX81" s="94"/>
      <c r="AY81" s="94"/>
      <c r="AZ81" s="94"/>
      <c r="BA81" s="69">
        <f>'TFA - Folio'!H86</f>
        <v>16918633.079999983</v>
      </c>
      <c r="BB81" s="40">
        <f>'TFA - Folio'!I81</f>
        <v>1</v>
      </c>
      <c r="BC81" s="80">
        <f>'TFA - Folio'!K86</f>
        <v>65965401.030000001</v>
      </c>
      <c r="BD81" s="79">
        <f>'TFA - Folio'!N86</f>
        <v>1</v>
      </c>
      <c r="BE81" s="80"/>
      <c r="BG81" s="69">
        <f>UNC!B44</f>
        <v>139180415.34</v>
      </c>
      <c r="BH81" s="40">
        <f>UNC!C44</f>
        <v>1</v>
      </c>
      <c r="BI81" s="69">
        <f>'Schwab LC'!D41</f>
        <v>3407991.4900000007</v>
      </c>
      <c r="BJ81" s="40">
        <f>'Schwab LC'!E41</f>
        <v>2</v>
      </c>
      <c r="CI81" s="179">
        <f>'NC State'!B14</f>
        <v>6744852.6449999996</v>
      </c>
      <c r="CJ81" s="176">
        <f>'NC State'!C14</f>
        <v>1</v>
      </c>
      <c r="CK81" s="179">
        <f>'Holiday Oil'!G19</f>
        <v>11651521.700000001</v>
      </c>
      <c r="CL81" s="176">
        <f>'Holiday Oil'!H19</f>
        <v>1</v>
      </c>
      <c r="CM81" s="179">
        <f>SCLVX!B42</f>
        <v>39239673.284799993</v>
      </c>
      <c r="CN81" s="176">
        <f>SCLVX!G42</f>
        <v>1</v>
      </c>
      <c r="CO81" s="179">
        <f>Stifel!B55</f>
        <v>4571394.4000000004</v>
      </c>
      <c r="CP81" s="176">
        <f>Stifel!K55</f>
        <v>6</v>
      </c>
      <c r="CQ81" s="179">
        <f>TDA!O71</f>
        <v>860642.68738000374</v>
      </c>
      <c r="CR81" s="176">
        <f>TDA!N71</f>
        <v>52</v>
      </c>
      <c r="CS81" s="179">
        <f>UNC!D44</f>
        <v>37585797.079999998</v>
      </c>
      <c r="CT81" s="176">
        <f>UNC!E44</f>
        <v>1</v>
      </c>
      <c r="CU81" s="179">
        <f>Asbestos!B8</f>
        <v>12359127.279999999</v>
      </c>
      <c r="CV81" s="176">
        <f>Asbestos!C8</f>
        <v>1</v>
      </c>
      <c r="CY81" s="179">
        <f>Cline!B27</f>
        <v>12656399.279999999</v>
      </c>
      <c r="CZ81" s="176">
        <f>Cline!C27</f>
        <v>1</v>
      </c>
    </row>
    <row r="82" spans="1:112">
      <c r="A82" s="38">
        <v>43708</v>
      </c>
      <c r="B82" s="7">
        <f t="shared" si="33"/>
        <v>948098839.39498949</v>
      </c>
      <c r="C82" s="84">
        <f t="shared" si="34"/>
        <v>980</v>
      </c>
      <c r="D82" s="65">
        <f t="shared" si="35"/>
        <v>689776772.14999998</v>
      </c>
      <c r="E82" s="153">
        <f t="shared" si="36"/>
        <v>12</v>
      </c>
      <c r="F82" s="68">
        <f t="shared" si="24"/>
        <v>73694318.719999999</v>
      </c>
      <c r="G82" s="97">
        <f t="shared" si="32"/>
        <v>2</v>
      </c>
      <c r="H82" s="67">
        <f t="shared" si="30"/>
        <v>40943561.430000007</v>
      </c>
      <c r="I82" s="115">
        <f t="shared" si="31"/>
        <v>3</v>
      </c>
      <c r="J82" s="73">
        <f t="shared" si="25"/>
        <v>63196958.334989801</v>
      </c>
      <c r="K82" s="99">
        <f t="shared" si="26"/>
        <v>961</v>
      </c>
      <c r="L82" s="78">
        <f t="shared" si="27"/>
        <v>80487228.75999999</v>
      </c>
      <c r="M82" s="100">
        <f t="shared" si="23"/>
        <v>2</v>
      </c>
      <c r="O82" s="69">
        <f>SILVX!B89</f>
        <v>511795106.71000004</v>
      </c>
      <c r="P82" s="91">
        <f>SILVX!G89</f>
        <v>1</v>
      </c>
      <c r="Q82" s="70">
        <f>SGLIX!B34</f>
        <v>21489263.040000003</v>
      </c>
      <c r="R82" s="93">
        <f>SGLIX!G34</f>
        <v>1</v>
      </c>
      <c r="S82" s="71"/>
      <c r="T82" s="92"/>
      <c r="U82" s="75"/>
      <c r="V82" s="94"/>
      <c r="W82" s="94"/>
      <c r="X82" s="94"/>
      <c r="Y82" s="69"/>
      <c r="Z82" s="91"/>
      <c r="AA82" s="70"/>
      <c r="AB82" s="93"/>
      <c r="AM82" s="76">
        <f>Schwab!S77</f>
        <v>23353200.421799809</v>
      </c>
      <c r="AN82" s="74">
        <f>Schwab!Q77</f>
        <v>748</v>
      </c>
      <c r="AO82" s="75">
        <f>Fidelity!P82</f>
        <v>38989742.138489991</v>
      </c>
      <c r="AP82" s="94">
        <f>Fidelity!O82</f>
        <v>161</v>
      </c>
      <c r="AQ82" s="94"/>
      <c r="AR82" s="94"/>
      <c r="AS82" s="94"/>
      <c r="AT82" s="94"/>
      <c r="AU82" s="94"/>
      <c r="AV82" s="94"/>
      <c r="AW82" s="94"/>
      <c r="AX82" s="94"/>
      <c r="AY82" s="94"/>
      <c r="AZ82" s="94"/>
      <c r="BA82" s="69">
        <f>'TFA - Folio'!H87</f>
        <v>17063079.680000007</v>
      </c>
      <c r="BB82" s="40">
        <f>'TFA - Folio'!I82</f>
        <v>1</v>
      </c>
      <c r="BC82" s="80">
        <f>'TFA - Folio'!K87</f>
        <v>68634145.709999993</v>
      </c>
      <c r="BD82" s="79">
        <f>'TFA - Folio'!N87</f>
        <v>1</v>
      </c>
      <c r="BE82" s="80"/>
      <c r="BG82" s="69">
        <f>UNC!B45</f>
        <v>140436604.28999999</v>
      </c>
      <c r="BH82" s="40">
        <f>UNC!C45</f>
        <v>1</v>
      </c>
      <c r="BI82" s="69">
        <f>'Schwab LC'!D42</f>
        <v>3431164.6800000006</v>
      </c>
      <c r="BJ82" s="40">
        <f>'Schwab LC'!E42</f>
        <v>2</v>
      </c>
      <c r="CI82" s="179">
        <f>'NC State'!B15</f>
        <v>6763276.2900000028</v>
      </c>
      <c r="CJ82" s="176">
        <f>'NC State'!C15</f>
        <v>1</v>
      </c>
      <c r="CK82" s="179">
        <f>'Holiday Oil'!G20</f>
        <v>11853083.050000003</v>
      </c>
      <c r="CL82" s="176">
        <f>'Holiday Oil'!H20</f>
        <v>1</v>
      </c>
      <c r="CM82" s="179">
        <f>SCLVX!B43</f>
        <v>37375528.920000002</v>
      </c>
      <c r="CN82" s="176">
        <f>SCLVX!G43</f>
        <v>1</v>
      </c>
      <c r="CO82" s="179">
        <f>Stifel!B56</f>
        <v>4608199.92</v>
      </c>
      <c r="CP82" s="176">
        <f>Stifel!K56</f>
        <v>6</v>
      </c>
      <c r="CQ82" s="179">
        <f>TDA!O72</f>
        <v>854015.77470000181</v>
      </c>
      <c r="CR82" s="176">
        <f>TDA!N72</f>
        <v>52</v>
      </c>
      <c r="CS82" s="179">
        <f>UNC!D45</f>
        <v>36318789.799999997</v>
      </c>
      <c r="CT82" s="176">
        <f>UNC!E45</f>
        <v>1</v>
      </c>
      <c r="CU82" s="179">
        <f>Asbestos!B9</f>
        <v>12442616.870000001</v>
      </c>
      <c r="CV82" s="176">
        <f>Asbestos!C9</f>
        <v>1</v>
      </c>
      <c r="CY82" s="179">
        <f>Cline!B28</f>
        <v>12691022.100000001</v>
      </c>
      <c r="CZ82" s="176">
        <f>Cline!C28</f>
        <v>1</v>
      </c>
    </row>
    <row r="83" spans="1:112">
      <c r="A83" s="38">
        <v>43738</v>
      </c>
      <c r="B83" s="7">
        <f t="shared" ref="B83:B91" si="37">O83+CM83+Q83+AM83+CQ83+AO83+DA83+BA83+BC83+CO83+BG83+CS83+BI83+CY83+CK83+CI83+DC83+DE83+CU83+CW83</f>
        <v>1042218758.3062299</v>
      </c>
      <c r="C83" s="84">
        <f t="shared" ref="C83:C91" si="38">P83+CN83+R83+AN83+CR83+AP83+DB83+BB83+BD83+CP83+BH83+CT83+BJ83+CZ83+CL83+DD83+DF83+CJ83+CV83+CX83</f>
        <v>1049</v>
      </c>
      <c r="D83" s="65">
        <f t="shared" si="35"/>
        <v>705563745.125</v>
      </c>
      <c r="E83" s="153">
        <f t="shared" si="36"/>
        <v>12</v>
      </c>
      <c r="F83" s="68">
        <f t="shared" si="24"/>
        <v>78721512.799999997</v>
      </c>
      <c r="G83" s="97">
        <f t="shared" si="32"/>
        <v>2</v>
      </c>
      <c r="H83" s="67">
        <f t="shared" si="30"/>
        <v>40813560.079999998</v>
      </c>
      <c r="I83" s="115">
        <f t="shared" si="31"/>
        <v>3</v>
      </c>
      <c r="J83" s="73">
        <f t="shared" si="25"/>
        <v>67224584.001230091</v>
      </c>
      <c r="K83" s="99">
        <f t="shared" si="26"/>
        <v>1027</v>
      </c>
      <c r="L83" s="78">
        <f t="shared" ref="L83:L97" si="39">BC83+CK83+DE83+CW83</f>
        <v>149895356.30000001</v>
      </c>
      <c r="M83" s="157">
        <f t="shared" ref="M83:M97" si="40">BD83+CL83+DF83+CX83</f>
        <v>5</v>
      </c>
      <c r="O83" s="69">
        <f>SILVX!B90</f>
        <v>526109049.99000001</v>
      </c>
      <c r="P83" s="91">
        <f>SILVX!G90</f>
        <v>1</v>
      </c>
      <c r="Q83" s="70">
        <f>SGLIX!B35</f>
        <v>21045555.34</v>
      </c>
      <c r="R83" s="93">
        <f>SGLIX!G35</f>
        <v>1</v>
      </c>
      <c r="S83" s="71"/>
      <c r="T83" s="92"/>
      <c r="U83" s="75"/>
      <c r="V83" s="94"/>
      <c r="W83" s="94"/>
      <c r="X83" s="94"/>
      <c r="Y83" s="69"/>
      <c r="Z83" s="91"/>
      <c r="AA83" s="70"/>
      <c r="AB83" s="93"/>
      <c r="AC83" s="80"/>
      <c r="AD83" s="156"/>
      <c r="AE83" s="156"/>
      <c r="AF83" s="156"/>
      <c r="AG83" s="156"/>
      <c r="AH83" s="156"/>
      <c r="AI83" s="80"/>
      <c r="AJ83" s="156"/>
      <c r="AK83" s="156"/>
      <c r="AL83" s="156"/>
      <c r="AM83" s="76">
        <f>Schwab!S78</f>
        <v>25030946.794200093</v>
      </c>
      <c r="AN83" s="74">
        <f>Schwab!Q78</f>
        <v>806</v>
      </c>
      <c r="AO83" s="75">
        <f>Fidelity!P83</f>
        <v>41252044.931950003</v>
      </c>
      <c r="AP83" s="94">
        <f>Fidelity!O83</f>
        <v>164</v>
      </c>
      <c r="AQ83" s="94"/>
      <c r="AR83" s="94"/>
      <c r="AS83" s="94"/>
      <c r="AT83" s="94"/>
      <c r="AU83" s="94"/>
      <c r="AV83" s="94"/>
      <c r="AW83" s="94"/>
      <c r="AX83" s="94"/>
      <c r="AY83" s="94"/>
      <c r="AZ83" s="94"/>
      <c r="BA83" s="69">
        <f>'TFA - Folio'!H88</f>
        <v>16872097.5</v>
      </c>
      <c r="BB83" s="40">
        <f>'TFA - Folio'!I83</f>
        <v>1</v>
      </c>
      <c r="BC83" s="80">
        <f>'TFA - Folio'!K88</f>
        <v>68719196.189999998</v>
      </c>
      <c r="BD83" s="79">
        <f>'TFA - Folio'!N88</f>
        <v>1</v>
      </c>
      <c r="BE83" s="80"/>
      <c r="BG83" s="69">
        <f>UNC!B46</f>
        <v>141944468.33999997</v>
      </c>
      <c r="BH83" s="40">
        <f>UNC!C46</f>
        <v>1</v>
      </c>
      <c r="BI83" s="69">
        <f>'Schwab LC'!D43</f>
        <v>3464208.4649999999</v>
      </c>
      <c r="BJ83" s="40">
        <f>'Schwab LC'!E43</f>
        <v>2</v>
      </c>
      <c r="CI83" s="179">
        <f>'NC State'!B16</f>
        <v>6872756.0400000019</v>
      </c>
      <c r="CJ83" s="176">
        <f>'NC State'!C16</f>
        <v>1</v>
      </c>
      <c r="CK83" s="179">
        <f>'Holiday Oil'!G21</f>
        <v>11802342.359999999</v>
      </c>
      <c r="CL83" s="176">
        <f>'Holiday Oil'!H21</f>
        <v>1</v>
      </c>
      <c r="CM83" s="179">
        <f>SCLVX!B44</f>
        <v>40887730.059999995</v>
      </c>
      <c r="CN83" s="176">
        <f>SCLVX!G44</f>
        <v>1</v>
      </c>
      <c r="CO83" s="179">
        <f>Stifel!B57</f>
        <v>4657985.2200000016</v>
      </c>
      <c r="CP83" s="176">
        <f>Stifel!K57</f>
        <v>6</v>
      </c>
      <c r="CQ83" s="179">
        <f>TDA!O73</f>
        <v>941592.27508000005</v>
      </c>
      <c r="CR83" s="176">
        <f>TDA!N73</f>
        <v>57</v>
      </c>
      <c r="CS83" s="179">
        <f>UNC!D46</f>
        <v>37833782.740000002</v>
      </c>
      <c r="CT83" s="176">
        <f>UNC!E46</f>
        <v>1</v>
      </c>
      <c r="CU83" s="179">
        <f>Asbestos!B10</f>
        <v>12515935.609999999</v>
      </c>
      <c r="CV83" s="176">
        <f>Asbestos!C10</f>
        <v>1</v>
      </c>
      <c r="CW83" s="179">
        <f>TUG!H2</f>
        <v>69373817.75</v>
      </c>
      <c r="CX83" s="182">
        <f>TUG!I2</f>
        <v>3</v>
      </c>
      <c r="CY83" s="179">
        <f>Cline!B29</f>
        <v>12895248.699999999</v>
      </c>
      <c r="CZ83" s="176">
        <f>Cline!C29</f>
        <v>1</v>
      </c>
    </row>
    <row r="84" spans="1:112">
      <c r="A84" s="38">
        <v>43769</v>
      </c>
      <c r="B84" s="7">
        <f t="shared" si="37"/>
        <v>1064549852.9827901</v>
      </c>
      <c r="C84" s="84">
        <f t="shared" si="38"/>
        <v>1093</v>
      </c>
      <c r="D84" s="65">
        <f t="shared" si="35"/>
        <v>714189302.23000002</v>
      </c>
      <c r="E84" s="153">
        <f t="shared" si="36"/>
        <v>12</v>
      </c>
      <c r="F84" s="68">
        <f t="shared" si="24"/>
        <v>81135789.569999993</v>
      </c>
      <c r="G84" s="97">
        <f t="shared" si="32"/>
        <v>2</v>
      </c>
      <c r="H84" s="67">
        <f t="shared" si="30"/>
        <v>43829674.370000005</v>
      </c>
      <c r="I84" s="115">
        <f t="shared" si="31"/>
        <v>3</v>
      </c>
      <c r="J84" s="73">
        <f t="shared" si="25"/>
        <v>69559117.68279022</v>
      </c>
      <c r="K84" s="99">
        <f t="shared" si="26"/>
        <v>1073</v>
      </c>
      <c r="L84" s="78">
        <f t="shared" si="39"/>
        <v>155835969.13</v>
      </c>
      <c r="M84" s="157">
        <f t="shared" si="40"/>
        <v>3</v>
      </c>
      <c r="O84" s="69">
        <f>SILVX!B91</f>
        <v>535107171.31999999</v>
      </c>
      <c r="P84" s="91">
        <f>SILVX!G91</f>
        <v>1</v>
      </c>
      <c r="Q84" s="70">
        <f>SGLIX!B36</f>
        <v>27554962.840000004</v>
      </c>
      <c r="R84" s="93">
        <f>SGLIX!G36</f>
        <v>1</v>
      </c>
      <c r="S84" s="71"/>
      <c r="T84" s="92"/>
      <c r="U84" s="75"/>
      <c r="V84" s="94"/>
      <c r="W84" s="94"/>
      <c r="X84" s="94"/>
      <c r="Y84" s="69"/>
      <c r="Z84" s="91"/>
      <c r="AA84" s="70"/>
      <c r="AB84" s="93"/>
      <c r="AC84" s="80"/>
      <c r="AD84" s="156"/>
      <c r="AE84" s="156"/>
      <c r="AF84" s="156"/>
      <c r="AG84" s="156"/>
      <c r="AH84" s="156"/>
      <c r="AI84" s="80"/>
      <c r="AJ84" s="156"/>
      <c r="AK84" s="156"/>
      <c r="AL84" s="156"/>
      <c r="AM84" s="76">
        <f>Schwab!S79</f>
        <v>27192977.860600263</v>
      </c>
      <c r="AN84" s="74">
        <f>Schwab!Q79</f>
        <v>841</v>
      </c>
      <c r="AO84" s="75">
        <f>Fidelity!P84</f>
        <v>41237266.198529959</v>
      </c>
      <c r="AP84" s="94">
        <f>Fidelity!O84</f>
        <v>168</v>
      </c>
      <c r="AQ84" s="94"/>
      <c r="AR84" s="94"/>
      <c r="AS84" s="94"/>
      <c r="AT84" s="94"/>
      <c r="AU84" s="94"/>
      <c r="AV84" s="94"/>
      <c r="AW84" s="94"/>
      <c r="AX84" s="94"/>
      <c r="AY84" s="94"/>
      <c r="AZ84" s="94"/>
      <c r="BA84" s="69">
        <f>'TFA - Folio'!H89</f>
        <v>16953279.629999995</v>
      </c>
      <c r="BB84" s="40">
        <f>'TFA - Folio'!I84</f>
        <v>1</v>
      </c>
      <c r="BC84" s="80">
        <f>'TFA - Folio'!K89</f>
        <v>74695459.290000007</v>
      </c>
      <c r="BD84" s="79">
        <f>'TFA - Folio'!N89</f>
        <v>1</v>
      </c>
      <c r="BE84" s="80"/>
      <c r="BG84" s="69">
        <f>UNC!B47</f>
        <v>141483860.78</v>
      </c>
      <c r="BH84" s="40">
        <f>UNC!C47</f>
        <v>1</v>
      </c>
      <c r="BI84" s="69">
        <f>'Schwab LC'!D44</f>
        <v>3440045.99</v>
      </c>
      <c r="BJ84" s="40">
        <f>'Schwab LC'!E44</f>
        <v>2</v>
      </c>
      <c r="CI84" s="179">
        <f>'NC State'!B17</f>
        <v>6869168.2299999986</v>
      </c>
      <c r="CJ84" s="176">
        <f>'NC State'!C17</f>
        <v>1</v>
      </c>
      <c r="CK84" s="179">
        <f>'Holiday Oil'!G22</f>
        <v>22361903.710000001</v>
      </c>
      <c r="CL84" s="176">
        <f>'Holiday Oil'!H22</f>
        <v>1</v>
      </c>
      <c r="CM84" s="179">
        <f>SCLVX!B45</f>
        <v>42644166.770000003</v>
      </c>
      <c r="CN84" s="176">
        <f>SCLVX!G45</f>
        <v>1</v>
      </c>
      <c r="CO84" s="179">
        <f>Stifel!B58</f>
        <v>4732255.2700000005</v>
      </c>
      <c r="CP84" s="176">
        <f>Stifel!K58</f>
        <v>6</v>
      </c>
      <c r="CQ84" s="179">
        <f>TDA!O74</f>
        <v>1128873.623660001</v>
      </c>
      <c r="CR84" s="176">
        <f>TDA!N74</f>
        <v>64</v>
      </c>
      <c r="CS84" s="179">
        <f>UNC!D47</f>
        <v>38491622.799999997</v>
      </c>
      <c r="CT84" s="176">
        <f>UNC!E47</f>
        <v>1</v>
      </c>
      <c r="CU84" s="179">
        <f>Asbestos!B11</f>
        <v>12472689.24</v>
      </c>
      <c r="CV84" s="176">
        <f>Asbestos!C11</f>
        <v>1</v>
      </c>
      <c r="CW84" s="179">
        <f>TUG!H3</f>
        <v>58778606.129999995</v>
      </c>
      <c r="CX84" s="182">
        <f>TUG!I3</f>
        <v>1</v>
      </c>
      <c r="CY84" s="179">
        <f>Cline!B30</f>
        <v>9405543.3000000026</v>
      </c>
      <c r="CZ84" s="176">
        <f>Cline!C30</f>
        <v>1</v>
      </c>
    </row>
    <row r="85" spans="1:112">
      <c r="A85" s="38">
        <v>43799</v>
      </c>
      <c r="B85" s="7">
        <f t="shared" si="37"/>
        <v>1096175851.4160602</v>
      </c>
      <c r="C85" s="84">
        <f t="shared" si="38"/>
        <v>1142</v>
      </c>
      <c r="D85" s="65">
        <f t="shared" si="35"/>
        <v>738462249.02000022</v>
      </c>
      <c r="E85" s="153">
        <f t="shared" si="36"/>
        <v>12</v>
      </c>
      <c r="F85" s="68">
        <f t="shared" si="24"/>
        <v>84051746.430000007</v>
      </c>
      <c r="G85" s="97">
        <f t="shared" si="32"/>
        <v>2</v>
      </c>
      <c r="H85" s="67">
        <f t="shared" si="30"/>
        <v>41325659.82</v>
      </c>
      <c r="I85" s="115">
        <f t="shared" si="31"/>
        <v>3</v>
      </c>
      <c r="J85" s="73">
        <f t="shared" si="25"/>
        <v>70095541.816060066</v>
      </c>
      <c r="K85" s="99">
        <f t="shared" si="26"/>
        <v>1122</v>
      </c>
      <c r="L85" s="78">
        <f t="shared" si="39"/>
        <v>162240654.33000001</v>
      </c>
      <c r="M85" s="157">
        <f t="shared" si="40"/>
        <v>3</v>
      </c>
      <c r="O85" s="69">
        <f>SILVX!B92</f>
        <v>554270173.31000006</v>
      </c>
      <c r="P85" s="91">
        <f>SILVX!G92</f>
        <v>1</v>
      </c>
      <c r="Q85" s="70">
        <f>SGLIX!B37</f>
        <v>28342017.02</v>
      </c>
      <c r="R85" s="93">
        <f>SGLIX!G37</f>
        <v>1</v>
      </c>
      <c r="S85" s="71"/>
      <c r="T85" s="92"/>
      <c r="U85" s="75"/>
      <c r="V85" s="94"/>
      <c r="W85" s="94"/>
      <c r="X85" s="94"/>
      <c r="Y85" s="69"/>
      <c r="Z85" s="91"/>
      <c r="AA85" s="70"/>
      <c r="AB85" s="93"/>
      <c r="AC85" s="80"/>
      <c r="AD85" s="156"/>
      <c r="AE85" s="156"/>
      <c r="AF85" s="156"/>
      <c r="AG85" s="156"/>
      <c r="AH85" s="156"/>
      <c r="AI85" s="80"/>
      <c r="AJ85" s="156"/>
      <c r="AK85" s="156"/>
      <c r="AL85" s="156"/>
      <c r="AM85" s="76">
        <f>Schwab!S80</f>
        <v>26990292.998400167</v>
      </c>
      <c r="AN85" s="74">
        <f>Schwab!Q80</f>
        <v>878</v>
      </c>
      <c r="AO85" s="75">
        <f>Fidelity!P85</f>
        <v>41691527.83532989</v>
      </c>
      <c r="AP85" s="94">
        <f>Fidelity!O85</f>
        <v>170</v>
      </c>
      <c r="AQ85" s="94"/>
      <c r="AR85" s="94"/>
      <c r="AS85" s="94"/>
      <c r="AT85" s="94"/>
      <c r="AU85" s="94"/>
      <c r="AV85" s="94"/>
      <c r="AW85" s="94"/>
      <c r="AX85" s="94"/>
      <c r="AY85" s="94"/>
      <c r="AZ85" s="94"/>
      <c r="BA85" s="69">
        <f>'TFA - Folio'!H90</f>
        <v>19090410.610000014</v>
      </c>
      <c r="BB85" s="40">
        <f>'TFA - Folio'!I85</f>
        <v>1</v>
      </c>
      <c r="BC85" s="80">
        <f>'TFA - Folio'!K90</f>
        <v>76147906.460000008</v>
      </c>
      <c r="BD85" s="79">
        <f>'TFA - Folio'!N90</f>
        <v>1</v>
      </c>
      <c r="BE85" s="80"/>
      <c r="BG85" s="69">
        <f>UNC!B48</f>
        <v>144123331</v>
      </c>
      <c r="BH85" s="40">
        <f>UNC!C48</f>
        <v>1</v>
      </c>
      <c r="BI85" s="69">
        <f>'Schwab LC'!D45</f>
        <v>3504327.1900000004</v>
      </c>
      <c r="BJ85" s="40">
        <f>'Schwab LC'!E45</f>
        <v>2</v>
      </c>
      <c r="CI85" s="179">
        <f>'NC State'!B18</f>
        <v>6977337.3999999994</v>
      </c>
      <c r="CJ85" s="176">
        <f>'NC State'!C18</f>
        <v>1</v>
      </c>
      <c r="CK85" s="179">
        <f>'Holiday Oil'!G23</f>
        <v>22354284.560000002</v>
      </c>
      <c r="CL85" s="176">
        <f>'Holiday Oil'!H23</f>
        <v>1</v>
      </c>
      <c r="CM85" s="179">
        <f>SCLVX!B46</f>
        <v>45117689.009999998</v>
      </c>
      <c r="CN85" s="176">
        <f>SCLVX!G46</f>
        <v>1</v>
      </c>
      <c r="CO85" s="179">
        <f>Stifel!B59</f>
        <v>4826188.1900000004</v>
      </c>
      <c r="CP85" s="176">
        <f>Stifel!K59</f>
        <v>6</v>
      </c>
      <c r="CQ85" s="179">
        <f>TDA!O75</f>
        <v>1413720.9823300019</v>
      </c>
      <c r="CR85" s="176">
        <f>TDA!N75</f>
        <v>74</v>
      </c>
      <c r="CS85" s="179">
        <f>UNC!D48</f>
        <v>38934057.420000002</v>
      </c>
      <c r="CT85" s="176">
        <f>UNC!E48</f>
        <v>1</v>
      </c>
      <c r="CU85" s="179">
        <f>Asbestos!B12</f>
        <v>12647818.719999999</v>
      </c>
      <c r="CV85" s="176">
        <f>Asbestos!C12</f>
        <v>1</v>
      </c>
      <c r="CW85" s="179">
        <f>TUG!H4</f>
        <v>63738463.309999995</v>
      </c>
      <c r="CX85" s="182">
        <f>TUG!I4</f>
        <v>1</v>
      </c>
      <c r="CY85" s="179">
        <f>Cline!B31</f>
        <v>6006305.3999999994</v>
      </c>
      <c r="CZ85" s="176">
        <f>Cline!C31</f>
        <v>1</v>
      </c>
    </row>
    <row r="86" spans="1:112" s="140" customFormat="1">
      <c r="A86" s="116">
        <v>43830</v>
      </c>
      <c r="B86" s="117">
        <f t="shared" si="37"/>
        <v>1119617578.3415198</v>
      </c>
      <c r="C86" s="118">
        <f t="shared" si="38"/>
        <v>1203</v>
      </c>
      <c r="D86" s="119">
        <f t="shared" si="35"/>
        <v>755593101.53999984</v>
      </c>
      <c r="E86" s="154">
        <f t="shared" si="36"/>
        <v>12</v>
      </c>
      <c r="F86" s="121">
        <f t="shared" si="24"/>
        <v>86992366.080000013</v>
      </c>
      <c r="G86" s="122">
        <f t="shared" si="32"/>
        <v>2</v>
      </c>
      <c r="H86" s="123">
        <f t="shared" si="30"/>
        <v>40901534.920000002</v>
      </c>
      <c r="I86" s="149">
        <f t="shared" si="31"/>
        <v>3</v>
      </c>
      <c r="J86" s="125">
        <f t="shared" si="25"/>
        <v>67210887.811519891</v>
      </c>
      <c r="K86" s="126">
        <f t="shared" si="26"/>
        <v>1183</v>
      </c>
      <c r="L86" s="127">
        <f t="shared" si="39"/>
        <v>168919687.99000001</v>
      </c>
      <c r="M86" s="128">
        <f t="shared" si="40"/>
        <v>3</v>
      </c>
      <c r="N86" s="83"/>
      <c r="O86" s="129">
        <f>SILVX!B93</f>
        <v>567811423.56999993</v>
      </c>
      <c r="P86" s="130">
        <f>SILVX!G93</f>
        <v>1</v>
      </c>
      <c r="Q86" s="147">
        <f>SGLIX!B38</f>
        <v>28649715.059999995</v>
      </c>
      <c r="R86" s="148">
        <f>SGLIX!G38</f>
        <v>1</v>
      </c>
      <c r="S86" s="142"/>
      <c r="T86" s="132"/>
      <c r="U86" s="135"/>
      <c r="V86" s="136"/>
      <c r="W86" s="136"/>
      <c r="X86" s="136"/>
      <c r="Y86" s="129"/>
      <c r="Z86" s="130"/>
      <c r="AA86" s="147"/>
      <c r="AB86" s="148"/>
      <c r="AC86" s="138"/>
      <c r="AD86" s="139"/>
      <c r="AE86" s="139"/>
      <c r="AF86" s="139"/>
      <c r="AG86" s="139"/>
      <c r="AH86" s="139"/>
      <c r="AI86" s="138"/>
      <c r="AJ86" s="139"/>
      <c r="AK86" s="139"/>
      <c r="AL86" s="139"/>
      <c r="AM86" s="141">
        <f>Schwab!S81</f>
        <v>28724863.014699936</v>
      </c>
      <c r="AN86" s="134">
        <f>Schwab!Q81</f>
        <v>934</v>
      </c>
      <c r="AO86" s="135">
        <f>Fidelity!P86</f>
        <v>37049126.456099965</v>
      </c>
      <c r="AP86" s="136">
        <f>Fidelity!O86</f>
        <v>174</v>
      </c>
      <c r="AQ86" s="136"/>
      <c r="AR86" s="136"/>
      <c r="AS86" s="136"/>
      <c r="AT86" s="136"/>
      <c r="AU86" s="136"/>
      <c r="AV86" s="136"/>
      <c r="AW86" s="136"/>
      <c r="AX86" s="136"/>
      <c r="AY86" s="136"/>
      <c r="AZ86" s="136"/>
      <c r="BA86" s="129">
        <f>'TFA - Folio'!H91</f>
        <v>19512538</v>
      </c>
      <c r="BB86" s="137">
        <f>'TFA - Folio'!I86</f>
        <v>1</v>
      </c>
      <c r="BC86" s="138">
        <f>'TFA - Folio'!K91</f>
        <v>78046980.089999989</v>
      </c>
      <c r="BD86" s="139">
        <f>'TFA - Folio'!N91</f>
        <v>1</v>
      </c>
      <c r="BE86" s="138"/>
      <c r="BF86" s="139"/>
      <c r="BG86" s="129">
        <f>UNC!B49</f>
        <v>147040048.00999999</v>
      </c>
      <c r="BH86" s="137">
        <f>UNC!C49</f>
        <v>1</v>
      </c>
      <c r="BI86" s="129">
        <f>'Schwab LC'!D46</f>
        <v>3566598.77</v>
      </c>
      <c r="BJ86" s="137">
        <f>'Schwab LC'!E46</f>
        <v>2</v>
      </c>
      <c r="BK86" s="198"/>
      <c r="BL86" s="198"/>
      <c r="BM86" s="198"/>
      <c r="BN86" s="198"/>
      <c r="BO86" s="198"/>
      <c r="BP86" s="198"/>
      <c r="BQ86" s="198"/>
      <c r="BR86" s="198"/>
      <c r="BS86" s="198"/>
      <c r="BT86" s="198"/>
      <c r="BU86" s="198"/>
      <c r="BV86" s="198"/>
      <c r="BW86" s="198"/>
      <c r="BX86" s="198"/>
      <c r="BY86" s="198"/>
      <c r="BZ86" s="198"/>
      <c r="CA86" s="198"/>
      <c r="CB86" s="198"/>
      <c r="CC86" s="198"/>
      <c r="CD86" s="198"/>
      <c r="CE86" s="198"/>
      <c r="CF86" s="198"/>
      <c r="CG86" s="198"/>
      <c r="CH86" s="198"/>
      <c r="CI86" s="180">
        <f>'NC State'!B19</f>
        <v>7132270.3399999999</v>
      </c>
      <c r="CJ86" s="174">
        <f>'NC State'!C19</f>
        <v>1</v>
      </c>
      <c r="CK86" s="180">
        <f>'Holiday Oil'!G24</f>
        <v>22416654.310000002</v>
      </c>
      <c r="CL86" s="174">
        <f>'Holiday Oil'!H24</f>
        <v>1</v>
      </c>
      <c r="CM86" s="180">
        <f>SCLVX!B47</f>
        <v>47470285.57</v>
      </c>
      <c r="CN86" s="174">
        <f>SCLVX!G47</f>
        <v>1</v>
      </c>
      <c r="CO86" s="180">
        <f>Stifel!B60</f>
        <v>4923053.5400000019</v>
      </c>
      <c r="CP86" s="174">
        <f>Stifel!K60</f>
        <v>6</v>
      </c>
      <c r="CQ86" s="180">
        <f>TDA!O76</f>
        <v>1436898.3407199979</v>
      </c>
      <c r="CR86" s="174">
        <f>TDA!N76</f>
        <v>75</v>
      </c>
      <c r="CS86" s="180">
        <f>UNC!D49</f>
        <v>39522080.510000005</v>
      </c>
      <c r="CT86" s="174">
        <f>UNC!E49</f>
        <v>1</v>
      </c>
      <c r="CU86" s="180">
        <f>Asbestos!B13</f>
        <v>12739439.65</v>
      </c>
      <c r="CV86" s="174">
        <f>Asbestos!C13</f>
        <v>1</v>
      </c>
      <c r="CW86" s="180">
        <f>TUG!H5</f>
        <v>68456053.590000004</v>
      </c>
      <c r="CX86" s="174">
        <f>TUG!I5</f>
        <v>1</v>
      </c>
      <c r="CY86" s="180">
        <f>Cline!B32</f>
        <v>5119549.5199999996</v>
      </c>
      <c r="CZ86" s="174">
        <f>Cline!C32</f>
        <v>1</v>
      </c>
      <c r="DA86" s="174"/>
      <c r="DB86" s="174"/>
      <c r="DC86" s="174"/>
      <c r="DD86" s="174"/>
      <c r="DE86" s="174"/>
      <c r="DF86" s="174"/>
      <c r="DG86" s="174"/>
      <c r="DH86" s="174"/>
    </row>
    <row r="87" spans="1:112">
      <c r="A87" s="38">
        <v>43861</v>
      </c>
      <c r="B87" s="7">
        <f t="shared" si="37"/>
        <v>1183105593.35707</v>
      </c>
      <c r="C87" s="84">
        <f t="shared" si="38"/>
        <v>1249</v>
      </c>
      <c r="D87" s="65">
        <f t="shared" si="35"/>
        <v>793043223.11000001</v>
      </c>
      <c r="E87" s="153">
        <f t="shared" si="36"/>
        <v>12</v>
      </c>
      <c r="F87" s="68">
        <f t="shared" si="24"/>
        <v>88415020.640000001</v>
      </c>
      <c r="G87" s="97">
        <f t="shared" si="32"/>
        <v>2</v>
      </c>
      <c r="H87" s="67">
        <f t="shared" si="30"/>
        <v>46137404.056999996</v>
      </c>
      <c r="I87" s="115">
        <f t="shared" si="31"/>
        <v>3</v>
      </c>
      <c r="J87" s="73">
        <f t="shared" si="25"/>
        <v>77846593.950069904</v>
      </c>
      <c r="K87" s="99">
        <f t="shared" si="26"/>
        <v>1229</v>
      </c>
      <c r="L87" s="78">
        <f t="shared" si="39"/>
        <v>177663351.59999999</v>
      </c>
      <c r="M87" s="157">
        <f t="shared" si="40"/>
        <v>3</v>
      </c>
      <c r="O87" s="69">
        <f>SILVX!B94</f>
        <v>603829325.88</v>
      </c>
      <c r="P87" s="91">
        <f>SILVX!G94</f>
        <v>1</v>
      </c>
      <c r="Q87" s="70">
        <f>SGLIX!B39</f>
        <v>33761564.439999998</v>
      </c>
      <c r="R87" s="93">
        <f>SGLIX!G39</f>
        <v>1</v>
      </c>
      <c r="S87" s="71"/>
      <c r="T87" s="92"/>
      <c r="U87" s="75"/>
      <c r="V87" s="94"/>
      <c r="W87" s="94"/>
      <c r="X87" s="94"/>
      <c r="Y87" s="69"/>
      <c r="Z87" s="91"/>
      <c r="AA87" s="70"/>
      <c r="AB87" s="93"/>
      <c r="AC87" s="80"/>
      <c r="AD87" s="156"/>
      <c r="AE87" s="156"/>
      <c r="AF87" s="156"/>
      <c r="AG87" s="156"/>
      <c r="AH87" s="156"/>
      <c r="AI87" s="80"/>
      <c r="AJ87" s="156"/>
      <c r="AK87" s="156"/>
      <c r="AL87" s="156"/>
      <c r="AM87" s="76">
        <f>Schwab!S82</f>
        <v>39812781.433299884</v>
      </c>
      <c r="AN87" s="74">
        <f>Schwab!Q82</f>
        <v>964</v>
      </c>
      <c r="AO87" s="75">
        <f>Fidelity!P87</f>
        <v>34897801.063689999</v>
      </c>
      <c r="AP87" s="94">
        <f>Fidelity!O87</f>
        <v>187</v>
      </c>
      <c r="AQ87" s="94"/>
      <c r="AR87" s="94"/>
      <c r="AS87" s="94"/>
      <c r="AT87" s="94"/>
      <c r="AU87" s="94"/>
      <c r="AV87" s="94"/>
      <c r="AW87" s="94"/>
      <c r="AX87" s="94"/>
      <c r="AY87" s="94"/>
      <c r="AZ87" s="94"/>
      <c r="BA87" s="69">
        <f>'TFA - Folio'!H92</f>
        <v>17915748.620000005</v>
      </c>
      <c r="BB87" s="40">
        <f>'TFA - Folio'!I87</f>
        <v>1</v>
      </c>
      <c r="BC87" s="80">
        <f>'TFA - Folio'!K92</f>
        <v>81613694.049999997</v>
      </c>
      <c r="BD87" s="79">
        <f>'TFA - Folio'!N92</f>
        <v>1</v>
      </c>
      <c r="BE87" s="80"/>
      <c r="BG87" s="69">
        <f>UNC!B50</f>
        <v>149683309.78999999</v>
      </c>
      <c r="BH87" s="40">
        <f>UNC!C50</f>
        <v>1</v>
      </c>
      <c r="BI87" s="69">
        <f>'Schwab LC'!D47</f>
        <v>3631711.42</v>
      </c>
      <c r="BJ87" s="40">
        <f>'Schwab LC'!E47</f>
        <v>2</v>
      </c>
      <c r="CI87" s="179">
        <f>'NC State'!B20</f>
        <v>7203667.9470000006</v>
      </c>
      <c r="CJ87" s="176">
        <f>'NC State'!C20</f>
        <v>1</v>
      </c>
      <c r="CK87" s="179">
        <f>'Holiday Oil'!G25</f>
        <v>22584561.68</v>
      </c>
      <c r="CL87" s="176">
        <f>'Holiday Oil'!H25</f>
        <v>1</v>
      </c>
      <c r="CM87" s="179">
        <f>SCLVX!B48</f>
        <v>50030491.480000004</v>
      </c>
      <c r="CN87" s="176">
        <f>SCLVX!G48</f>
        <v>1</v>
      </c>
      <c r="CO87" s="179">
        <f>Stifel!B61</f>
        <v>5010902.2</v>
      </c>
      <c r="CP87" s="176">
        <f>Stifel!K61</f>
        <v>6</v>
      </c>
      <c r="CQ87" s="179">
        <f>TDA!O77</f>
        <v>3136011.4530800115</v>
      </c>
      <c r="CR87" s="176">
        <f>TDA!N77</f>
        <v>78</v>
      </c>
      <c r="CS87" s="179">
        <f>UNC!D50</f>
        <v>38384529.159999996</v>
      </c>
      <c r="CT87" s="176">
        <f>UNC!E50</f>
        <v>1</v>
      </c>
      <c r="CU87" s="179">
        <f>Asbestos!B14</f>
        <v>12972225.199999999</v>
      </c>
      <c r="CV87" s="176">
        <f>Asbestos!C14</f>
        <v>1</v>
      </c>
      <c r="CW87" s="179">
        <f>TUG!H6</f>
        <v>73465095.870000005</v>
      </c>
      <c r="CX87" s="182">
        <f>TUG!I6</f>
        <v>1</v>
      </c>
      <c r="CY87" s="179">
        <f>Cline!B33</f>
        <v>5172171.6700000009</v>
      </c>
      <c r="CZ87" s="176">
        <f>Cline!C33</f>
        <v>1</v>
      </c>
    </row>
    <row r="88" spans="1:112">
      <c r="A88" s="38">
        <v>43890</v>
      </c>
      <c r="B88" s="7">
        <f t="shared" si="37"/>
        <v>1129618519.8098097</v>
      </c>
      <c r="C88" s="84">
        <f t="shared" si="38"/>
        <v>1338</v>
      </c>
      <c r="D88" s="65">
        <f t="shared" si="35"/>
        <v>740837751.06999993</v>
      </c>
      <c r="E88" s="153">
        <f t="shared" si="36"/>
        <v>12</v>
      </c>
      <c r="F88" s="68">
        <f t="shared" si="24"/>
        <v>80086365.900000006</v>
      </c>
      <c r="G88" s="97">
        <f t="shared" si="32"/>
        <v>2</v>
      </c>
      <c r="H88" s="67">
        <f t="shared" si="30"/>
        <v>42305902.761500001</v>
      </c>
      <c r="I88" s="115">
        <f t="shared" si="31"/>
        <v>3</v>
      </c>
      <c r="J88" s="73">
        <f t="shared" si="25"/>
        <v>81994026.088309824</v>
      </c>
      <c r="K88" s="99">
        <f t="shared" si="26"/>
        <v>1318</v>
      </c>
      <c r="L88" s="78">
        <f t="shared" si="39"/>
        <v>184394473.99000001</v>
      </c>
      <c r="M88" s="157">
        <f t="shared" si="40"/>
        <v>3</v>
      </c>
      <c r="O88" s="69">
        <f>SILVX!B95</f>
        <v>566325233.85000002</v>
      </c>
      <c r="P88" s="91">
        <f>SILVX!G95</f>
        <v>1</v>
      </c>
      <c r="Q88" s="70">
        <f>SGLIX!B40</f>
        <v>30871542.510000002</v>
      </c>
      <c r="R88" s="93">
        <f>SGLIX!G40</f>
        <v>1</v>
      </c>
      <c r="S88" s="71"/>
      <c r="T88" s="92"/>
      <c r="U88" s="75"/>
      <c r="V88" s="94"/>
      <c r="W88" s="94"/>
      <c r="X88" s="94"/>
      <c r="Y88" s="69"/>
      <c r="Z88" s="91"/>
      <c r="AA88" s="70"/>
      <c r="AB88" s="93"/>
      <c r="AC88" s="80"/>
      <c r="AD88" s="156"/>
      <c r="AE88" s="156"/>
      <c r="AF88" s="156"/>
      <c r="AG88" s="156"/>
      <c r="AH88" s="156"/>
      <c r="AI88" s="80"/>
      <c r="AJ88" s="156"/>
      <c r="AK88" s="156"/>
      <c r="AL88" s="156"/>
      <c r="AM88" s="76">
        <f>Schwab!S83</f>
        <v>44338468.878899783</v>
      </c>
      <c r="AN88" s="74">
        <f>Schwab!Q83</f>
        <v>1036</v>
      </c>
      <c r="AO88" s="75">
        <f>Fidelity!P88</f>
        <v>34338528.469620034</v>
      </c>
      <c r="AP88" s="94">
        <f>Fidelity!O88</f>
        <v>203</v>
      </c>
      <c r="AQ88" s="94"/>
      <c r="AR88" s="94"/>
      <c r="AS88" s="94"/>
      <c r="AT88" s="94"/>
      <c r="AU88" s="94"/>
      <c r="AV88" s="94"/>
      <c r="AW88" s="94"/>
      <c r="AX88" s="94"/>
      <c r="AY88" s="94"/>
      <c r="AZ88" s="94"/>
      <c r="BA88" s="69">
        <f>'TFA - Folio'!H93</f>
        <v>16556412.189999998</v>
      </c>
      <c r="BB88" s="40">
        <f>'TFA - Folio'!I88</f>
        <v>1</v>
      </c>
      <c r="BC88" s="80">
        <f>'TFA - Folio'!K93</f>
        <v>84383102.25</v>
      </c>
      <c r="BD88" s="79">
        <f>'TFA - Folio'!N93</f>
        <v>1</v>
      </c>
      <c r="BE88" s="80"/>
      <c r="BG88" s="69">
        <f>UNC!B51</f>
        <v>137903675.37</v>
      </c>
      <c r="BH88" s="40">
        <f>UNC!C51</f>
        <v>1</v>
      </c>
      <c r="BI88" s="69">
        <f>'Schwab LC'!D48</f>
        <v>3295509.7800000007</v>
      </c>
      <c r="BJ88" s="40">
        <f>'Schwab LC'!E48</f>
        <v>2</v>
      </c>
      <c r="CI88" s="179">
        <f>'NC State'!B21</f>
        <v>6647942.8714999985</v>
      </c>
      <c r="CJ88" s="176">
        <f>'NC State'!C21</f>
        <v>1</v>
      </c>
      <c r="CK88" s="179">
        <f>'Holiday Oil'!G26</f>
        <v>22151373.890000001</v>
      </c>
      <c r="CL88" s="176">
        <f>'Holiday Oil'!H26</f>
        <v>1</v>
      </c>
      <c r="CM88" s="179">
        <f>SCLVX!B49</f>
        <v>45438868.680000007</v>
      </c>
      <c r="CN88" s="176">
        <f>SCLVX!G49</f>
        <v>1</v>
      </c>
      <c r="CO88" s="179">
        <f>Stifel!B62</f>
        <v>4797910.3999999994</v>
      </c>
      <c r="CP88" s="176">
        <f>Stifel!K62</f>
        <v>6</v>
      </c>
      <c r="CQ88" s="179">
        <f>TDA!O78</f>
        <v>3317028.73979</v>
      </c>
      <c r="CR88" s="176">
        <f>TDA!N78</f>
        <v>79</v>
      </c>
      <c r="CS88" s="179">
        <f>UNC!D51</f>
        <v>34647497.219999999</v>
      </c>
      <c r="CT88" s="176">
        <f>UNC!E51</f>
        <v>1</v>
      </c>
      <c r="CU88" s="179">
        <f>Asbestos!B15</f>
        <v>11959009.48</v>
      </c>
      <c r="CV88" s="176">
        <f>Asbestos!C15</f>
        <v>1</v>
      </c>
      <c r="CW88" s="179">
        <f>TUG!H7</f>
        <v>77859997.849999994</v>
      </c>
      <c r="CX88" s="182">
        <f>TUG!I7</f>
        <v>1</v>
      </c>
      <c r="CY88" s="179">
        <f>Cline!B34</f>
        <v>4786417.379999999</v>
      </c>
      <c r="CZ88" s="176">
        <f>Cline!C34</f>
        <v>1</v>
      </c>
    </row>
    <row r="89" spans="1:112">
      <c r="A89" s="38">
        <v>43921</v>
      </c>
      <c r="B89" s="7">
        <f t="shared" si="37"/>
        <v>1012088656.4715699</v>
      </c>
      <c r="C89" s="84">
        <f t="shared" si="38"/>
        <v>1427</v>
      </c>
      <c r="D89" s="65">
        <f t="shared" si="35"/>
        <v>620054668.71000004</v>
      </c>
      <c r="E89" s="153">
        <f t="shared" si="36"/>
        <v>12</v>
      </c>
      <c r="F89" s="68">
        <f t="shared" si="24"/>
        <v>63250117.239999995</v>
      </c>
      <c r="G89" s="97">
        <f t="shared" si="32"/>
        <v>2</v>
      </c>
      <c r="H89" s="67">
        <f t="shared" si="30"/>
        <v>39295155.683200002</v>
      </c>
      <c r="I89" s="115">
        <f t="shared" si="31"/>
        <v>3</v>
      </c>
      <c r="J89" s="73">
        <f t="shared" si="25"/>
        <v>83215568.048369944</v>
      </c>
      <c r="K89" s="99">
        <f t="shared" si="26"/>
        <v>1407</v>
      </c>
      <c r="L89" s="78">
        <f t="shared" si="39"/>
        <v>206273146.78999996</v>
      </c>
      <c r="M89" s="157">
        <f t="shared" si="40"/>
        <v>3</v>
      </c>
      <c r="O89" s="69">
        <f>SILVX!B96</f>
        <v>465667124.37</v>
      </c>
      <c r="P89" s="91">
        <f>SILVX!G96</f>
        <v>1</v>
      </c>
      <c r="Q89" s="70">
        <f>SGLIX!B41</f>
        <v>29459261.709999997</v>
      </c>
      <c r="R89" s="93">
        <f>SGLIX!G41</f>
        <v>1</v>
      </c>
      <c r="S89" s="71"/>
      <c r="T89" s="92"/>
      <c r="U89" s="75"/>
      <c r="V89" s="94"/>
      <c r="W89" s="94"/>
      <c r="X89" s="94"/>
      <c r="Y89" s="69"/>
      <c r="Z89" s="91"/>
      <c r="AA89" s="70"/>
      <c r="AB89" s="93"/>
      <c r="AC89" s="80"/>
      <c r="AD89" s="156"/>
      <c r="AE89" s="156"/>
      <c r="AF89" s="156"/>
      <c r="AG89" s="156"/>
      <c r="AH89" s="156"/>
      <c r="AI89" s="80"/>
      <c r="AJ89" s="156"/>
      <c r="AK89" s="156"/>
      <c r="AL89" s="156"/>
      <c r="AM89" s="76">
        <f>Schwab!S84</f>
        <v>47101636.609699994</v>
      </c>
      <c r="AN89" s="74">
        <f>Schwab!Q84</f>
        <v>1108</v>
      </c>
      <c r="AO89" s="75">
        <f>Fidelity!P89</f>
        <v>32868939.719019946</v>
      </c>
      <c r="AP89" s="94">
        <f>Fidelity!O89</f>
        <v>216</v>
      </c>
      <c r="AQ89" s="94"/>
      <c r="AR89" s="94"/>
      <c r="AS89" s="94"/>
      <c r="AT89" s="94"/>
      <c r="AU89" s="94"/>
      <c r="AV89" s="94"/>
      <c r="AW89" s="94"/>
      <c r="AX89" s="94"/>
      <c r="AY89" s="94"/>
      <c r="AZ89" s="94"/>
      <c r="BA89" s="69">
        <f>'TFA - Folio'!H94</f>
        <v>15514862.220000029</v>
      </c>
      <c r="BB89" s="40">
        <f>'TFA - Folio'!I89</f>
        <v>1</v>
      </c>
      <c r="BC89" s="80">
        <f>'TFA - Folio'!K94</f>
        <v>89303049.539999977</v>
      </c>
      <c r="BD89" s="79">
        <f>'TFA - Folio'!N94</f>
        <v>1</v>
      </c>
      <c r="BE89" s="80"/>
      <c r="BG89" s="69">
        <f>UNC!B52</f>
        <v>121142644.56999999</v>
      </c>
      <c r="BH89" s="40">
        <f>UNC!C52</f>
        <v>1</v>
      </c>
      <c r="BI89" s="69">
        <f>'Schwab LC'!D49</f>
        <v>2897537.5</v>
      </c>
      <c r="BJ89" s="40">
        <f>'Schwab LC'!E49</f>
        <v>2</v>
      </c>
      <c r="CI89" s="179">
        <f>'NC State'!B22</f>
        <v>5715754.5431999993</v>
      </c>
      <c r="CJ89" s="176">
        <f>'NC State'!C22</f>
        <v>1</v>
      </c>
      <c r="CK89" s="179">
        <f>'Holiday Oil'!G27</f>
        <v>21117831.420000002</v>
      </c>
      <c r="CL89" s="176">
        <f>'Holiday Oil'!H27</f>
        <v>1</v>
      </c>
      <c r="CM89" s="179">
        <f>SCLVX!B50</f>
        <v>35990238.039999992</v>
      </c>
      <c r="CN89" s="176">
        <f>SCLVX!G50</f>
        <v>1</v>
      </c>
      <c r="CO89" s="179">
        <f>Stifel!B63</f>
        <v>4247229.3100000005</v>
      </c>
      <c r="CP89" s="176">
        <f>Stifel!K63</f>
        <v>6</v>
      </c>
      <c r="CQ89" s="179">
        <f>TDA!O79</f>
        <v>3244991.7196500059</v>
      </c>
      <c r="CR89" s="176">
        <f>TDA!N79</f>
        <v>83</v>
      </c>
      <c r="CS89" s="179">
        <f>UNC!D52</f>
        <v>27259879.199999999</v>
      </c>
      <c r="CT89" s="176">
        <f>UNC!E52</f>
        <v>1</v>
      </c>
      <c r="CU89" s="179">
        <f>Asbestos!B16</f>
        <v>10585270.74</v>
      </c>
      <c r="CV89" s="176">
        <f>Asbestos!C16</f>
        <v>1</v>
      </c>
      <c r="CW89" s="179">
        <f>TUG!H8</f>
        <v>95852265.829999998</v>
      </c>
      <c r="CX89" s="182">
        <f>TUG!I8</f>
        <v>1</v>
      </c>
      <c r="CY89" s="179">
        <f>Cline!B35</f>
        <v>4120139.4299999997</v>
      </c>
      <c r="CZ89" s="176">
        <f>Cline!C35</f>
        <v>1</v>
      </c>
    </row>
    <row r="90" spans="1:112">
      <c r="A90" s="38">
        <v>43951</v>
      </c>
      <c r="B90" s="7">
        <f t="shared" si="37"/>
        <v>1103913476.46523</v>
      </c>
      <c r="C90" s="84">
        <f t="shared" si="38"/>
        <v>1503</v>
      </c>
      <c r="D90" s="65">
        <f t="shared" si="35"/>
        <v>668519059.37</v>
      </c>
      <c r="E90" s="153">
        <f t="shared" si="36"/>
        <v>12</v>
      </c>
      <c r="F90" s="68">
        <f t="shared" si="24"/>
        <v>69414007.689999998</v>
      </c>
      <c r="G90" s="97">
        <f t="shared" si="32"/>
        <v>2</v>
      </c>
      <c r="H90" s="67">
        <f t="shared" si="30"/>
        <v>51547457.490000002</v>
      </c>
      <c r="I90" s="115">
        <f t="shared" si="31"/>
        <v>3</v>
      </c>
      <c r="J90" s="73">
        <f t="shared" si="25"/>
        <v>89946962.515230015</v>
      </c>
      <c r="K90" s="99">
        <f t="shared" si="26"/>
        <v>1483</v>
      </c>
      <c r="L90" s="78">
        <f t="shared" si="39"/>
        <v>224485989.39999998</v>
      </c>
      <c r="M90" s="157">
        <f t="shared" si="40"/>
        <v>3</v>
      </c>
      <c r="O90" s="69">
        <f>SILVX!B97</f>
        <v>499339406.74000001</v>
      </c>
      <c r="P90" s="91">
        <f>SILVX!G97</f>
        <v>1</v>
      </c>
      <c r="Q90" s="70">
        <f>SGLIX!B42</f>
        <v>40981878.379999995</v>
      </c>
      <c r="R90" s="93">
        <f>SGLIX!G42</f>
        <v>1</v>
      </c>
      <c r="S90" s="71"/>
      <c r="T90" s="92"/>
      <c r="U90" s="75"/>
      <c r="V90" s="94"/>
      <c r="W90" s="94"/>
      <c r="X90" s="94"/>
      <c r="Y90" s="69"/>
      <c r="Z90" s="91"/>
      <c r="AA90" s="70"/>
      <c r="AB90" s="93"/>
      <c r="AC90" s="80"/>
      <c r="AD90" s="156"/>
      <c r="AE90" s="156"/>
      <c r="AF90" s="156"/>
      <c r="AG90" s="156"/>
      <c r="AH90" s="156"/>
      <c r="AI90" s="80"/>
      <c r="AJ90" s="156"/>
      <c r="AK90" s="156"/>
      <c r="AL90" s="156"/>
      <c r="AM90" s="76">
        <f>Schwab!S85</f>
        <v>51029259.424700022</v>
      </c>
      <c r="AN90" s="74">
        <f>Schwab!Q85</f>
        <v>1163</v>
      </c>
      <c r="AO90" s="75">
        <f>Fidelity!P90</f>
        <v>35333092.14497</v>
      </c>
      <c r="AP90" s="94">
        <f>Fidelity!O90</f>
        <v>232</v>
      </c>
      <c r="AQ90" s="94"/>
      <c r="AR90" s="94"/>
      <c r="AS90" s="94"/>
      <c r="AT90" s="94"/>
      <c r="AU90" s="94"/>
      <c r="AV90" s="94"/>
      <c r="AW90" s="94"/>
      <c r="AX90" s="94"/>
      <c r="AY90" s="94"/>
      <c r="AZ90" s="94"/>
      <c r="BA90" s="69">
        <f>'TFA - Folio'!H95</f>
        <v>16916276.269999981</v>
      </c>
      <c r="BB90" s="40">
        <f>'TFA - Folio'!I90</f>
        <v>1</v>
      </c>
      <c r="BC90" s="80">
        <f>'TFA - Folio'!K95</f>
        <v>95703090.98999998</v>
      </c>
      <c r="BD90" s="79">
        <f>'TFA - Folio'!N95</f>
        <v>1</v>
      </c>
      <c r="BE90" s="80"/>
      <c r="BG90" s="69">
        <f>UNC!B53</f>
        <v>131781467.56999999</v>
      </c>
      <c r="BH90" s="40">
        <f>UNC!C53</f>
        <v>1</v>
      </c>
      <c r="BI90" s="69">
        <f>'Schwab LC'!D50</f>
        <v>3134699.8000000003</v>
      </c>
      <c r="BJ90" s="40">
        <f>'Schwab LC'!E50</f>
        <v>2</v>
      </c>
      <c r="CI90" s="179">
        <f>'NC State'!B23</f>
        <v>6155638.4400000023</v>
      </c>
      <c r="CJ90" s="176">
        <f>'NC State'!C23</f>
        <v>1</v>
      </c>
      <c r="CK90" s="179">
        <f>'Holiday Oil'!G28</f>
        <v>21328667.660000004</v>
      </c>
      <c r="CL90" s="176">
        <f>'Holiday Oil'!H28</f>
        <v>1</v>
      </c>
      <c r="CM90" s="179">
        <f>SCLVX!B51</f>
        <v>40620810.289999999</v>
      </c>
      <c r="CN90" s="176">
        <f>SCLVX!G51</f>
        <v>1</v>
      </c>
      <c r="CO90" s="179">
        <f>Stifel!B64</f>
        <v>5856700.54</v>
      </c>
      <c r="CP90" s="176">
        <f>Stifel!K64</f>
        <v>6</v>
      </c>
      <c r="CQ90" s="179">
        <f>TDA!O80</f>
        <v>3584610.9455599971</v>
      </c>
      <c r="CR90" s="176">
        <f>TDA!N80</f>
        <v>88</v>
      </c>
      <c r="CS90" s="179">
        <f>UNC!D53</f>
        <v>28793197.400000002</v>
      </c>
      <c r="CT90" s="176">
        <f>UNC!E53</f>
        <v>1</v>
      </c>
      <c r="CU90" s="179">
        <f>Asbestos!B17</f>
        <v>11490508.449999999</v>
      </c>
      <c r="CV90" s="176">
        <f>Asbestos!C17</f>
        <v>1</v>
      </c>
      <c r="CW90" s="179">
        <f>TUG!H9</f>
        <v>107454230.75</v>
      </c>
      <c r="CX90" s="182">
        <f>TUG!I9</f>
        <v>1</v>
      </c>
      <c r="CY90" s="179">
        <f>Cline!B36</f>
        <v>4409940.6700000009</v>
      </c>
      <c r="CZ90" s="176">
        <f>Cline!C36</f>
        <v>1</v>
      </c>
      <c r="DA90" s="179"/>
      <c r="DB90" s="179"/>
    </row>
    <row r="91" spans="1:112">
      <c r="A91" s="38">
        <v>43982</v>
      </c>
      <c r="B91" s="7">
        <f t="shared" si="37"/>
        <v>1181785851.1059997</v>
      </c>
      <c r="C91" s="84">
        <f t="shared" si="38"/>
        <v>1583</v>
      </c>
      <c r="D91" s="65">
        <f t="shared" si="35"/>
        <v>719250655.05999994</v>
      </c>
      <c r="E91" s="153">
        <f t="shared" si="36"/>
        <v>12</v>
      </c>
      <c r="F91" s="68">
        <f t="shared" si="24"/>
        <v>74381913.00999999</v>
      </c>
      <c r="G91" s="97">
        <f t="shared" si="32"/>
        <v>2</v>
      </c>
      <c r="H91" s="67">
        <f t="shared" si="30"/>
        <v>54977187.230000004</v>
      </c>
      <c r="I91" s="115">
        <f t="shared" si="31"/>
        <v>3</v>
      </c>
      <c r="J91" s="73">
        <f t="shared" si="25"/>
        <v>99314392.872000009</v>
      </c>
      <c r="K91" s="99">
        <f t="shared" si="26"/>
        <v>1563</v>
      </c>
      <c r="L91" s="78">
        <f t="shared" si="39"/>
        <v>233861702.93400002</v>
      </c>
      <c r="M91" s="157">
        <f t="shared" si="40"/>
        <v>3</v>
      </c>
      <c r="O91" s="69">
        <f>SILVX!B98</f>
        <v>538100076.78999996</v>
      </c>
      <c r="P91" s="91">
        <f>SILVX!G98</f>
        <v>1</v>
      </c>
      <c r="Q91" s="70">
        <f>SGLIX!B43</f>
        <v>44021799.290000007</v>
      </c>
      <c r="R91" s="93">
        <f>SGLIX!G43</f>
        <v>1</v>
      </c>
      <c r="S91" s="71"/>
      <c r="T91" s="92"/>
      <c r="U91" s="75"/>
      <c r="V91" s="94"/>
      <c r="W91" s="94"/>
      <c r="X91" s="94"/>
      <c r="Y91" s="69"/>
      <c r="Z91" s="91"/>
      <c r="AA91" s="70"/>
      <c r="AB91" s="93"/>
      <c r="AC91" s="80"/>
      <c r="AD91" s="156"/>
      <c r="AE91" s="156"/>
      <c r="AF91" s="156"/>
      <c r="AG91" s="156"/>
      <c r="AH91" s="156"/>
      <c r="AI91" s="80"/>
      <c r="AJ91" s="156"/>
      <c r="AK91" s="156"/>
      <c r="AL91" s="156"/>
      <c r="AM91" s="76">
        <f>Schwab!S86</f>
        <v>56834258.441799998</v>
      </c>
      <c r="AN91" s="74">
        <f>Schwab!Q86</f>
        <v>1221</v>
      </c>
      <c r="AO91" s="75">
        <f>Fidelity!P91</f>
        <v>38880391.890740007</v>
      </c>
      <c r="AP91" s="94">
        <f>Fidelity!O91</f>
        <v>254</v>
      </c>
      <c r="AQ91" s="94"/>
      <c r="AR91" s="94"/>
      <c r="AS91" s="94"/>
      <c r="AT91" s="94"/>
      <c r="AU91" s="94"/>
      <c r="AV91" s="94"/>
      <c r="AW91" s="94"/>
      <c r="AX91" s="94"/>
      <c r="AY91" s="94"/>
      <c r="AZ91" s="94"/>
      <c r="BA91" s="69">
        <f>'TFA - Folio'!H96</f>
        <v>21385801.790000021</v>
      </c>
      <c r="BB91" s="40">
        <f>'TFA - Folio'!I91</f>
        <v>1</v>
      </c>
      <c r="BC91" s="80">
        <f>'TFA - Folio'!K96</f>
        <v>100569722.80000001</v>
      </c>
      <c r="BD91" s="79">
        <f>'TFA - Folio'!N96</f>
        <v>1</v>
      </c>
      <c r="BE91" s="80"/>
      <c r="BG91" s="69">
        <f>UNC!B54</f>
        <v>139176717.51999998</v>
      </c>
      <c r="BH91" s="40">
        <f>UNC!C54</f>
        <v>1</v>
      </c>
      <c r="BI91" s="69">
        <f>'Schwab LC'!D51</f>
        <v>3295541.23</v>
      </c>
      <c r="BJ91" s="40">
        <f>'Schwab LC'!E51</f>
        <v>2</v>
      </c>
      <c r="CI91" s="179">
        <f>'NC State'!B24</f>
        <v>6386784.0600000005</v>
      </c>
      <c r="CJ91" s="176">
        <f>'NC State'!C24</f>
        <v>1</v>
      </c>
      <c r="CK91" s="179">
        <f>'Holiday Oil'!G29</f>
        <v>21459836.244000006</v>
      </c>
      <c r="CL91" s="176">
        <f>'Holiday Oil'!H29</f>
        <v>1</v>
      </c>
      <c r="CM91" s="179">
        <f>SCLVX!B52</f>
        <v>44066075.479999997</v>
      </c>
      <c r="CN91" s="176">
        <f>SCLVX!G52</f>
        <v>1</v>
      </c>
      <c r="CO91" s="179">
        <f>Stifel!B65</f>
        <v>6184182.9499999993</v>
      </c>
      <c r="CP91" s="176">
        <f>Stifel!K65</f>
        <v>6</v>
      </c>
      <c r="CQ91" s="179">
        <f>TDA!O81</f>
        <v>3599742.5394599997</v>
      </c>
      <c r="CR91" s="176">
        <f>TDA!N81</f>
        <v>88</v>
      </c>
      <c r="CS91" s="179">
        <f>UNC!D54</f>
        <v>30315837.530000001</v>
      </c>
      <c r="CT91" s="176">
        <f>UNC!E54</f>
        <v>1</v>
      </c>
      <c r="CU91" s="179">
        <f>Asbestos!B18</f>
        <v>11108334.780000001</v>
      </c>
      <c r="CV91" s="176">
        <f>Asbestos!C18</f>
        <v>1</v>
      </c>
      <c r="CW91" s="179">
        <f>TUG!H10</f>
        <v>111832143.89</v>
      </c>
      <c r="CX91" s="182">
        <f>TUG!I10</f>
        <v>1</v>
      </c>
      <c r="CY91" s="179">
        <f>Cline!B37</f>
        <v>4568603.879999999</v>
      </c>
      <c r="CZ91" s="176">
        <f>Cline!C37</f>
        <v>1</v>
      </c>
    </row>
    <row r="92" spans="1:112">
      <c r="A92" s="38">
        <v>44012</v>
      </c>
      <c r="B92" s="7">
        <f t="shared" ref="B92:B97" si="41">O92+CM92+Q92+AM92+CQ92+AO92+DA92+BA92+BC92+CO92+BG92+CS92+BI92+CY92+CK92+CI92+DC92+DE92+CU92+CW92+U92</f>
        <v>1217171547.0092204</v>
      </c>
      <c r="C92" s="84">
        <f t="shared" ref="C92:C97" si="42">P92+CN92+R92+AN92+CR92+AP92+DB92+BB92+BD92+CP92+BH92+CT92+BJ92+CZ92+CL92+DD92+DF92+CJ92+CV92+CX92+V92</f>
        <v>1616</v>
      </c>
      <c r="D92" s="65">
        <f t="shared" si="35"/>
        <v>725849071.91999996</v>
      </c>
      <c r="E92" s="153">
        <f t="shared" si="36"/>
        <v>12</v>
      </c>
      <c r="F92" s="68">
        <f t="shared" si="24"/>
        <v>76165420.530000001</v>
      </c>
      <c r="G92" s="97">
        <f t="shared" si="32"/>
        <v>2</v>
      </c>
      <c r="H92" s="67">
        <f t="shared" si="30"/>
        <v>60146525.829999991</v>
      </c>
      <c r="I92" s="115">
        <f t="shared" si="31"/>
        <v>3</v>
      </c>
      <c r="J92" s="73">
        <f t="shared" ref="J92:J103" si="43">AM92+CQ92+AO92+DA92+U92</f>
        <v>107960003.4392201</v>
      </c>
      <c r="K92" s="99">
        <f t="shared" ref="K92:K103" si="44">AN92+CR92+AP92+DB92+V92</f>
        <v>1596</v>
      </c>
      <c r="L92" s="78">
        <f t="shared" si="39"/>
        <v>247050525.28999996</v>
      </c>
      <c r="M92" s="157">
        <f t="shared" si="40"/>
        <v>3</v>
      </c>
      <c r="O92" s="69">
        <f>SILVX!B99</f>
        <v>540563085.80999994</v>
      </c>
      <c r="P92" s="91">
        <f>SILVX!G99</f>
        <v>1</v>
      </c>
      <c r="Q92" s="70">
        <f>SGLIX!B44</f>
        <v>49114434.909999996</v>
      </c>
      <c r="R92" s="93">
        <f>SGLIX!G44</f>
        <v>1</v>
      </c>
      <c r="S92" s="71"/>
      <c r="T92" s="92"/>
      <c r="U92" s="75">
        <f>FoF!AD2</f>
        <v>3805632.3899999987</v>
      </c>
      <c r="V92" s="94">
        <f>FoF!AE2</f>
        <v>3</v>
      </c>
      <c r="W92" s="94"/>
      <c r="X92" s="94"/>
      <c r="Y92" s="69"/>
      <c r="Z92" s="91"/>
      <c r="AA92" s="70"/>
      <c r="AB92" s="93"/>
      <c r="AC92" s="80"/>
      <c r="AD92" s="156"/>
      <c r="AE92" s="156"/>
      <c r="AF92" s="156"/>
      <c r="AG92" s="156"/>
      <c r="AH92" s="156"/>
      <c r="AI92" s="80"/>
      <c r="AJ92" s="156"/>
      <c r="AK92" s="156"/>
      <c r="AL92" s="156"/>
      <c r="AM92" s="76">
        <f>Schwab!S87</f>
        <v>63176902.352600098</v>
      </c>
      <c r="AN92" s="74">
        <f>Schwab!Q87</f>
        <v>1248</v>
      </c>
      <c r="AO92" s="75">
        <f>Fidelity!P92</f>
        <v>37332359.24481</v>
      </c>
      <c r="AP92" s="94">
        <f>Fidelity!O92</f>
        <v>257</v>
      </c>
      <c r="AQ92" s="94"/>
      <c r="AR92" s="94"/>
      <c r="AS92" s="94"/>
      <c r="AT92" s="94"/>
      <c r="AU92" s="94"/>
      <c r="AV92" s="94"/>
      <c r="AW92" s="94"/>
      <c r="AX92" s="94"/>
      <c r="AY92" s="94"/>
      <c r="AZ92" s="94"/>
      <c r="BA92" s="69">
        <f>'TFA - Folio'!H97</f>
        <v>24542950.830000043</v>
      </c>
      <c r="BB92" s="40">
        <f>'TFA - Folio'!I92</f>
        <v>1</v>
      </c>
      <c r="BC92" s="80">
        <f>'TFA - Folio'!K97</f>
        <v>104888284.01999997</v>
      </c>
      <c r="BD92" s="79">
        <f>'TFA - Folio'!N97</f>
        <v>1</v>
      </c>
      <c r="BE92" s="80"/>
      <c r="BG92" s="69">
        <f>UNC!B55</f>
        <v>140030770.25</v>
      </c>
      <c r="BH92" s="40">
        <f>UNC!C55</f>
        <v>1</v>
      </c>
      <c r="BI92" s="69">
        <f>'Schwab LC'!D52</f>
        <v>3313315.98</v>
      </c>
      <c r="BJ92" s="40">
        <f>'Schwab LC'!E52</f>
        <v>2</v>
      </c>
      <c r="CI92" s="179">
        <f>'NC State'!B25</f>
        <v>6433354.1900000004</v>
      </c>
      <c r="CJ92" s="176">
        <f>'NC State'!C25</f>
        <v>1</v>
      </c>
      <c r="CK92" s="179">
        <f>'Holiday Oil'!G30</f>
        <v>18701894.459999997</v>
      </c>
      <c r="CL92" s="176">
        <f>'Holiday Oil'!H30</f>
        <v>1</v>
      </c>
      <c r="CM92" s="179">
        <f>SCLVX!B53</f>
        <v>45700701.699999996</v>
      </c>
      <c r="CN92" s="176">
        <f>SCLVX!G53</f>
        <v>1</v>
      </c>
      <c r="CO92" s="179">
        <f>Stifel!B66</f>
        <v>6219191.8899999987</v>
      </c>
      <c r="CP92" s="176">
        <f>Stifel!K66</f>
        <v>6</v>
      </c>
      <c r="CQ92" s="179">
        <f>TDA!O82</f>
        <v>3645109.4518099986</v>
      </c>
      <c r="CR92" s="176">
        <f>TDA!N82</f>
        <v>88</v>
      </c>
      <c r="CS92" s="179">
        <f>UNC!D55</f>
        <v>30464718.829999998</v>
      </c>
      <c r="CT92" s="176">
        <f>UNC!E55</f>
        <v>1</v>
      </c>
      <c r="CU92" s="179">
        <f>Asbestos!B19</f>
        <v>11179757.16</v>
      </c>
      <c r="CV92" s="176">
        <f>Asbestos!C19</f>
        <v>1</v>
      </c>
      <c r="CW92" s="179">
        <f>TUG!H11</f>
        <v>123460346.81</v>
      </c>
      <c r="CX92" s="182">
        <f>TUG!I11</f>
        <v>1</v>
      </c>
      <c r="CY92" s="179">
        <f>Cline!B38</f>
        <v>4598736.7299999995</v>
      </c>
      <c r="CZ92" s="176">
        <f>Cline!C38</f>
        <v>1</v>
      </c>
    </row>
    <row r="93" spans="1:112">
      <c r="A93" s="38">
        <v>44043</v>
      </c>
      <c r="B93" s="7">
        <f t="shared" si="41"/>
        <v>1290694341.0698302</v>
      </c>
      <c r="C93" s="84">
        <f t="shared" si="42"/>
        <v>1660</v>
      </c>
      <c r="D93" s="65">
        <f t="shared" si="35"/>
        <v>768650399.43000007</v>
      </c>
      <c r="E93" s="153">
        <f t="shared" si="36"/>
        <v>12</v>
      </c>
      <c r="F93" s="68">
        <f t="shared" si="24"/>
        <v>80650560.710000008</v>
      </c>
      <c r="G93" s="97">
        <f t="shared" si="32"/>
        <v>2</v>
      </c>
      <c r="H93" s="67">
        <f t="shared" si="30"/>
        <v>63936525.870000005</v>
      </c>
      <c r="I93" s="115">
        <f t="shared" si="31"/>
        <v>3</v>
      </c>
      <c r="J93" s="73">
        <f t="shared" si="43"/>
        <v>110579905.86983</v>
      </c>
      <c r="K93" s="99">
        <f t="shared" si="44"/>
        <v>1640</v>
      </c>
      <c r="L93" s="78">
        <f t="shared" si="39"/>
        <v>266876949.19</v>
      </c>
      <c r="M93" s="157">
        <f t="shared" si="40"/>
        <v>3</v>
      </c>
      <c r="O93" s="69">
        <f>SILVX!B100</f>
        <v>570181637.35000002</v>
      </c>
      <c r="P93" s="91">
        <f>SILVX!G100</f>
        <v>1</v>
      </c>
      <c r="Q93" s="70">
        <f>SGLIX!B45</f>
        <v>52417082.200000003</v>
      </c>
      <c r="R93" s="93">
        <f>SGLIX!G45</f>
        <v>1</v>
      </c>
      <c r="S93" s="71"/>
      <c r="T93" s="92"/>
      <c r="U93" s="75">
        <f>FoF!AD3</f>
        <v>4771356.2300000004</v>
      </c>
      <c r="V93" s="94">
        <f>FoF!AE3</f>
        <v>3</v>
      </c>
      <c r="W93" s="94"/>
      <c r="X93" s="94"/>
      <c r="Y93" s="69"/>
      <c r="Z93" s="91"/>
      <c r="AA93" s="70"/>
      <c r="AB93" s="93"/>
      <c r="AC93" s="80"/>
      <c r="AD93" s="156"/>
      <c r="AE93" s="156"/>
      <c r="AF93" s="156"/>
      <c r="AG93" s="156"/>
      <c r="AH93" s="156"/>
      <c r="AI93" s="80"/>
      <c r="AJ93" s="156"/>
      <c r="AK93" s="156"/>
      <c r="AL93" s="156"/>
      <c r="AM93" s="76">
        <f>Schwab!S88</f>
        <v>62023335.873400003</v>
      </c>
      <c r="AN93" s="74">
        <f>Schwab!Q88</f>
        <v>1274</v>
      </c>
      <c r="AO93" s="75">
        <f>Fidelity!P93</f>
        <v>39261923.077059969</v>
      </c>
      <c r="AP93" s="94">
        <f>Fidelity!O93</f>
        <v>271</v>
      </c>
      <c r="AQ93" s="94"/>
      <c r="AR93" s="94"/>
      <c r="AS93" s="94"/>
      <c r="AT93" s="94"/>
      <c r="AU93" s="94"/>
      <c r="AV93" s="94"/>
      <c r="AW93" s="94"/>
      <c r="AX93" s="94"/>
      <c r="AY93" s="94"/>
      <c r="AZ93" s="94"/>
      <c r="BA93" s="69">
        <f>'TFA - Folio'!H98</f>
        <v>27740079.870000005</v>
      </c>
      <c r="BB93" s="40">
        <f>'TFA - Folio'!I93</f>
        <v>1</v>
      </c>
      <c r="BC93" s="80">
        <f>'TFA - Folio'!K98</f>
        <v>109788158.95000003</v>
      </c>
      <c r="BD93" s="79">
        <f>'TFA - Folio'!N98</f>
        <v>1</v>
      </c>
      <c r="BE93" s="80"/>
      <c r="BG93" s="69">
        <f>UNC!B56</f>
        <v>148767444.25999999</v>
      </c>
      <c r="BH93" s="40">
        <f>UNC!C56</f>
        <v>1</v>
      </c>
      <c r="BI93" s="69">
        <f>'Schwab LC'!D53</f>
        <v>3509439.6600000015</v>
      </c>
      <c r="BJ93" s="40">
        <f>'Schwab LC'!E53</f>
        <v>2</v>
      </c>
      <c r="CI93" s="179">
        <f>'NC State'!B26</f>
        <v>6719765.4999999981</v>
      </c>
      <c r="CJ93" s="176">
        <f>'NC State'!C26</f>
        <v>1</v>
      </c>
      <c r="CK93" s="179">
        <f>'Holiday Oil'!G31</f>
        <v>18947011.470000003</v>
      </c>
      <c r="CL93" s="176">
        <f>'Holiday Oil'!H31</f>
        <v>1</v>
      </c>
      <c r="CM93" s="179">
        <f>SCLVX!B54</f>
        <v>48523553.75</v>
      </c>
      <c r="CN93" s="176">
        <f>SCLVX!G54</f>
        <v>1</v>
      </c>
      <c r="CO93" s="179">
        <f>Stifel!B67</f>
        <v>6594685.4500000002</v>
      </c>
      <c r="CP93" s="176">
        <f>Stifel!K67</f>
        <v>6</v>
      </c>
      <c r="CQ93" s="179">
        <f>TDA!O83</f>
        <v>4523290.6893700138</v>
      </c>
      <c r="CR93" s="176">
        <f>TDA!N83</f>
        <v>92</v>
      </c>
      <c r="CS93" s="179">
        <f>UNC!D56</f>
        <v>32127006.960000001</v>
      </c>
      <c r="CT93" s="176">
        <f>UNC!E56</f>
        <v>1</v>
      </c>
      <c r="CU93" s="179">
        <f>Asbestos!B20</f>
        <v>11857112.84</v>
      </c>
      <c r="CV93" s="176">
        <f>Asbestos!C20</f>
        <v>1</v>
      </c>
      <c r="CW93" s="179">
        <f>TUG!H12</f>
        <v>138141778.76999998</v>
      </c>
      <c r="CX93" s="182">
        <f>TUG!I12</f>
        <v>1</v>
      </c>
      <c r="CY93" s="179">
        <f>Cline!B39</f>
        <v>4799678.1700000009</v>
      </c>
      <c r="CZ93" s="176">
        <f>Cline!C39</f>
        <v>1</v>
      </c>
    </row>
    <row r="94" spans="1:112">
      <c r="A94" s="38">
        <v>44074</v>
      </c>
      <c r="B94" s="7">
        <f t="shared" si="41"/>
        <v>1362448384.9814398</v>
      </c>
      <c r="C94" s="84">
        <f t="shared" si="42"/>
        <v>1714</v>
      </c>
      <c r="D94" s="65">
        <f t="shared" si="35"/>
        <v>795052851.54999995</v>
      </c>
      <c r="E94" s="153">
        <f t="shared" si="36"/>
        <v>12</v>
      </c>
      <c r="F94" s="68">
        <f t="shared" si="24"/>
        <v>82278266.550000012</v>
      </c>
      <c r="G94" s="97">
        <f t="shared" si="32"/>
        <v>2</v>
      </c>
      <c r="H94" s="67">
        <f t="shared" si="30"/>
        <v>70299090.860000014</v>
      </c>
      <c r="I94" s="115">
        <f t="shared" si="31"/>
        <v>3</v>
      </c>
      <c r="J94" s="73">
        <f t="shared" si="43"/>
        <v>116370011.12143999</v>
      </c>
      <c r="K94" s="99">
        <f t="shared" si="44"/>
        <v>1694</v>
      </c>
      <c r="L94" s="78">
        <f t="shared" si="39"/>
        <v>298448164.89999998</v>
      </c>
      <c r="M94" s="157">
        <f t="shared" si="40"/>
        <v>3</v>
      </c>
      <c r="O94" s="69">
        <f>SILVX!B101</f>
        <v>583232235.99000001</v>
      </c>
      <c r="P94" s="91">
        <f>SILVX!G101</f>
        <v>1</v>
      </c>
      <c r="Q94" s="70">
        <f>SGLIX!B46</f>
        <v>58188592.600000001</v>
      </c>
      <c r="R94" s="93">
        <f>SGLIX!G46</f>
        <v>1</v>
      </c>
      <c r="S94" s="71"/>
      <c r="T94" s="92"/>
      <c r="U94" s="75">
        <f>FoF!AD4</f>
        <v>4963670.870000001</v>
      </c>
      <c r="V94" s="94">
        <f>FoF!AE4</f>
        <v>3</v>
      </c>
      <c r="W94" s="94"/>
      <c r="X94" s="94"/>
      <c r="Y94" s="69"/>
      <c r="Z94" s="91"/>
      <c r="AA94" s="70"/>
      <c r="AB94" s="93"/>
      <c r="AC94" s="80"/>
      <c r="AD94" s="156"/>
      <c r="AE94" s="156"/>
      <c r="AF94" s="156"/>
      <c r="AG94" s="156"/>
      <c r="AH94" s="156"/>
      <c r="AI94" s="80"/>
      <c r="AJ94" s="156"/>
      <c r="AK94" s="156"/>
      <c r="AL94" s="156"/>
      <c r="AM94" s="76">
        <f>Schwab!S89</f>
        <v>64768304.630899921</v>
      </c>
      <c r="AN94" s="74">
        <f>Schwab!Q89</f>
        <v>1311</v>
      </c>
      <c r="AO94" s="75">
        <f>Fidelity!P94</f>
        <v>41971826.758010082</v>
      </c>
      <c r="AP94" s="94">
        <f>Fidelity!O94</f>
        <v>286</v>
      </c>
      <c r="AQ94" s="94"/>
      <c r="AR94" s="94"/>
      <c r="AS94" s="94"/>
      <c r="AT94" s="94"/>
      <c r="AU94" s="94"/>
      <c r="AV94" s="94"/>
      <c r="AW94" s="94"/>
      <c r="AX94" s="94"/>
      <c r="AY94" s="94"/>
      <c r="AZ94" s="94"/>
      <c r="BA94" s="69">
        <f>'TFA - Folio'!H99</f>
        <v>33400974.430000007</v>
      </c>
      <c r="BB94" s="40">
        <f>'TFA - Folio'!I94</f>
        <v>1</v>
      </c>
      <c r="BC94" s="80">
        <f>'TFA - Folio'!K99</f>
        <v>110423069.33000001</v>
      </c>
      <c r="BD94" s="79">
        <f>'TFA - Folio'!N99</f>
        <v>1</v>
      </c>
      <c r="BE94" s="80"/>
      <c r="BG94" s="69">
        <f>UNC!B57</f>
        <v>155562619.90000001</v>
      </c>
      <c r="BH94" s="40">
        <f>UNC!C57</f>
        <v>1</v>
      </c>
      <c r="BI94" s="69">
        <f>'Schwab LC'!D54</f>
        <v>3574832.1750000017</v>
      </c>
      <c r="BJ94" s="40">
        <f>'Schwab LC'!E54</f>
        <v>2</v>
      </c>
      <c r="CI94" s="179">
        <f>'NC State'!B27</f>
        <v>7064875.7100000009</v>
      </c>
      <c r="CJ94" s="176">
        <f>'NC State'!C27</f>
        <v>1</v>
      </c>
      <c r="CK94" s="179">
        <f>'Holiday Oil'!G32</f>
        <v>18853977.020000003</v>
      </c>
      <c r="CL94" s="176">
        <f>'Holiday Oil'!H32</f>
        <v>1</v>
      </c>
      <c r="CM94" s="179">
        <f>SCLVX!B55</f>
        <v>49904615.930000007</v>
      </c>
      <c r="CN94" s="176">
        <f>SCLVX!G55</f>
        <v>1</v>
      </c>
      <c r="CO94" s="179">
        <f>Stifel!B68</f>
        <v>6892859.7949999999</v>
      </c>
      <c r="CP94" s="176">
        <f>Stifel!K68</f>
        <v>6</v>
      </c>
      <c r="CQ94" s="179">
        <f>TDA!O84</f>
        <v>4666208.8625299856</v>
      </c>
      <c r="CR94" s="176">
        <f>TDA!N84</f>
        <v>94</v>
      </c>
      <c r="CS94" s="179">
        <f>UNC!D57</f>
        <v>32373650.619999997</v>
      </c>
      <c r="CT94" s="176">
        <f>UNC!E57</f>
        <v>1</v>
      </c>
      <c r="CU94" s="179">
        <f>Asbestos!B21</f>
        <v>12389329.26</v>
      </c>
      <c r="CV94" s="176">
        <f>Asbestos!C21</f>
        <v>1</v>
      </c>
      <c r="CW94" s="179">
        <f>TUG!H13</f>
        <v>169171118.54999998</v>
      </c>
      <c r="CX94" s="182">
        <f>TUG!I13</f>
        <v>1</v>
      </c>
      <c r="CY94" s="179">
        <f>Cline!B40</f>
        <v>5045622.5500000007</v>
      </c>
      <c r="CZ94" s="176">
        <f>Cline!C40</f>
        <v>1</v>
      </c>
    </row>
    <row r="95" spans="1:112">
      <c r="A95" s="38">
        <v>44104</v>
      </c>
      <c r="B95" s="7">
        <f t="shared" si="41"/>
        <v>1335367743.5892301</v>
      </c>
      <c r="C95" s="84">
        <f t="shared" si="42"/>
        <v>1760</v>
      </c>
      <c r="D95" s="65">
        <f t="shared" si="35"/>
        <v>768402046.31000006</v>
      </c>
      <c r="E95" s="153">
        <f t="shared" si="36"/>
        <v>12</v>
      </c>
      <c r="F95" s="68">
        <f t="shared" si="24"/>
        <v>79483931.599999994</v>
      </c>
      <c r="G95" s="97">
        <f t="shared" si="32"/>
        <v>2</v>
      </c>
      <c r="H95" s="67">
        <f t="shared" si="30"/>
        <v>68969623.649999991</v>
      </c>
      <c r="I95" s="115">
        <f t="shared" si="31"/>
        <v>3</v>
      </c>
      <c r="J95" s="73">
        <f t="shared" si="43"/>
        <v>114531801.85923035</v>
      </c>
      <c r="K95" s="99">
        <f t="shared" si="44"/>
        <v>1740</v>
      </c>
      <c r="L95" s="78">
        <f t="shared" si="39"/>
        <v>303980340.17000002</v>
      </c>
      <c r="M95" s="157">
        <f t="shared" si="40"/>
        <v>3</v>
      </c>
      <c r="O95" s="69">
        <f>SILVX!B102</f>
        <v>558911311.24000001</v>
      </c>
      <c r="P95" s="91">
        <f>SILVX!G102</f>
        <v>1</v>
      </c>
      <c r="Q95" s="70">
        <f>SGLIX!B47</f>
        <v>57170363.299999997</v>
      </c>
      <c r="R95" s="93">
        <f>SGLIX!G47</f>
        <v>1</v>
      </c>
      <c r="S95" s="71"/>
      <c r="T95" s="92"/>
      <c r="U95" s="75">
        <f>FoF!AD5</f>
        <v>5586975.0800000001</v>
      </c>
      <c r="V95" s="94">
        <f>FoF!AE5</f>
        <v>3</v>
      </c>
      <c r="W95" s="94"/>
      <c r="X95" s="94"/>
      <c r="Y95" s="69"/>
      <c r="Z95" s="91"/>
      <c r="AA95" s="70"/>
      <c r="AB95" s="93"/>
      <c r="AC95" s="80"/>
      <c r="AD95" s="156"/>
      <c r="AE95" s="156"/>
      <c r="AF95" s="156"/>
      <c r="AG95" s="156"/>
      <c r="AH95" s="156"/>
      <c r="AI95" s="80"/>
      <c r="AJ95" s="156"/>
      <c r="AK95" s="156"/>
      <c r="AL95" s="156"/>
      <c r="AM95" s="76">
        <f>Schwab!S90</f>
        <v>64915869.928100362</v>
      </c>
      <c r="AN95" s="74">
        <f>Schwab!Q90</f>
        <v>1338</v>
      </c>
      <c r="AO95" s="75">
        <f>Fidelity!P95</f>
        <v>39388567.434580006</v>
      </c>
      <c r="AP95" s="94">
        <f>Fidelity!O95</f>
        <v>302</v>
      </c>
      <c r="AQ95" s="94"/>
      <c r="AR95" s="94"/>
      <c r="AS95" s="94"/>
      <c r="AT95" s="94"/>
      <c r="AU95" s="94"/>
      <c r="AV95" s="94"/>
      <c r="AW95" s="94"/>
      <c r="AX95" s="94"/>
      <c r="AY95" s="94"/>
      <c r="AZ95" s="94"/>
      <c r="BA95" s="69">
        <f>'TFA - Folio'!H100</f>
        <v>35740759.220000029</v>
      </c>
      <c r="BB95" s="40">
        <f>'TFA - Folio'!I95</f>
        <v>1</v>
      </c>
      <c r="BC95" s="80">
        <f>'TFA - Folio'!K100</f>
        <v>111292153.44</v>
      </c>
      <c r="BD95" s="79">
        <f>'TFA - Folio'!N100</f>
        <v>1</v>
      </c>
      <c r="BE95" s="80"/>
      <c r="BG95" s="69">
        <f>UNC!B58</f>
        <v>151481378.78999999</v>
      </c>
      <c r="BH95" s="40">
        <f>UNC!C58</f>
        <v>1</v>
      </c>
      <c r="BI95" s="69">
        <f>'Schwab LC'!D55</f>
        <v>3482382.3699999996</v>
      </c>
      <c r="BJ95" s="40">
        <f>'Schwab LC'!E55</f>
        <v>2</v>
      </c>
      <c r="CI95" s="179">
        <f>'NC State'!B28</f>
        <v>6883381.8299999954</v>
      </c>
      <c r="CJ95" s="176">
        <f>'NC State'!C28</f>
        <v>1</v>
      </c>
      <c r="CK95" s="179">
        <f>'Holiday Oil'!G33</f>
        <v>18825652.049999997</v>
      </c>
      <c r="CL95" s="176">
        <f>'Holiday Oil'!H33</f>
        <v>1</v>
      </c>
      <c r="CM95" s="179">
        <f>SCLVX!B56</f>
        <v>48260548.789999999</v>
      </c>
      <c r="CN95" s="176">
        <f>SCLVX!G56</f>
        <v>1</v>
      </c>
      <c r="CO95" s="179">
        <f>Stifel!B69</f>
        <v>6717103.3599999975</v>
      </c>
      <c r="CP95" s="176">
        <f>Stifel!K69</f>
        <v>6</v>
      </c>
      <c r="CQ95" s="179">
        <f>TDA!O85</f>
        <v>4640389.4165499844</v>
      </c>
      <c r="CR95" s="176">
        <f>TDA!N85</f>
        <v>97</v>
      </c>
      <c r="CS95" s="179">
        <f>UNC!D58</f>
        <v>31223382.810000002</v>
      </c>
      <c r="CT95" s="176">
        <f>UNC!E58</f>
        <v>1</v>
      </c>
      <c r="CU95" s="179">
        <f>Asbestos!B22</f>
        <v>12069111.33</v>
      </c>
      <c r="CV95" s="176">
        <f>Asbestos!C22</f>
        <v>1</v>
      </c>
      <c r="CW95" s="179">
        <f>TUG!H14</f>
        <v>173862534.68000001</v>
      </c>
      <c r="CX95" s="182">
        <f>TUG!I14</f>
        <v>1</v>
      </c>
      <c r="CY95" s="179">
        <f>Cline!B41</f>
        <v>4915878.5199999996</v>
      </c>
      <c r="CZ95" s="176">
        <f>Cline!C41</f>
        <v>1</v>
      </c>
    </row>
    <row r="96" spans="1:112">
      <c r="A96" s="38">
        <v>44135</v>
      </c>
      <c r="B96" s="7">
        <f t="shared" si="41"/>
        <v>1309414947.5919902</v>
      </c>
      <c r="C96" s="84">
        <f t="shared" si="42"/>
        <v>1790</v>
      </c>
      <c r="D96" s="65">
        <f t="shared" si="35"/>
        <v>739540009.20999992</v>
      </c>
      <c r="E96" s="153">
        <f t="shared" si="36"/>
        <v>12</v>
      </c>
      <c r="F96" s="68">
        <f t="shared" si="24"/>
        <v>81154760.089999989</v>
      </c>
      <c r="G96" s="97">
        <f t="shared" si="32"/>
        <v>2</v>
      </c>
      <c r="H96" s="67">
        <f t="shared" si="30"/>
        <v>67955122.469999999</v>
      </c>
      <c r="I96" s="115">
        <f t="shared" si="31"/>
        <v>3</v>
      </c>
      <c r="J96" s="73">
        <f t="shared" si="43"/>
        <v>106635666.39199032</v>
      </c>
      <c r="K96" s="99">
        <f t="shared" si="44"/>
        <v>1770</v>
      </c>
      <c r="L96" s="78">
        <f t="shared" si="39"/>
        <v>314129389.43000001</v>
      </c>
      <c r="M96" s="157">
        <f t="shared" si="40"/>
        <v>3</v>
      </c>
      <c r="O96" s="69">
        <f>SILVX!B103</f>
        <v>528917827.24000001</v>
      </c>
      <c r="P96" s="91">
        <f>SILVX!G103</f>
        <v>1</v>
      </c>
      <c r="Q96" s="70">
        <f>SGLIX!B48</f>
        <v>56536450.039999999</v>
      </c>
      <c r="R96" s="93">
        <f>SGLIX!G48</f>
        <v>1</v>
      </c>
      <c r="S96" s="71"/>
      <c r="T96" s="92"/>
      <c r="U96" s="75">
        <f>FoF!AD6</f>
        <v>6161104.3900000025</v>
      </c>
      <c r="V96" s="94">
        <f>FoF!AE6</f>
        <v>3</v>
      </c>
      <c r="W96" s="94"/>
      <c r="X96" s="94"/>
      <c r="Y96" s="69"/>
      <c r="Z96" s="91"/>
      <c r="AA96" s="70"/>
      <c r="AB96" s="93"/>
      <c r="AC96" s="80"/>
      <c r="AD96" s="156"/>
      <c r="AE96" s="156"/>
      <c r="AF96" s="156"/>
      <c r="AG96" s="156"/>
      <c r="AH96" s="156"/>
      <c r="AI96" s="80"/>
      <c r="AJ96" s="156"/>
      <c r="AK96" s="156"/>
      <c r="AL96" s="156"/>
      <c r="AM96" s="76">
        <f>Schwab!S91</f>
        <v>64399478.083900273</v>
      </c>
      <c r="AN96" s="74">
        <f>Schwab!Q91</f>
        <v>1355</v>
      </c>
      <c r="AO96" s="75">
        <f>Fidelity!P96</f>
        <v>31203744.011840038</v>
      </c>
      <c r="AP96" s="94">
        <f>Fidelity!O96</f>
        <v>313</v>
      </c>
      <c r="AQ96" s="94"/>
      <c r="AR96" s="94"/>
      <c r="AS96" s="94"/>
      <c r="AT96" s="94"/>
      <c r="AU96" s="94"/>
      <c r="AV96" s="94"/>
      <c r="AW96" s="94"/>
      <c r="AX96" s="94"/>
      <c r="AY96" s="94"/>
      <c r="AZ96" s="94"/>
      <c r="BA96" s="69">
        <f>'TFA - Folio'!H101</f>
        <v>40587818.949999988</v>
      </c>
      <c r="BB96" s="40">
        <f>'TFA - Folio'!I96</f>
        <v>1</v>
      </c>
      <c r="BC96" s="80">
        <f>'TFA - Folio'!K101</f>
        <v>110392446.14</v>
      </c>
      <c r="BD96" s="79">
        <f>'TFA - Folio'!N101</f>
        <v>1</v>
      </c>
      <c r="BE96" s="80"/>
      <c r="BG96" s="69">
        <f>UNC!B59</f>
        <v>148385256.91</v>
      </c>
      <c r="BH96" s="40">
        <f>UNC!C59</f>
        <v>1</v>
      </c>
      <c r="BI96" s="69">
        <f>'Schwab LC'!D56</f>
        <v>3403246.79</v>
      </c>
      <c r="BJ96" s="40">
        <f>'Schwab LC'!E56</f>
        <v>2</v>
      </c>
      <c r="CI96" s="179">
        <f>'NC State'!B29</f>
        <v>6659315.4599999981</v>
      </c>
      <c r="CJ96" s="176">
        <f>'NC State'!C29</f>
        <v>1</v>
      </c>
      <c r="CK96" s="179">
        <f>'Holiday Oil'!G34</f>
        <v>18745633.170000002</v>
      </c>
      <c r="CL96" s="176">
        <f>'Holiday Oil'!H34</f>
        <v>1</v>
      </c>
      <c r="CM96" s="179">
        <f>SCLVX!B57</f>
        <v>49411422.199999996</v>
      </c>
      <c r="CN96" s="176">
        <f>SCLVX!G57</f>
        <v>1</v>
      </c>
      <c r="CO96" s="179">
        <f>Stifel!B70</f>
        <v>6427175.7599999979</v>
      </c>
      <c r="CP96" s="176">
        <f>Stifel!K70</f>
        <v>6</v>
      </c>
      <c r="CQ96" s="179">
        <f>TDA!O86</f>
        <v>4871339.9062500075</v>
      </c>
      <c r="CR96" s="176">
        <f>TDA!N86</f>
        <v>99</v>
      </c>
      <c r="CS96" s="179">
        <f>UNC!D59</f>
        <v>31743337.889999997</v>
      </c>
      <c r="CT96" s="176">
        <f>UNC!E59</f>
        <v>1</v>
      </c>
      <c r="CU96" s="179">
        <f>Asbestos!B23</f>
        <v>11818683.560000001</v>
      </c>
      <c r="CV96" s="176">
        <f>Asbestos!C23</f>
        <v>1</v>
      </c>
      <c r="CW96" s="179">
        <f>TUG!H15</f>
        <v>184991310.12</v>
      </c>
      <c r="CX96" s="182">
        <f>TUG!I15</f>
        <v>1</v>
      </c>
      <c r="CY96" s="179">
        <f>Cline!B42</f>
        <v>4759356.9700000007</v>
      </c>
      <c r="CZ96" s="176">
        <f>Cline!C42</f>
        <v>1</v>
      </c>
    </row>
    <row r="97" spans="1:112">
      <c r="A97" s="38">
        <v>44165</v>
      </c>
      <c r="B97" s="7">
        <f t="shared" si="41"/>
        <v>1416302430.1789606</v>
      </c>
      <c r="C97" s="84">
        <f t="shared" si="42"/>
        <v>1819</v>
      </c>
      <c r="D97" s="65">
        <f t="shared" si="35"/>
        <v>754002932.66000009</v>
      </c>
      <c r="E97" s="153">
        <f t="shared" si="36"/>
        <v>12</v>
      </c>
      <c r="F97" s="68">
        <f t="shared" si="24"/>
        <v>88354074.829999998</v>
      </c>
      <c r="G97" s="97">
        <f t="shared" si="32"/>
        <v>2</v>
      </c>
      <c r="H97" s="67">
        <f t="shared" si="30"/>
        <v>95835485.459000006</v>
      </c>
      <c r="I97" s="115">
        <f t="shared" si="31"/>
        <v>3</v>
      </c>
      <c r="J97" s="73">
        <f t="shared" si="43"/>
        <v>133722343.16996045</v>
      </c>
      <c r="K97" s="99">
        <f t="shared" si="44"/>
        <v>1799</v>
      </c>
      <c r="L97" s="78">
        <f t="shared" si="39"/>
        <v>344387594.06</v>
      </c>
      <c r="M97" s="157">
        <f t="shared" si="40"/>
        <v>3</v>
      </c>
      <c r="O97" s="69">
        <f>SILVX!B104</f>
        <v>526077932.93000001</v>
      </c>
      <c r="P97" s="91">
        <f>SILVX!G104</f>
        <v>1</v>
      </c>
      <c r="Q97" s="70">
        <f>SGLIX!B49</f>
        <v>83496555.450000003</v>
      </c>
      <c r="R97" s="93">
        <f>SGLIX!G49</f>
        <v>1</v>
      </c>
      <c r="S97" s="71"/>
      <c r="T97" s="92"/>
      <c r="U97" s="75">
        <f>FoF!AD7</f>
        <v>6571433.0100000016</v>
      </c>
      <c r="V97" s="94">
        <f>FoF!AE7</f>
        <v>3</v>
      </c>
      <c r="W97" s="94"/>
      <c r="X97" s="94"/>
      <c r="Y97" s="69"/>
      <c r="Z97" s="91"/>
      <c r="AA97" s="70"/>
      <c r="AB97" s="93"/>
      <c r="AC97" s="80"/>
      <c r="AD97" s="156"/>
      <c r="AE97" s="156"/>
      <c r="AF97" s="156"/>
      <c r="AG97" s="156"/>
      <c r="AH97" s="156"/>
      <c r="AI97" s="80"/>
      <c r="AJ97" s="156"/>
      <c r="AK97" s="156"/>
      <c r="AL97" s="156"/>
      <c r="AM97" s="76">
        <f>Schwab!S92</f>
        <v>80751468.518500477</v>
      </c>
      <c r="AN97" s="74">
        <f>Schwab!Q92</f>
        <v>1371</v>
      </c>
      <c r="AO97" s="75">
        <f>Fidelity!P97</f>
        <v>40469755.656820014</v>
      </c>
      <c r="AP97" s="94">
        <f>Fidelity!O97</f>
        <v>327</v>
      </c>
      <c r="AQ97" s="94"/>
      <c r="AR97" s="94"/>
      <c r="AS97" s="94"/>
      <c r="AT97" s="94"/>
      <c r="AU97" s="94"/>
      <c r="AV97" s="94"/>
      <c r="AW97" s="94"/>
      <c r="AX97" s="94"/>
      <c r="AY97" s="94"/>
      <c r="AZ97" s="94"/>
      <c r="BA97" s="69">
        <f>'TFA - Folio'!H102</f>
        <v>46001325.480000019</v>
      </c>
      <c r="BB97" s="40">
        <f>'TFA - Folio'!I97</f>
        <v>1</v>
      </c>
      <c r="BC97" s="80">
        <f>'TFA - Folio'!K102</f>
        <v>112212744.42</v>
      </c>
      <c r="BD97" s="79">
        <f>'TFA - Folio'!N102</f>
        <v>1</v>
      </c>
      <c r="BE97" s="80"/>
      <c r="BG97" s="69">
        <f>UNC!B60</f>
        <v>158752624.56</v>
      </c>
      <c r="BH97" s="40">
        <f>UNC!C60</f>
        <v>1</v>
      </c>
      <c r="BI97" s="69">
        <f>'Schwab LC'!D57</f>
        <v>3640606.9400000004</v>
      </c>
      <c r="BJ97" s="40">
        <f>'Schwab LC'!E57</f>
        <v>2</v>
      </c>
      <c r="CI97" s="179">
        <f>'NC State'!B30</f>
        <v>7196380.0689999992</v>
      </c>
      <c r="CJ97" s="176">
        <f>'NC State'!C30</f>
        <v>1</v>
      </c>
      <c r="CK97" s="179">
        <f>'Holiday Oil'!G35</f>
        <v>18988987.049999993</v>
      </c>
      <c r="CL97" s="176">
        <f>'Holiday Oil'!H35</f>
        <v>1</v>
      </c>
      <c r="CM97" s="179">
        <f>SCLVX!B58</f>
        <v>55058446.780000001</v>
      </c>
      <c r="CN97" s="176">
        <f>SCLVX!G58</f>
        <v>1</v>
      </c>
      <c r="CO97" s="179">
        <f>Stifel!B71</f>
        <v>6878108.7400000012</v>
      </c>
      <c r="CP97" s="176">
        <f>Stifel!K71</f>
        <v>6</v>
      </c>
      <c r="CQ97" s="179">
        <f>TDA!O87</f>
        <v>5929685.9846399631</v>
      </c>
      <c r="CR97" s="176">
        <f>TDA!N87</f>
        <v>98</v>
      </c>
      <c r="CS97" s="179">
        <f>UNC!D60</f>
        <v>33295628.050000001</v>
      </c>
      <c r="CT97" s="176">
        <f>UNC!E60</f>
        <v>1</v>
      </c>
      <c r="CU97" s="179">
        <f>Asbestos!B24</f>
        <v>12652334.01</v>
      </c>
      <c r="CV97" s="176">
        <f>Asbestos!C24</f>
        <v>1</v>
      </c>
      <c r="CW97" s="179">
        <f>TUG!H16</f>
        <v>213185862.59</v>
      </c>
      <c r="CX97" s="182">
        <f>TUG!I16</f>
        <v>1</v>
      </c>
      <c r="CY97" s="179">
        <f>Cline!B43</f>
        <v>5142549.9399999995</v>
      </c>
      <c r="CZ97" s="176">
        <f>Cline!C43</f>
        <v>1</v>
      </c>
    </row>
    <row r="98" spans="1:112" s="140" customFormat="1">
      <c r="A98" s="116">
        <v>44196</v>
      </c>
      <c r="B98" s="117">
        <f>O98+CM98+Q98+AM98+CQ98+AO98+DA98+BA98+BC98+CO98+BG98+CS98+BI98+CY98+CK98+CI98+DC98+DE98+CU98+CW98+U98+AI98</f>
        <v>1496781306.8811893</v>
      </c>
      <c r="C98" s="118">
        <f>P98+CN98+R98+AN98+CR98+AP98+DB98+BB98+BD98+CP98+BH98+CT98+BJ98+CZ98+CL98+DD98+DF98+CJ98+CV98+CX98+AJ98+V98</f>
        <v>1877</v>
      </c>
      <c r="D98" s="119">
        <f t="shared" si="35"/>
        <v>777635640.37</v>
      </c>
      <c r="E98" s="154">
        <f t="shared" si="36"/>
        <v>12</v>
      </c>
      <c r="F98" s="121">
        <f t="shared" ref="F98:F127" si="45">CM98+CS98</f>
        <v>90895089.020000011</v>
      </c>
      <c r="G98" s="122">
        <f t="shared" si="32"/>
        <v>2</v>
      </c>
      <c r="H98" s="123">
        <f t="shared" si="30"/>
        <v>100295013.73099999</v>
      </c>
      <c r="I98" s="149">
        <f t="shared" si="31"/>
        <v>3</v>
      </c>
      <c r="J98" s="125">
        <f t="shared" si="43"/>
        <v>158726855.78018948</v>
      </c>
      <c r="K98" s="126">
        <f t="shared" si="44"/>
        <v>1856</v>
      </c>
      <c r="L98" s="127">
        <f t="shared" ref="L98:M100" si="46">BC98+CK98+DE98+CW98+AI98</f>
        <v>369228707.97999996</v>
      </c>
      <c r="M98" s="128">
        <f t="shared" si="46"/>
        <v>4</v>
      </c>
      <c r="N98" s="83"/>
      <c r="O98" s="129">
        <f>SILVX!B105</f>
        <v>540531045.76999998</v>
      </c>
      <c r="P98" s="130">
        <f>SILVX!G105</f>
        <v>1</v>
      </c>
      <c r="Q98" s="147">
        <f>SGLIX!B50</f>
        <v>87559534.089999989</v>
      </c>
      <c r="R98" s="148">
        <f>SGLIX!G50</f>
        <v>1</v>
      </c>
      <c r="S98" s="142"/>
      <c r="T98" s="132"/>
      <c r="U98" s="135">
        <f>FoF!AD8</f>
        <v>7025614.0900000017</v>
      </c>
      <c r="V98" s="136">
        <f>FoF!AE8</f>
        <v>3</v>
      </c>
      <c r="W98" s="136"/>
      <c r="X98" s="136"/>
      <c r="Y98" s="129"/>
      <c r="Z98" s="130"/>
      <c r="AA98" s="147"/>
      <c r="AB98" s="148"/>
      <c r="AC98" s="138"/>
      <c r="AD98" s="139"/>
      <c r="AE98" s="139"/>
      <c r="AF98" s="139"/>
      <c r="AG98" s="139"/>
      <c r="AH98" s="139"/>
      <c r="AI98" s="138">
        <f>HF!B2</f>
        <v>3392455.03</v>
      </c>
      <c r="AJ98" s="139">
        <f>HF!C2</f>
        <v>1</v>
      </c>
      <c r="AK98" s="139"/>
      <c r="AL98" s="139"/>
      <c r="AM98" s="141">
        <f>Schwab!S93</f>
        <v>81715111.258199483</v>
      </c>
      <c r="AN98" s="134">
        <f>Schwab!Q93</f>
        <v>1398</v>
      </c>
      <c r="AO98" s="135">
        <f>Fidelity!P98</f>
        <v>63589358.727990001</v>
      </c>
      <c r="AP98" s="136">
        <f>Fidelity!O98</f>
        <v>356</v>
      </c>
      <c r="AQ98" s="136"/>
      <c r="AR98" s="136"/>
      <c r="AS98" s="136"/>
      <c r="AT98" s="136"/>
      <c r="AU98" s="136"/>
      <c r="AV98" s="136"/>
      <c r="AW98" s="136"/>
      <c r="AX98" s="136"/>
      <c r="AY98" s="135">
        <f>BA98-BA86</f>
        <v>28721313.320000052</v>
      </c>
      <c r="AZ98" s="136"/>
      <c r="BA98" s="129">
        <f>'TFA - Folio'!H103</f>
        <v>48233851.320000052</v>
      </c>
      <c r="BB98" s="137">
        <f>'TFA - Folio'!I98</f>
        <v>1</v>
      </c>
      <c r="BC98" s="138">
        <f>'TFA - Folio'!K103</f>
        <v>106465768.25999999</v>
      </c>
      <c r="BD98" s="139">
        <f>'TFA - Folio'!N103</f>
        <v>1</v>
      </c>
      <c r="BE98" s="138"/>
      <c r="BF98" s="139"/>
      <c r="BG98" s="129">
        <f>UNC!B61</f>
        <v>164824298.63</v>
      </c>
      <c r="BH98" s="137">
        <f>UNC!C61</f>
        <v>1</v>
      </c>
      <c r="BI98" s="129">
        <f>'Schwab LC'!D58</f>
        <v>3777952.9</v>
      </c>
      <c r="BJ98" s="137">
        <f>'Schwab LC'!E58</f>
        <v>2</v>
      </c>
      <c r="BK98" s="198"/>
      <c r="BL98" s="198"/>
      <c r="BM98" s="198"/>
      <c r="BN98" s="198"/>
      <c r="BO98" s="198"/>
      <c r="BP98" s="198"/>
      <c r="BQ98" s="198"/>
      <c r="BR98" s="198"/>
      <c r="BS98" s="198"/>
      <c r="BT98" s="198"/>
      <c r="BU98" s="198"/>
      <c r="BV98" s="198"/>
      <c r="BW98" s="198"/>
      <c r="BX98" s="198"/>
      <c r="BY98" s="198"/>
      <c r="BZ98" s="198"/>
      <c r="CA98" s="198"/>
      <c r="CB98" s="198"/>
      <c r="CC98" s="198"/>
      <c r="CD98" s="198"/>
      <c r="CE98" s="198"/>
      <c r="CF98" s="198"/>
      <c r="CG98" s="198"/>
      <c r="CH98" s="198"/>
      <c r="CI98" s="180">
        <f>'NC State'!B31</f>
        <v>7428529.5609999988</v>
      </c>
      <c r="CJ98" s="174">
        <f>'NC State'!C31</f>
        <v>1</v>
      </c>
      <c r="CK98" s="180">
        <f>'Holiday Oil'!G36</f>
        <v>22517547.100000005</v>
      </c>
      <c r="CL98" s="174">
        <f>'Holiday Oil'!H36</f>
        <v>1</v>
      </c>
      <c r="CM98" s="180">
        <f>SCLVX!B59</f>
        <v>55550816.420000002</v>
      </c>
      <c r="CN98" s="174">
        <f>SCLVX!G59</f>
        <v>1</v>
      </c>
      <c r="CO98" s="180">
        <f>Stifel!B72</f>
        <v>7137589.0799999982</v>
      </c>
      <c r="CP98" s="174">
        <f>Stifel!K72</f>
        <v>6</v>
      </c>
      <c r="CQ98" s="180">
        <f>TDA!O88</f>
        <v>6396771.7039999906</v>
      </c>
      <c r="CR98" s="174">
        <f>TDA!N88</f>
        <v>99</v>
      </c>
      <c r="CS98" s="180">
        <f>UNC!D61</f>
        <v>35344272.600000001</v>
      </c>
      <c r="CT98" s="174">
        <f>UNC!E61</f>
        <v>1</v>
      </c>
      <c r="CU98" s="180">
        <f>Asbestos!B25</f>
        <v>13130902.67</v>
      </c>
      <c r="CV98" s="174">
        <f>Asbestos!C25</f>
        <v>1</v>
      </c>
      <c r="CW98" s="180">
        <f>TUG!H17</f>
        <v>236852937.58999997</v>
      </c>
      <c r="CX98" s="174">
        <f>TUG!I17</f>
        <v>1</v>
      </c>
      <c r="CY98" s="180">
        <f>Cline!B44</f>
        <v>5306950.08</v>
      </c>
      <c r="CZ98" s="174">
        <f>Cline!C44</f>
        <v>1</v>
      </c>
      <c r="DA98" s="174"/>
      <c r="DB98" s="174"/>
      <c r="DC98" s="174"/>
      <c r="DD98" s="174"/>
      <c r="DE98" s="174"/>
      <c r="DF98" s="174"/>
      <c r="DG98" s="174"/>
      <c r="DH98" s="174"/>
    </row>
    <row r="99" spans="1:112">
      <c r="A99" s="38">
        <v>44227</v>
      </c>
      <c r="B99" s="7">
        <f>O99+CM99+Q99+AM99+CQ99+AO99+DA99+BA99+BC99+CO99+BG99+CS99+BI99+CY99+CK99+CI99+DC99+DE99+CU99+CW99+U99+AI99</f>
        <v>1615474867.6336565</v>
      </c>
      <c r="C99" s="84">
        <f>P99+CN99+R99+AN99+CR99+AP99+DB99+BB99+BD99+CP99+BH99+CT99+BJ99+CZ99+CL99+DD99+DF99+CJ99+CV99+CX99+AJ99+V99</f>
        <v>2109</v>
      </c>
      <c r="D99" s="65">
        <f t="shared" si="35"/>
        <v>748190619.96999991</v>
      </c>
      <c r="E99" s="153">
        <f t="shared" si="36"/>
        <v>11</v>
      </c>
      <c r="F99" s="68">
        <f t="shared" si="45"/>
        <v>93068161.069999993</v>
      </c>
      <c r="G99" s="97">
        <f t="shared" si="32"/>
        <v>2</v>
      </c>
      <c r="H99" s="67">
        <f t="shared" si="30"/>
        <v>96787808.069999993</v>
      </c>
      <c r="I99" s="115">
        <f t="shared" si="31"/>
        <v>3</v>
      </c>
      <c r="J99" s="73">
        <f t="shared" si="43"/>
        <v>296015455.68365651</v>
      </c>
      <c r="K99" s="99">
        <f t="shared" si="44"/>
        <v>2089</v>
      </c>
      <c r="L99" s="78">
        <f t="shared" si="46"/>
        <v>381412822.83999997</v>
      </c>
      <c r="M99" s="157">
        <f t="shared" si="46"/>
        <v>4</v>
      </c>
      <c r="O99" s="69">
        <f>SILVX!B106</f>
        <v>515123063.17000002</v>
      </c>
      <c r="P99" s="91">
        <f>SILVX!G106</f>
        <v>1</v>
      </c>
      <c r="Q99" s="70">
        <f>SGLIX!B51</f>
        <v>84319104.859999999</v>
      </c>
      <c r="R99" s="93">
        <f>SGLIX!G51</f>
        <v>1</v>
      </c>
      <c r="S99" s="71"/>
      <c r="T99" s="92"/>
      <c r="U99" s="75">
        <f>FoF!AD9</f>
        <v>6937860.5599999987</v>
      </c>
      <c r="V99" s="94">
        <f>FoF!AE9</f>
        <v>3</v>
      </c>
      <c r="W99" s="94"/>
      <c r="X99" s="94"/>
      <c r="Y99" s="69"/>
      <c r="Z99" s="91"/>
      <c r="AA99" s="70"/>
      <c r="AB99" s="93"/>
      <c r="AC99" s="80"/>
      <c r="AD99" s="156"/>
      <c r="AE99" s="156"/>
      <c r="AF99" s="156"/>
      <c r="AG99" s="156"/>
      <c r="AH99" s="156"/>
      <c r="AI99" s="80">
        <f>HF!B3</f>
        <v>3307153.15</v>
      </c>
      <c r="AJ99" s="156">
        <f>HF!C3</f>
        <v>1</v>
      </c>
      <c r="AK99" s="156"/>
      <c r="AL99" s="156"/>
      <c r="AM99" s="76">
        <f>Schwab!S94</f>
        <v>155720128.40999949</v>
      </c>
      <c r="AN99" s="74">
        <f>Schwab!Q94</f>
        <v>1564</v>
      </c>
      <c r="AO99" s="75">
        <f>Fidelity!P99</f>
        <v>127070863.83759698</v>
      </c>
      <c r="AP99" s="94">
        <f>Fidelity!O99</f>
        <v>424</v>
      </c>
      <c r="AQ99" s="94"/>
      <c r="AR99" s="94"/>
      <c r="AS99" s="94"/>
      <c r="AT99" s="94"/>
      <c r="AU99" s="94"/>
      <c r="AV99" s="94"/>
      <c r="AW99" s="94"/>
      <c r="AX99" s="94"/>
      <c r="AY99" s="94"/>
      <c r="AZ99" s="94"/>
      <c r="BA99" s="69">
        <f>'TFA - Folio'!H104</f>
        <v>50139389.340000033</v>
      </c>
      <c r="BB99" s="40">
        <f>'TFA - Folio'!I99</f>
        <v>1</v>
      </c>
      <c r="BC99" s="80">
        <f>'TFA - Folio'!K104</f>
        <v>102082328.37000003</v>
      </c>
      <c r="BD99" s="79">
        <f>'TFA - Folio'!N104</f>
        <v>1</v>
      </c>
      <c r="BE99" s="80"/>
      <c r="BG99" s="69">
        <f>UNC!B62</f>
        <v>159916551.59999999</v>
      </c>
      <c r="BH99" s="40">
        <f>UNC!C62</f>
        <v>1</v>
      </c>
      <c r="BI99" s="69">
        <f>'Schwab LC'!D59</f>
        <v>3649541.1699999995</v>
      </c>
      <c r="BJ99" s="40">
        <f>'Schwab LC'!E59</f>
        <v>2</v>
      </c>
      <c r="CI99" s="179">
        <f>'NC State'!B32</f>
        <v>7270684.1200000001</v>
      </c>
      <c r="CJ99" s="176">
        <f>'NC State'!C32</f>
        <v>1</v>
      </c>
      <c r="CK99" s="179">
        <f>'Holiday Oil'!G37</f>
        <v>22343111.040000003</v>
      </c>
      <c r="CL99" s="176">
        <f>'Holiday Oil'!H37</f>
        <v>1</v>
      </c>
      <c r="CM99" s="179">
        <f>SCLVX!B60</f>
        <v>56912012.320000008</v>
      </c>
      <c r="CN99" s="176">
        <f>SCLVX!G60</f>
        <v>1</v>
      </c>
      <c r="CO99" s="179">
        <f>Stifel!B73</f>
        <v>6622220.5499999998</v>
      </c>
      <c r="CP99" s="176">
        <f>Stifel!K73</f>
        <v>5</v>
      </c>
      <c r="CQ99" s="179">
        <f>TDA!O89</f>
        <v>6286602.8760600016</v>
      </c>
      <c r="CR99" s="176">
        <f>TDA!N89</f>
        <v>98</v>
      </c>
      <c r="CS99" s="179">
        <f>UNC!D62</f>
        <v>36156148.749999993</v>
      </c>
      <c r="CT99" s="176">
        <f>UNC!E62</f>
        <v>1</v>
      </c>
      <c r="CU99" s="179">
        <f>Asbestos!B26</f>
        <v>12739854.140000001</v>
      </c>
      <c r="CV99" s="176">
        <f>Asbestos!C26</f>
        <v>1</v>
      </c>
      <c r="CW99" s="179">
        <f>TUG!H18</f>
        <v>253680230.27999997</v>
      </c>
      <c r="CX99" s="182">
        <f>TUG!I18</f>
        <v>1</v>
      </c>
      <c r="CY99" s="179">
        <f>Cline!B45</f>
        <v>5198019.0899999961</v>
      </c>
      <c r="CZ99" s="176">
        <f>Cline!C45</f>
        <v>1</v>
      </c>
    </row>
    <row r="100" spans="1:112">
      <c r="A100" s="38">
        <v>44255</v>
      </c>
      <c r="B100" s="7">
        <f>O100+CM100+Q100+AM100+CQ100+AO100+DA100+BA100+BC100+CO100+BG100+CS100+BI100+CY100+CK100+CI100+DC100+DE100+CU100+CW100+U100+AI100</f>
        <v>1619136839.5937605</v>
      </c>
      <c r="C100" s="84">
        <f>P100+CN100+R100+AN100+CR100+AP100+DB100+BB100+BD100+CP100+BH100+CT100+BJ100+CZ100+CL100+DD100+DF100+CJ100+CV100+CX100+AJ100+V100</f>
        <v>2165</v>
      </c>
      <c r="D100" s="65">
        <f t="shared" si="35"/>
        <v>720244150.19499993</v>
      </c>
      <c r="E100" s="153">
        <f t="shared" si="36"/>
        <v>11</v>
      </c>
      <c r="F100" s="68">
        <f t="shared" si="45"/>
        <v>73496740.770000011</v>
      </c>
      <c r="G100" s="97">
        <f t="shared" si="32"/>
        <v>2</v>
      </c>
      <c r="H100" s="67">
        <f t="shared" si="30"/>
        <v>105095907.17</v>
      </c>
      <c r="I100" s="115">
        <f t="shared" si="31"/>
        <v>3</v>
      </c>
      <c r="J100" s="73">
        <f t="shared" si="43"/>
        <v>332870770.24044055</v>
      </c>
      <c r="K100" s="99">
        <f t="shared" si="44"/>
        <v>2145</v>
      </c>
      <c r="L100" s="78">
        <f t="shared" si="46"/>
        <v>387429271.21831995</v>
      </c>
      <c r="M100" s="157">
        <f t="shared" si="46"/>
        <v>4</v>
      </c>
      <c r="O100" s="69">
        <f>SILVX!B107</f>
        <v>487255663.67000002</v>
      </c>
      <c r="P100" s="91">
        <f>SILVX!G107</f>
        <v>1</v>
      </c>
      <c r="Q100" s="70">
        <f>SGLIX!B52</f>
        <v>92600703.159999996</v>
      </c>
      <c r="R100" s="93">
        <f>SGLIX!G52</f>
        <v>1</v>
      </c>
      <c r="S100" s="71"/>
      <c r="T100" s="92"/>
      <c r="U100" s="75">
        <f>FoF!AD10</f>
        <v>10248955.390000002</v>
      </c>
      <c r="V100" s="94">
        <f>FoF!AE10</f>
        <v>3</v>
      </c>
      <c r="W100" s="94"/>
      <c r="X100" s="94"/>
      <c r="Y100" s="69"/>
      <c r="Z100" s="91"/>
      <c r="AA100" s="70"/>
      <c r="AB100" s="93"/>
      <c r="AC100" s="80"/>
      <c r="AD100" s="156"/>
      <c r="AE100" s="156"/>
      <c r="AF100" s="156"/>
      <c r="AG100" s="156"/>
      <c r="AH100" s="156"/>
      <c r="AI100" s="80">
        <f>HF!B4</f>
        <v>3723092.28</v>
      </c>
      <c r="AJ100" s="156">
        <f>HF!C4</f>
        <v>1</v>
      </c>
      <c r="AK100" s="156"/>
      <c r="AL100" s="156"/>
      <c r="AM100" s="76">
        <f>Schwab!S95</f>
        <v>180373491.67164969</v>
      </c>
      <c r="AN100" s="74">
        <f>Schwab!Q95</f>
        <v>1592</v>
      </c>
      <c r="AO100" s="75">
        <f>Fidelity!P100</f>
        <v>133925152.67344083</v>
      </c>
      <c r="AP100" s="94">
        <f>Fidelity!O100</f>
        <v>447</v>
      </c>
      <c r="AQ100" s="94"/>
      <c r="AR100" s="94"/>
      <c r="AS100" s="94"/>
      <c r="AT100" s="94"/>
      <c r="AU100" s="94"/>
      <c r="AV100" s="94"/>
      <c r="AW100" s="94"/>
      <c r="AX100" s="94"/>
      <c r="AY100" s="94"/>
      <c r="AZ100" s="94"/>
      <c r="BA100" s="69">
        <f>'TFA - Folio'!H105</f>
        <v>49808911.980000019</v>
      </c>
      <c r="BB100" s="40">
        <f>'TFA - Folio'!I100</f>
        <v>1</v>
      </c>
      <c r="BC100" s="80">
        <f>'TFA - Folio'!K105</f>
        <v>98862038.890000001</v>
      </c>
      <c r="BD100" s="79">
        <f>'TFA - Folio'!N105</f>
        <v>1</v>
      </c>
      <c r="BE100" s="80"/>
      <c r="BG100" s="69">
        <f>UNC!B63</f>
        <v>160087476.15000001</v>
      </c>
      <c r="BH100" s="40">
        <f>UNC!C63</f>
        <v>1</v>
      </c>
      <c r="BI100" s="69">
        <f>'Schwab LC'!D60</f>
        <v>3652803.5449999995</v>
      </c>
      <c r="BJ100" s="40">
        <f>'Schwab LC'!E60</f>
        <v>2</v>
      </c>
      <c r="CI100" s="179">
        <f>'NC State'!B33</f>
        <v>7286401.415</v>
      </c>
      <c r="CJ100" s="176">
        <f>'NC State'!C33</f>
        <v>1</v>
      </c>
      <c r="CK100" s="179">
        <f>'Holiday Oil'!G38</f>
        <v>22051166.228320003</v>
      </c>
      <c r="CL100" s="176">
        <f>'Holiday Oil'!H38</f>
        <v>1</v>
      </c>
      <c r="CM100" s="179">
        <f>SCLVX!B61</f>
        <v>36792126.93</v>
      </c>
      <c r="CN100" s="176">
        <f>SCLVX!G61</f>
        <v>1</v>
      </c>
      <c r="CO100" s="179">
        <f>Stifel!B74</f>
        <v>6682539.0499999989</v>
      </c>
      <c r="CP100" s="176">
        <f>Stifel!K74</f>
        <v>5</v>
      </c>
      <c r="CQ100" s="179">
        <f>TDA!O90</f>
        <v>8323170.5053500291</v>
      </c>
      <c r="CR100" s="176">
        <f>TDA!N90</f>
        <v>103</v>
      </c>
      <c r="CS100" s="179">
        <f>UNC!D63</f>
        <v>36704613.840000004</v>
      </c>
      <c r="CT100" s="176">
        <f>UNC!E63</f>
        <v>1</v>
      </c>
      <c r="CU100" s="179">
        <f>Asbestos!B27</f>
        <v>12756755.800000001</v>
      </c>
      <c r="CV100" s="176">
        <f>Asbestos!C27</f>
        <v>1</v>
      </c>
      <c r="CW100" s="179">
        <f>TUG!H19</f>
        <v>262792973.81999999</v>
      </c>
      <c r="CX100" s="182">
        <f>TUG!I19</f>
        <v>1</v>
      </c>
      <c r="CY100" s="179">
        <f>Cline!B46</f>
        <v>5208802.5949999997</v>
      </c>
      <c r="CZ100" s="176">
        <f>Cline!C46</f>
        <v>1</v>
      </c>
    </row>
    <row r="101" spans="1:112">
      <c r="A101" s="38">
        <v>44286</v>
      </c>
      <c r="B101" s="7">
        <f>O101+CM101+Q101+AM101+CQ101+AO101+AU101+BA101+BC101+CO101+BG101+CS101+BI101+CY101+CK101+CI101+CU101+CW101+U101+AI101+S101</f>
        <v>1747279295.1536756</v>
      </c>
      <c r="C101" s="84">
        <f>P101+CN101+R101+AN101+CR101+AP101+DB101+BB101+BD101+CP101+BH101+CT101+BJ101+CZ101+CL101+DD101+DF101+CJ101+CV101+CX101+AJ101+V101+T101</f>
        <v>2277</v>
      </c>
      <c r="D101" s="65">
        <f t="shared" si="35"/>
        <v>734939113.05999994</v>
      </c>
      <c r="E101" s="153">
        <f t="shared" si="36"/>
        <v>11</v>
      </c>
      <c r="F101" s="68">
        <f t="shared" si="45"/>
        <v>74856977.900000006</v>
      </c>
      <c r="G101" s="170">
        <f t="shared" si="32"/>
        <v>2</v>
      </c>
      <c r="H101" s="67">
        <f t="shared" si="30"/>
        <v>110024062.59000002</v>
      </c>
      <c r="I101" s="115">
        <f t="shared" si="31"/>
        <v>3</v>
      </c>
      <c r="J101" s="73">
        <f t="shared" si="43"/>
        <v>341019419.33367586</v>
      </c>
      <c r="K101" s="99">
        <f t="shared" si="44"/>
        <v>2256</v>
      </c>
      <c r="L101" s="78">
        <f t="shared" ref="L101:L109" si="47">BC101+CK101+DE101+CW101+AI101+S101</f>
        <v>482499743.79999995</v>
      </c>
      <c r="M101" s="157">
        <f t="shared" ref="M101:M109" si="48">BD101+CL101+DF101+CX101+AJ101+T101</f>
        <v>5</v>
      </c>
      <c r="O101" s="69">
        <f>SILVX!B108</f>
        <v>494625680.19999999</v>
      </c>
      <c r="P101" s="91">
        <f>SILVX!G108</f>
        <v>1</v>
      </c>
      <c r="Q101" s="70">
        <f>SGLIX!B53</f>
        <v>97179910.680000007</v>
      </c>
      <c r="R101" s="93">
        <f>SGLIX!G53</f>
        <v>1</v>
      </c>
      <c r="S101" s="71">
        <f>BOGIX!B2</f>
        <v>85117891.310000017</v>
      </c>
      <c r="T101" s="92">
        <f>BOGIX!G2</f>
        <v>1</v>
      </c>
      <c r="U101" s="75">
        <f>FoF!AD11</f>
        <v>8391573.6599999927</v>
      </c>
      <c r="V101" s="94">
        <f>FoF!AE11</f>
        <v>3</v>
      </c>
      <c r="W101" s="94"/>
      <c r="X101" s="94"/>
      <c r="Y101" s="69"/>
      <c r="Z101" s="91"/>
      <c r="AA101" s="70"/>
      <c r="AB101" s="93"/>
      <c r="AC101" s="80"/>
      <c r="AD101" s="156"/>
      <c r="AE101" s="156"/>
      <c r="AF101" s="156"/>
      <c r="AG101" s="156"/>
      <c r="AH101" s="156"/>
      <c r="AI101" s="80">
        <f>HF!B5</f>
        <v>3944018.3</v>
      </c>
      <c r="AJ101" s="156">
        <f>HF!C5</f>
        <v>1</v>
      </c>
      <c r="AK101" s="156"/>
      <c r="AL101" s="156"/>
      <c r="AM101" s="76">
        <f>Schwab!S96</f>
        <v>171883242.58876806</v>
      </c>
      <c r="AN101" s="74">
        <f>Schwab!Q96</f>
        <v>1665</v>
      </c>
      <c r="AO101" s="75">
        <f>Fidelity!P101</f>
        <v>153010653.61949781</v>
      </c>
      <c r="AP101" s="94">
        <f>Fidelity!O101</f>
        <v>484</v>
      </c>
      <c r="AQ101" s="94"/>
      <c r="AR101" s="94"/>
      <c r="AS101" s="75"/>
      <c r="AT101" s="94"/>
      <c r="AU101" s="75">
        <v>3939978.47</v>
      </c>
      <c r="AV101" s="94">
        <v>49</v>
      </c>
      <c r="AW101" s="94"/>
      <c r="AX101" s="94"/>
      <c r="AY101" s="94"/>
      <c r="AZ101" s="94"/>
      <c r="BA101" s="69">
        <f>'TFA - Folio'!H106</f>
        <v>52695862.569999993</v>
      </c>
      <c r="BB101" s="40">
        <f>'TFA - Folio'!I101</f>
        <v>1</v>
      </c>
      <c r="BC101" s="80">
        <f>'TFA - Folio'!K106</f>
        <v>98920230.599999994</v>
      </c>
      <c r="BD101" s="79">
        <f>'TFA - Folio'!N106</f>
        <v>1</v>
      </c>
      <c r="BE101" s="80"/>
      <c r="BG101" s="69">
        <f>UNC!B64</f>
        <v>163969941.91</v>
      </c>
      <c r="BH101" s="40">
        <f>UNC!C64</f>
        <v>1</v>
      </c>
      <c r="BI101" s="69">
        <f>'Schwab LC'!D61</f>
        <v>3738954.6799999992</v>
      </c>
      <c r="BJ101" s="40">
        <f>'Schwab LC'!E61</f>
        <v>2</v>
      </c>
      <c r="CI101" s="179">
        <f>'NC State'!B34</f>
        <v>7483153.7599999988</v>
      </c>
      <c r="CJ101" s="176">
        <f>'NC State'!C34</f>
        <v>1</v>
      </c>
      <c r="CK101" s="179">
        <f>'Holiday Oil'!G39</f>
        <v>21121008.5</v>
      </c>
      <c r="CL101" s="176">
        <f>'Holiday Oil'!H39</f>
        <v>1</v>
      </c>
      <c r="CM101" s="179">
        <f>SCLVX!B62</f>
        <v>37752423.839999996</v>
      </c>
      <c r="CN101" s="176">
        <f>SCLVX!G62</f>
        <v>1</v>
      </c>
      <c r="CO101" s="179">
        <f>Stifel!B75</f>
        <v>6841327.8699999992</v>
      </c>
      <c r="CP101" s="176">
        <f>Stifel!K75</f>
        <v>5</v>
      </c>
      <c r="CQ101" s="179">
        <f>TDA!O91</f>
        <v>7733949.4654100072</v>
      </c>
      <c r="CR101" s="176">
        <f>TDA!N91</f>
        <v>104</v>
      </c>
      <c r="CS101" s="179">
        <f>UNC!D64</f>
        <v>37104554.060000002</v>
      </c>
      <c r="CT101" s="176">
        <f>UNC!E64</f>
        <v>1</v>
      </c>
      <c r="CU101" s="179">
        <f>Asbestos!B28</f>
        <v>13067345.83</v>
      </c>
      <c r="CV101" s="176">
        <f>Asbestos!C28</f>
        <v>1</v>
      </c>
      <c r="CW101" s="179">
        <f>TUG!H20</f>
        <v>273396595.08999997</v>
      </c>
      <c r="CX101" s="182">
        <f>TUG!I20</f>
        <v>1</v>
      </c>
      <c r="CY101" s="179">
        <f>Cline!B47</f>
        <v>5360998.1500000013</v>
      </c>
      <c r="CZ101" s="176">
        <f>Cline!C47</f>
        <v>1</v>
      </c>
    </row>
    <row r="102" spans="1:112">
      <c r="A102" s="38">
        <v>44316</v>
      </c>
      <c r="B102" s="7">
        <f>O102+CM102+Q102+AM102+CQ102+AO102+AU102+BA102+BC102+CO102+BG102+CS102+BI102+CY102+CK102+CI102+CU102+CW102+U102+AI102+S102</f>
        <v>1821655917.0769219</v>
      </c>
      <c r="C102" s="84">
        <f>P102+CN102+R102+AN102+CR102+AP102+DB102+BB102+BD102+CP102+BH102+CT102+BJ102+CZ102+CL102+DD102+DF102+CJ102+CV102+CX102+AJ102+V102+T102</f>
        <v>2359</v>
      </c>
      <c r="D102" s="65">
        <f t="shared" si="35"/>
        <v>766257450.37999988</v>
      </c>
      <c r="E102" s="153">
        <f t="shared" si="36"/>
        <v>11</v>
      </c>
      <c r="F102" s="68">
        <f t="shared" si="45"/>
        <v>78503016.419999987</v>
      </c>
      <c r="G102" s="170">
        <f t="shared" si="32"/>
        <v>2</v>
      </c>
      <c r="H102" s="67">
        <f t="shared" ref="H102:H149" si="49">Q102+CI102</f>
        <v>111080185.87</v>
      </c>
      <c r="I102" s="115">
        <f t="shared" ref="I102:I149" si="50">R102+CZ102+CJ102</f>
        <v>2</v>
      </c>
      <c r="J102" s="73">
        <f t="shared" si="43"/>
        <v>354587081.14692211</v>
      </c>
      <c r="K102" s="99">
        <f t="shared" si="44"/>
        <v>2339</v>
      </c>
      <c r="L102" s="78">
        <f t="shared" si="47"/>
        <v>507288204.78999996</v>
      </c>
      <c r="M102" s="157">
        <f t="shared" si="48"/>
        <v>5</v>
      </c>
      <c r="O102" s="69">
        <f>SILVX!B109</f>
        <v>515321546.69999999</v>
      </c>
      <c r="P102" s="91">
        <f>SILVX!G109</f>
        <v>1</v>
      </c>
      <c r="Q102" s="70">
        <f>SGLIX!B54</f>
        <v>103297189.34</v>
      </c>
      <c r="R102" s="93">
        <f>SGLIX!G54</f>
        <v>1</v>
      </c>
      <c r="S102" s="71">
        <f>BOGIX!B3</f>
        <v>86420238.649999976</v>
      </c>
      <c r="T102" s="92">
        <f>BOGIX!G3</f>
        <v>1</v>
      </c>
      <c r="U102" s="75">
        <f>FoF!AD12</f>
        <v>9096609.9900000021</v>
      </c>
      <c r="V102" s="94">
        <f>FoF!AE12</f>
        <v>3</v>
      </c>
      <c r="W102" s="94"/>
      <c r="X102" s="94"/>
      <c r="Y102" s="69"/>
      <c r="Z102" s="91"/>
      <c r="AA102" s="70"/>
      <c r="AB102" s="93"/>
      <c r="AC102" s="80"/>
      <c r="AD102" s="156"/>
      <c r="AE102" s="156"/>
      <c r="AF102" s="156"/>
      <c r="AG102" s="156"/>
      <c r="AH102" s="156"/>
      <c r="AI102" s="80">
        <f>HF!B6</f>
        <v>4420027.53</v>
      </c>
      <c r="AJ102" s="156">
        <f>HF!C6</f>
        <v>1</v>
      </c>
      <c r="AK102" s="156"/>
      <c r="AL102" s="156"/>
      <c r="AM102" s="76">
        <f>Schwab!S97</f>
        <v>178158694.43238717</v>
      </c>
      <c r="AN102" s="74">
        <f>Schwab!Q97</f>
        <v>1722</v>
      </c>
      <c r="AO102" s="75">
        <f>Fidelity!P102</f>
        <v>159753159.8447949</v>
      </c>
      <c r="AP102" s="94">
        <f>Fidelity!O102</f>
        <v>507</v>
      </c>
      <c r="AQ102" s="94"/>
      <c r="AR102" s="94"/>
      <c r="AS102" s="75"/>
      <c r="AT102" s="94"/>
      <c r="AU102" s="75">
        <v>3939978.47</v>
      </c>
      <c r="AV102" s="94">
        <v>49</v>
      </c>
      <c r="AW102" s="94"/>
      <c r="AX102" s="94"/>
      <c r="AY102" s="94"/>
      <c r="AZ102" s="94"/>
      <c r="BA102" s="69">
        <f>'TFA - Folio'!H107</f>
        <v>54222107.189999998</v>
      </c>
      <c r="BB102" s="40">
        <f>'TFA - Folio'!I102</f>
        <v>1</v>
      </c>
      <c r="BC102" s="80">
        <f>'TFA - Folio'!K107</f>
        <v>100996884.38</v>
      </c>
      <c r="BD102" s="79">
        <f>'TFA - Folio'!N107</f>
        <v>1</v>
      </c>
      <c r="BE102" s="80"/>
      <c r="BG102" s="69">
        <f>UNC!B65</f>
        <v>171924909.57999998</v>
      </c>
      <c r="BH102" s="40">
        <f>UNC!C65</f>
        <v>1</v>
      </c>
      <c r="BI102" s="69">
        <f>'Schwab LC'!D62</f>
        <v>3909303.0300000012</v>
      </c>
      <c r="BJ102" s="40">
        <f>'Schwab LC'!E62</f>
        <v>2</v>
      </c>
      <c r="CI102" s="179">
        <f>'NC State'!B35</f>
        <v>7782996.5300000003</v>
      </c>
      <c r="CJ102" s="176">
        <f>'NC State'!C35</f>
        <v>1</v>
      </c>
      <c r="CK102" s="179">
        <f>'Holiday Oil'!G40</f>
        <v>21401743.960000001</v>
      </c>
      <c r="CL102" s="176">
        <f>'Holiday Oil'!H40</f>
        <v>1</v>
      </c>
      <c r="CM102" s="179">
        <f>SCLVX!B63</f>
        <v>40464576.509999998</v>
      </c>
      <c r="CN102" s="176">
        <f>SCLVX!G63</f>
        <v>1</v>
      </c>
      <c r="CO102" s="179">
        <f>Stifel!B76</f>
        <v>7167241.5700000012</v>
      </c>
      <c r="CP102" s="176">
        <f>Stifel!K76</f>
        <v>5</v>
      </c>
      <c r="CQ102" s="179">
        <f>TDA!O92</f>
        <v>7578616.8797399979</v>
      </c>
      <c r="CR102" s="176">
        <f>TDA!N92</f>
        <v>107</v>
      </c>
      <c r="CS102" s="179">
        <f>UNC!D65</f>
        <v>38038439.909999996</v>
      </c>
      <c r="CT102" s="176">
        <f>UNC!E65</f>
        <v>1</v>
      </c>
      <c r="CU102" s="179">
        <f>Asbestos!B29</f>
        <v>13712342.310000001</v>
      </c>
      <c r="CV102" s="176">
        <f>Asbestos!C29</f>
        <v>1</v>
      </c>
      <c r="CW102" s="179">
        <f>TUG!H21</f>
        <v>294049310.26999998</v>
      </c>
      <c r="CX102" s="182">
        <f>TUG!I21</f>
        <v>1</v>
      </c>
    </row>
    <row r="103" spans="1:112">
      <c r="A103" s="38">
        <v>44347</v>
      </c>
      <c r="B103" s="7">
        <f>O103+CM103+Q103+AM103+CQ103+AO103+AU103+BA103+BC103+CO103+BG103+CS103+BI103+CY103+CK103+CI103+CU103+CW103+U103+AI103+S103</f>
        <v>1814914876.8182755</v>
      </c>
      <c r="C103" s="84">
        <f>P103+CN103+R103+AN103+CR103+AP103+BB103+BD103+CP103+BH103+CT103+BJ103+CL103+CJ103+CV103+CX103+AJ103+V103+T103</f>
        <v>2393</v>
      </c>
      <c r="D103" s="65">
        <f t="shared" si="35"/>
        <v>760113149.36000013</v>
      </c>
      <c r="E103" s="153">
        <f t="shared" si="36"/>
        <v>10</v>
      </c>
      <c r="F103" s="68">
        <f t="shared" si="45"/>
        <v>78934661.170000017</v>
      </c>
      <c r="G103" s="170">
        <f t="shared" si="32"/>
        <v>2</v>
      </c>
      <c r="H103" s="67">
        <f t="shared" si="49"/>
        <v>112171814.66</v>
      </c>
      <c r="I103" s="115">
        <f t="shared" si="50"/>
        <v>2</v>
      </c>
      <c r="J103" s="73">
        <f t="shared" si="43"/>
        <v>354371765.9382754</v>
      </c>
      <c r="K103" s="99">
        <f t="shared" si="44"/>
        <v>2374</v>
      </c>
      <c r="L103" s="78">
        <f t="shared" si="47"/>
        <v>505383507.21999997</v>
      </c>
      <c r="M103" s="157">
        <f t="shared" si="48"/>
        <v>5</v>
      </c>
      <c r="O103" s="69">
        <f>SILVX!B110</f>
        <v>509044278.69999999</v>
      </c>
      <c r="P103" s="91">
        <f>SILVX!G110</f>
        <v>1</v>
      </c>
      <c r="Q103" s="70">
        <f>SGLIX!B55</f>
        <v>104302281.73999999</v>
      </c>
      <c r="R103" s="93">
        <f>SGLIX!G55</f>
        <v>1</v>
      </c>
      <c r="S103" s="71">
        <f>BOGIX!B4</f>
        <v>86603053.679999992</v>
      </c>
      <c r="T103" s="92">
        <f>BOGIX!G4</f>
        <v>1</v>
      </c>
      <c r="U103" s="75">
        <f>FoF!AD13</f>
        <v>9094614.9199999962</v>
      </c>
      <c r="V103" s="94">
        <f>FoF!AE13</f>
        <v>3</v>
      </c>
      <c r="W103" s="94"/>
      <c r="X103" s="94"/>
      <c r="Y103" s="69"/>
      <c r="Z103" s="91"/>
      <c r="AA103" s="70"/>
      <c r="AB103" s="93"/>
      <c r="AC103" s="80"/>
      <c r="AD103" s="156"/>
      <c r="AE103" s="156"/>
      <c r="AF103" s="156"/>
      <c r="AG103" s="156"/>
      <c r="AH103" s="156"/>
      <c r="AI103" s="80">
        <f>HF!B7</f>
        <v>4308009.9800000004</v>
      </c>
      <c r="AJ103" s="156">
        <f>HF!C7</f>
        <v>1</v>
      </c>
      <c r="AK103" s="156"/>
      <c r="AL103" s="156"/>
      <c r="AM103" s="76">
        <f>Schwab!S98</f>
        <v>178360150.85824895</v>
      </c>
      <c r="AN103" s="74">
        <f>Schwab!Q98</f>
        <v>1747</v>
      </c>
      <c r="AO103" s="75">
        <f>Fidelity!P103</f>
        <v>159269595.9430564</v>
      </c>
      <c r="AP103" s="94">
        <f>Fidelity!O103</f>
        <v>514</v>
      </c>
      <c r="AQ103" s="94"/>
      <c r="AR103" s="94"/>
      <c r="AS103" s="75"/>
      <c r="AT103" s="94"/>
      <c r="AU103" s="75">
        <v>3939978.47</v>
      </c>
      <c r="AV103" s="94">
        <v>49</v>
      </c>
      <c r="AW103" s="94"/>
      <c r="AX103" s="94"/>
      <c r="AY103" s="94"/>
      <c r="AZ103" s="94"/>
      <c r="BA103" s="69">
        <f>'TFA - Folio'!H108</f>
        <v>55237671.25999999</v>
      </c>
      <c r="BB103" s="40">
        <f>'TFA - Folio'!I103</f>
        <v>1</v>
      </c>
      <c r="BC103" s="80">
        <f>'TFA - Folio'!K108</f>
        <v>100360028.22</v>
      </c>
      <c r="BD103" s="79">
        <f>'TFA - Folio'!N108</f>
        <v>1</v>
      </c>
      <c r="BE103" s="80"/>
      <c r="BG103" s="69">
        <f>UNC!B66</f>
        <v>172014864.26999998</v>
      </c>
      <c r="BH103" s="40">
        <f>UNC!C66</f>
        <v>1</v>
      </c>
      <c r="BI103" s="69">
        <f>'Schwab LC'!D63</f>
        <v>3913618.8499999996</v>
      </c>
      <c r="BJ103" s="40">
        <f>'Schwab LC'!E63</f>
        <v>2</v>
      </c>
      <c r="CI103" s="179">
        <f>'NC State'!B36</f>
        <v>7869532.9199999981</v>
      </c>
      <c r="CJ103" s="176">
        <f>'NC State'!C36</f>
        <v>1</v>
      </c>
      <c r="CK103" s="179">
        <f>'Holiday Oil'!G41</f>
        <v>21450619.819999993</v>
      </c>
      <c r="CL103" s="176">
        <f>'Holiday Oil'!H41</f>
        <v>1</v>
      </c>
      <c r="CM103" s="179">
        <f>SCLVX!B64</f>
        <v>41098027.300000004</v>
      </c>
      <c r="CN103" s="176">
        <f>SCLVX!G64</f>
        <v>1</v>
      </c>
      <c r="CO103" s="179">
        <f>Stifel!B77</f>
        <v>6190663.4500000002</v>
      </c>
      <c r="CP103" s="176">
        <f>Stifel!K77</f>
        <v>4</v>
      </c>
      <c r="CQ103" s="179">
        <f>TDA!O93</f>
        <v>7647404.2169699837</v>
      </c>
      <c r="CR103" s="176">
        <f>TDA!N93</f>
        <v>110</v>
      </c>
      <c r="CS103" s="179">
        <f>UNC!D66</f>
        <v>37836633.870000005</v>
      </c>
      <c r="CT103" s="176">
        <f>UNC!E66</f>
        <v>1</v>
      </c>
      <c r="CU103" s="179">
        <f>Asbestos!B30</f>
        <v>13712052.83</v>
      </c>
      <c r="CV103" s="176">
        <f>Asbestos!C30</f>
        <v>1</v>
      </c>
      <c r="CW103" s="179">
        <f>TUG!H22</f>
        <v>292661795.51999998</v>
      </c>
      <c r="CX103" s="182">
        <f>TUG!I22</f>
        <v>1</v>
      </c>
    </row>
    <row r="104" spans="1:112">
      <c r="A104" s="38">
        <v>44377</v>
      </c>
      <c r="B104" s="7">
        <f t="shared" ref="B104:B109" si="51">O104+CM104+Q104+AM104+CQ104+AO104+AU104+BA104+BC104+BE104+CO104+BG104+CS104+BI104+CY104+CK104+CI104+CU104+CW104+U104+AI104+S104</f>
        <v>1857916239.0579085</v>
      </c>
      <c r="C104" s="84">
        <f t="shared" ref="C104:C109" si="52">P104+CN104+R104+AN104+CR104+AP104+BB104+BD104+CP104+BH104+CT104+BJ104+CL104+CJ104+CV104+CX104+AJ104+V104+T104+BF104</f>
        <v>2446</v>
      </c>
      <c r="D104" s="65">
        <f t="shared" si="35"/>
        <v>776207072.85000002</v>
      </c>
      <c r="E104" s="153">
        <f t="shared" si="36"/>
        <v>10</v>
      </c>
      <c r="F104" s="68">
        <f t="shared" si="45"/>
        <v>79202191.019999996</v>
      </c>
      <c r="G104" s="170">
        <f t="shared" si="32"/>
        <v>2</v>
      </c>
      <c r="H104" s="67">
        <f t="shared" si="49"/>
        <v>114561657.86</v>
      </c>
      <c r="I104" s="115">
        <f t="shared" si="50"/>
        <v>2</v>
      </c>
      <c r="J104" s="73">
        <f t="shared" ref="J104:K111" si="53">AM104+CQ104+AO104+DA104+U104+BE104</f>
        <v>382042422.66790843</v>
      </c>
      <c r="K104" s="99">
        <f t="shared" si="53"/>
        <v>2427</v>
      </c>
      <c r="L104" s="78">
        <f t="shared" si="47"/>
        <v>501962916.19000006</v>
      </c>
      <c r="M104" s="157">
        <f t="shared" si="48"/>
        <v>5</v>
      </c>
      <c r="O104" s="69">
        <f>SILVX!B111</f>
        <v>516736366.89999998</v>
      </c>
      <c r="P104" s="91">
        <f>SILVX!G111</f>
        <v>1</v>
      </c>
      <c r="Q104" s="70">
        <f>SGLIX!B56</f>
        <v>106553487.91</v>
      </c>
      <c r="R104" s="93">
        <f>SGLIX!G56</f>
        <v>1</v>
      </c>
      <c r="S104" s="71">
        <f>BOGIX!B5</f>
        <v>86616880.590000004</v>
      </c>
      <c r="T104" s="92">
        <f>BOGIX!G5</f>
        <v>1</v>
      </c>
      <c r="U104" s="75">
        <f>FoF!AD14</f>
        <v>9352102.9899999984</v>
      </c>
      <c r="V104" s="94">
        <f>FoF!AE14</f>
        <v>3</v>
      </c>
      <c r="W104" s="94"/>
      <c r="X104" s="94"/>
      <c r="Y104" s="69"/>
      <c r="Z104" s="91"/>
      <c r="AA104" s="70"/>
      <c r="AB104" s="93"/>
      <c r="AC104" s="80"/>
      <c r="AD104" s="156"/>
      <c r="AE104" s="156"/>
      <c r="AF104" s="156"/>
      <c r="AG104" s="156"/>
      <c r="AH104" s="156"/>
      <c r="AI104" s="80">
        <f>HF!B8</f>
        <v>4450000.42</v>
      </c>
      <c r="AJ104" s="156">
        <f>HF!C8</f>
        <v>1</v>
      </c>
      <c r="AK104" s="156"/>
      <c r="AL104" s="156"/>
      <c r="AM104" s="76">
        <f>Schwab!S99</f>
        <v>183824305.20129994</v>
      </c>
      <c r="AN104" s="74">
        <f>Schwab!Q99</f>
        <v>1783</v>
      </c>
      <c r="AO104" s="75">
        <f>Fidelity!P104</f>
        <v>164150258.26613846</v>
      </c>
      <c r="AP104" s="94">
        <f>Fidelity!O104</f>
        <v>526</v>
      </c>
      <c r="AQ104" s="94"/>
      <c r="AR104" s="94"/>
      <c r="AS104" s="75"/>
      <c r="AT104" s="94"/>
      <c r="AU104" s="75">
        <v>3939978.47</v>
      </c>
      <c r="AV104" s="94">
        <v>49</v>
      </c>
      <c r="AW104" s="94"/>
      <c r="AX104" s="94"/>
      <c r="AY104" s="94"/>
      <c r="AZ104" s="94"/>
      <c r="BA104" s="69">
        <f>'TFA - Folio'!H109</f>
        <v>57137466.790000021</v>
      </c>
      <c r="BB104" s="40">
        <f>'TFA - Folio'!I104</f>
        <v>1</v>
      </c>
      <c r="BC104" s="80">
        <f>'TFA - Folio'!K109</f>
        <v>100663088.84</v>
      </c>
      <c r="BD104" s="79">
        <f>'TFA - Folio'!N109</f>
        <v>1</v>
      </c>
      <c r="BE104" s="75">
        <f>'TFA - Folio'!O109</f>
        <v>16668833.15</v>
      </c>
      <c r="BF104" s="94">
        <f>'TFA - Folio'!R109</f>
        <v>1</v>
      </c>
      <c r="BG104" s="69">
        <f>UNC!B67</f>
        <v>177725201.11000001</v>
      </c>
      <c r="BH104" s="40">
        <f>UNC!C67</f>
        <v>1</v>
      </c>
      <c r="BI104" s="69">
        <f>'Schwab LC'!D64</f>
        <v>4042349.66</v>
      </c>
      <c r="BJ104" s="40">
        <f>'Schwab LC'!E64</f>
        <v>2</v>
      </c>
      <c r="CI104" s="179">
        <f>'NC State'!B37</f>
        <v>8008169.9500000011</v>
      </c>
      <c r="CJ104" s="176">
        <f>'NC State'!C37</f>
        <v>1</v>
      </c>
      <c r="CK104" s="179">
        <f>'Holiday Oil'!G42</f>
        <v>21657909.079999998</v>
      </c>
      <c r="CL104" s="176">
        <f>'Holiday Oil'!H42</f>
        <v>1</v>
      </c>
      <c r="CM104" s="179">
        <f>SCLVX!B65</f>
        <v>41255226.189999998</v>
      </c>
      <c r="CN104" s="176">
        <f>SCLVX!G65</f>
        <v>1</v>
      </c>
      <c r="CO104" s="179">
        <f>Stifel!B78</f>
        <v>6395202.419999999</v>
      </c>
      <c r="CP104" s="176">
        <f>Stifel!K78</f>
        <v>4</v>
      </c>
      <c r="CQ104" s="179">
        <f>TDA!O94</f>
        <v>8046923.0604700074</v>
      </c>
      <c r="CR104" s="176">
        <f>TDA!N94</f>
        <v>114</v>
      </c>
      <c r="CS104" s="179">
        <f>UNC!D67</f>
        <v>37946964.829999998</v>
      </c>
      <c r="CT104" s="176">
        <f>UNC!E67</f>
        <v>1</v>
      </c>
      <c r="CU104" s="179">
        <f>Asbestos!B31</f>
        <v>14170485.969999999</v>
      </c>
      <c r="CV104" s="176">
        <f>Asbestos!C31</f>
        <v>1</v>
      </c>
      <c r="CW104" s="179">
        <f>TUG!H23</f>
        <v>288575037.25999999</v>
      </c>
      <c r="CX104" s="182">
        <f>TUG!I23</f>
        <v>1</v>
      </c>
    </row>
    <row r="105" spans="1:112">
      <c r="A105" s="38">
        <v>44408</v>
      </c>
      <c r="B105" s="7">
        <f t="shared" si="51"/>
        <v>1608467643.0267038</v>
      </c>
      <c r="C105" s="84">
        <f t="shared" si="52"/>
        <v>2506</v>
      </c>
      <c r="D105" s="65">
        <f t="shared" si="35"/>
        <v>796239573.8599999</v>
      </c>
      <c r="E105" s="153">
        <f t="shared" si="36"/>
        <v>10</v>
      </c>
      <c r="F105" s="68">
        <f t="shared" si="45"/>
        <v>71820621.010000005</v>
      </c>
      <c r="G105" s="170">
        <f t="shared" ref="G105:G137" si="54">CN105+CT105</f>
        <v>2</v>
      </c>
      <c r="H105" s="67">
        <f t="shared" si="49"/>
        <v>115223540.32000001</v>
      </c>
      <c r="I105" s="115">
        <f t="shared" si="50"/>
        <v>2</v>
      </c>
      <c r="J105" s="73">
        <f t="shared" si="53"/>
        <v>395406865.60670364</v>
      </c>
      <c r="K105" s="99">
        <f t="shared" si="53"/>
        <v>2487</v>
      </c>
      <c r="L105" s="78">
        <f t="shared" si="47"/>
        <v>225837063.75999999</v>
      </c>
      <c r="M105" s="157">
        <f t="shared" si="48"/>
        <v>5</v>
      </c>
      <c r="O105" s="69">
        <f>SILVX!B112</f>
        <v>528451248.62</v>
      </c>
      <c r="P105" s="91">
        <f>SILVX!G112</f>
        <v>1</v>
      </c>
      <c r="Q105" s="70">
        <f>SGLIX!B57</f>
        <v>107109363.21000001</v>
      </c>
      <c r="R105" s="93">
        <f>SGLIX!G57</f>
        <v>1</v>
      </c>
      <c r="S105" s="71">
        <f>BOGIX!B6</f>
        <v>97188135.099999994</v>
      </c>
      <c r="T105" s="92">
        <f>BOGIX!G6</f>
        <v>1</v>
      </c>
      <c r="U105" s="75">
        <f>FoF!AD15</f>
        <v>9489107.1700000018</v>
      </c>
      <c r="V105" s="94">
        <f>FoF!AE15</f>
        <v>3</v>
      </c>
      <c r="W105" s="94"/>
      <c r="X105" s="94"/>
      <c r="Y105" s="69"/>
      <c r="Z105" s="91"/>
      <c r="AA105" s="70"/>
      <c r="AB105" s="93"/>
      <c r="AC105" s="80"/>
      <c r="AD105" s="156"/>
      <c r="AE105" s="156"/>
      <c r="AF105" s="156"/>
      <c r="AG105" s="156"/>
      <c r="AH105" s="156"/>
      <c r="AI105" s="80">
        <f>HF!B9</f>
        <v>4556632.88</v>
      </c>
      <c r="AJ105" s="156">
        <f>HF!C9</f>
        <v>1</v>
      </c>
      <c r="AK105" s="156"/>
      <c r="AL105" s="156"/>
      <c r="AM105" s="76">
        <f>Schwab!S100</f>
        <v>186686588.53479937</v>
      </c>
      <c r="AN105" s="74">
        <f>Schwab!Q100</f>
        <v>1821</v>
      </c>
      <c r="AO105" s="75">
        <f>Fidelity!P105</f>
        <v>166860636.42810425</v>
      </c>
      <c r="AP105" s="94">
        <f>Fidelity!O105</f>
        <v>551</v>
      </c>
      <c r="AQ105" s="94"/>
      <c r="AR105" s="94"/>
      <c r="AS105" s="75"/>
      <c r="AT105" s="94"/>
      <c r="AU105" s="75">
        <v>3939978.47</v>
      </c>
      <c r="AV105" s="94">
        <v>49</v>
      </c>
      <c r="AW105" s="94"/>
      <c r="AX105" s="94"/>
      <c r="AY105" s="94"/>
      <c r="AZ105" s="94"/>
      <c r="BA105" s="69">
        <f>'TFA - Folio'!H110</f>
        <v>59835673.50999999</v>
      </c>
      <c r="BB105" s="40">
        <f>'TFA - Folio'!I105</f>
        <v>1</v>
      </c>
      <c r="BC105" s="80">
        <f>'TFA - Folio'!K110</f>
        <v>102019046</v>
      </c>
      <c r="BD105" s="79">
        <f>'TFA - Folio'!N110</f>
        <v>1</v>
      </c>
      <c r="BE105" s="75">
        <f>'TFA - Folio'!O110</f>
        <v>24235184.559999999</v>
      </c>
      <c r="BF105" s="94">
        <f>'TFA - Folio'!R110</f>
        <v>1</v>
      </c>
      <c r="BG105" s="69">
        <f>UNC!B68</f>
        <v>182672469.06</v>
      </c>
      <c r="BH105" s="40">
        <f>UNC!C68</f>
        <v>1</v>
      </c>
      <c r="BI105" s="69">
        <f>'Schwab LC'!D65</f>
        <v>4149330.2299999995</v>
      </c>
      <c r="BJ105" s="40">
        <f>'Schwab LC'!E65</f>
        <v>2</v>
      </c>
      <c r="CI105" s="179">
        <f>'NC State'!B38</f>
        <v>8114177.1100000013</v>
      </c>
      <c r="CJ105" s="176">
        <f>'NC State'!C38</f>
        <v>1</v>
      </c>
      <c r="CK105" s="179">
        <f>'Holiday Oil'!G43</f>
        <v>21956100.139999993</v>
      </c>
      <c r="CL105" s="176">
        <f>'Holiday Oil'!H43</f>
        <v>1</v>
      </c>
      <c r="CM105" s="179">
        <f>SCLVX!B66</f>
        <v>33193379.449999999</v>
      </c>
      <c r="CN105" s="176">
        <f>SCLVX!G66</f>
        <v>1</v>
      </c>
      <c r="CO105" s="179">
        <f>Stifel!B79</f>
        <v>6564663.9199999999</v>
      </c>
      <c r="CP105" s="176">
        <f>Stifel!K79</f>
        <v>4</v>
      </c>
      <c r="CQ105" s="179">
        <f>TDA!O95</f>
        <v>8135348.9138000291</v>
      </c>
      <c r="CR105" s="176">
        <f>TDA!N95</f>
        <v>111</v>
      </c>
      <c r="CS105" s="179">
        <f>UNC!D68</f>
        <v>38627241.560000002</v>
      </c>
      <c r="CT105" s="176">
        <f>UNC!E68</f>
        <v>1</v>
      </c>
      <c r="CU105" s="179">
        <f>Asbestos!B32</f>
        <v>14566188.52</v>
      </c>
      <c r="CV105" s="176">
        <f>Asbestos!C32</f>
        <v>1</v>
      </c>
      <c r="CW105" s="179">
        <f>TUG!H24</f>
        <v>117149.64</v>
      </c>
      <c r="CX105" s="182">
        <f>TUG!I24</f>
        <v>1</v>
      </c>
    </row>
    <row r="106" spans="1:112">
      <c r="A106" s="38">
        <v>44439</v>
      </c>
      <c r="B106" s="7">
        <f t="shared" si="51"/>
        <v>1647981924.6096985</v>
      </c>
      <c r="C106" s="84">
        <f t="shared" si="52"/>
        <v>2544</v>
      </c>
      <c r="D106" s="65">
        <f t="shared" si="35"/>
        <v>814713950.70999992</v>
      </c>
      <c r="E106" s="153">
        <f t="shared" si="36"/>
        <v>10</v>
      </c>
      <c r="F106" s="68">
        <f t="shared" si="45"/>
        <v>72474448.960000008</v>
      </c>
      <c r="G106" s="170">
        <f t="shared" si="54"/>
        <v>2</v>
      </c>
      <c r="H106" s="67">
        <f t="shared" si="49"/>
        <v>120454826.53999999</v>
      </c>
      <c r="I106" s="115">
        <f t="shared" si="50"/>
        <v>2</v>
      </c>
      <c r="J106" s="73">
        <f t="shared" si="53"/>
        <v>408726083.62969857</v>
      </c>
      <c r="K106" s="99">
        <f t="shared" si="53"/>
        <v>2525</v>
      </c>
      <c r="L106" s="78">
        <f t="shared" si="47"/>
        <v>227672636.30000001</v>
      </c>
      <c r="M106" s="157">
        <f t="shared" si="48"/>
        <v>5</v>
      </c>
      <c r="O106" s="69">
        <f>SILVX!B113</f>
        <v>538233300.79999995</v>
      </c>
      <c r="P106" s="91">
        <f>SILVX!G113</f>
        <v>1</v>
      </c>
      <c r="Q106" s="70">
        <f>SGLIX!B58</f>
        <v>112138096.16999999</v>
      </c>
      <c r="R106" s="93">
        <f>SGLIX!G58</f>
        <v>1</v>
      </c>
      <c r="S106" s="71">
        <f>BOGIX!B7</f>
        <v>97514327.830000013</v>
      </c>
      <c r="T106" s="92">
        <f>BOGIX!G7</f>
        <v>1</v>
      </c>
      <c r="U106" s="75">
        <f>FoF!AD16</f>
        <v>9607441.4799999986</v>
      </c>
      <c r="V106" s="94">
        <f>FoF!AE16</f>
        <v>3</v>
      </c>
      <c r="W106" s="94"/>
      <c r="X106" s="94"/>
      <c r="Y106" s="69"/>
      <c r="Z106" s="91"/>
      <c r="AA106" s="70"/>
      <c r="AB106" s="93"/>
      <c r="AC106" s="80"/>
      <c r="AD106" s="156"/>
      <c r="AE106" s="156"/>
      <c r="AF106" s="156"/>
      <c r="AG106" s="156"/>
      <c r="AH106" s="156"/>
      <c r="AI106" s="80">
        <f>HF!B10</f>
        <v>4728280.1900000004</v>
      </c>
      <c r="AJ106" s="156">
        <f>HF!C10</f>
        <v>1</v>
      </c>
      <c r="AK106" s="156"/>
      <c r="AL106" s="156"/>
      <c r="AM106" s="76">
        <f>Schwab!S101</f>
        <v>189794907.06319979</v>
      </c>
      <c r="AN106" s="74">
        <f>Schwab!Q101</f>
        <v>1864</v>
      </c>
      <c r="AO106" s="75">
        <f>Fidelity!P106</f>
        <v>169285516.77581879</v>
      </c>
      <c r="AP106" s="94">
        <f>Fidelity!O106</f>
        <v>544</v>
      </c>
      <c r="AQ106" s="94"/>
      <c r="AR106" s="94"/>
      <c r="AS106" s="75"/>
      <c r="AT106" s="94"/>
      <c r="AU106" s="75">
        <v>3939978.47</v>
      </c>
      <c r="AV106" s="94">
        <v>49</v>
      </c>
      <c r="AW106" s="94"/>
      <c r="AX106" s="94"/>
      <c r="AY106" s="94"/>
      <c r="AZ106" s="94"/>
      <c r="BA106" s="69">
        <f>'TFA - Folio'!H111</f>
        <v>64037616.370000005</v>
      </c>
      <c r="BB106" s="40">
        <f>'TFA - Folio'!I106</f>
        <v>1</v>
      </c>
      <c r="BC106" s="80">
        <f>'TFA - Folio'!K111</f>
        <v>103316033.42</v>
      </c>
      <c r="BD106" s="79">
        <f>'TFA - Folio'!N111</f>
        <v>1</v>
      </c>
      <c r="BE106" s="75">
        <f>'TFA - Folio'!O111</f>
        <v>31673259.170000002</v>
      </c>
      <c r="BF106" s="94">
        <f>'TFA - Folio'!R111</f>
        <v>1</v>
      </c>
      <c r="BG106" s="69">
        <f>UNC!B69</f>
        <v>186597931.86000001</v>
      </c>
      <c r="BH106" s="40">
        <f>UNC!C69</f>
        <v>1</v>
      </c>
      <c r="BI106" s="69">
        <f>'Schwab LC'!D66</f>
        <v>4238142.8200000022</v>
      </c>
      <c r="BJ106" s="40">
        <f>'Schwab LC'!E66</f>
        <v>2</v>
      </c>
      <c r="CI106" s="179">
        <f>'NC State'!B39</f>
        <v>8316730.370000001</v>
      </c>
      <c r="CJ106" s="176">
        <f>'NC State'!C39</f>
        <v>1</v>
      </c>
      <c r="CK106" s="179">
        <f>'Holiday Oil'!G44</f>
        <v>22032241.549999997</v>
      </c>
      <c r="CL106" s="176">
        <f>'Holiday Oil'!H44</f>
        <v>1</v>
      </c>
      <c r="CM106" s="179">
        <f>SCLVX!B67</f>
        <v>33564958.789999999</v>
      </c>
      <c r="CN106" s="176">
        <f>SCLVX!G67</f>
        <v>1</v>
      </c>
      <c r="CO106" s="179">
        <f>Stifel!B80</f>
        <v>6706000.6800000016</v>
      </c>
      <c r="CP106" s="176">
        <f>Stifel!K80</f>
        <v>4</v>
      </c>
      <c r="CQ106" s="179">
        <f>TDA!O96</f>
        <v>8364959.1406799853</v>
      </c>
      <c r="CR106" s="176">
        <f>TDA!N96</f>
        <v>113</v>
      </c>
      <c r="CS106" s="179">
        <f>UNC!D69</f>
        <v>38909490.170000002</v>
      </c>
      <c r="CT106" s="176">
        <f>UNC!E69</f>
        <v>1</v>
      </c>
      <c r="CU106" s="179">
        <f>Asbestos!B33</f>
        <v>14900958.18</v>
      </c>
      <c r="CV106" s="176">
        <f>Asbestos!C33</f>
        <v>1</v>
      </c>
      <c r="CW106" s="179">
        <f>TUG!H25</f>
        <v>81753.31</v>
      </c>
      <c r="CX106" s="182">
        <f>TUG!I25</f>
        <v>1</v>
      </c>
    </row>
    <row r="107" spans="1:112">
      <c r="A107" s="38">
        <v>44469</v>
      </c>
      <c r="B107" s="7">
        <f t="shared" si="51"/>
        <v>1586453370.8404241</v>
      </c>
      <c r="C107" s="84">
        <f t="shared" si="52"/>
        <v>2592</v>
      </c>
      <c r="D107" s="65">
        <f t="shared" ref="D107:D124" si="55">O107+BA107+CO107+BG107+BI107+DC107+CU107</f>
        <v>767908473.00000012</v>
      </c>
      <c r="E107" s="153">
        <f t="shared" ref="E107:E140" si="56">P107+BB107+CP107+BH107+BJ107+CV107</f>
        <v>10</v>
      </c>
      <c r="F107" s="68">
        <f t="shared" si="45"/>
        <v>69972796.430000007</v>
      </c>
      <c r="G107" s="170">
        <f t="shared" si="54"/>
        <v>2</v>
      </c>
      <c r="H107" s="67">
        <f t="shared" si="49"/>
        <v>117776691.72</v>
      </c>
      <c r="I107" s="115">
        <f t="shared" si="50"/>
        <v>2</v>
      </c>
      <c r="J107" s="73">
        <f t="shared" si="53"/>
        <v>403065427.9404242</v>
      </c>
      <c r="K107" s="99">
        <f t="shared" si="53"/>
        <v>2573</v>
      </c>
      <c r="L107" s="78">
        <f t="shared" si="47"/>
        <v>223048579.56999999</v>
      </c>
      <c r="M107" s="157">
        <f t="shared" si="48"/>
        <v>5</v>
      </c>
      <c r="O107" s="69">
        <f>SILVX!B114</f>
        <v>506793726.31</v>
      </c>
      <c r="P107" s="91">
        <f>SILVX!G114</f>
        <v>1</v>
      </c>
      <c r="Q107" s="70">
        <f>SGLIX!B59</f>
        <v>109774769.88</v>
      </c>
      <c r="R107" s="93">
        <f>SGLIX!G59</f>
        <v>1</v>
      </c>
      <c r="S107" s="71">
        <f>BOGIX!B8</f>
        <v>95675494.120000005</v>
      </c>
      <c r="T107" s="92">
        <f>BOGIX!G8</f>
        <v>1</v>
      </c>
      <c r="U107" s="75">
        <f>FoF!AD17</f>
        <v>9458152.8099999987</v>
      </c>
      <c r="V107" s="94">
        <f>FoF!AE17</f>
        <v>3</v>
      </c>
      <c r="W107" s="94"/>
      <c r="X107" s="94"/>
      <c r="Y107" s="69"/>
      <c r="Z107" s="91"/>
      <c r="AA107" s="70"/>
      <c r="AB107" s="93"/>
      <c r="AC107" s="80"/>
      <c r="AD107" s="156"/>
      <c r="AE107" s="156"/>
      <c r="AF107" s="156"/>
      <c r="AG107" s="156"/>
      <c r="AH107" s="156"/>
      <c r="AI107" s="80">
        <f>HF!B11</f>
        <v>4353056.54</v>
      </c>
      <c r="AJ107" s="156">
        <f>HF!C11</f>
        <v>1</v>
      </c>
      <c r="AK107" s="156"/>
      <c r="AL107" s="156"/>
      <c r="AM107" s="76">
        <f>Schwab!S102</f>
        <v>187988506.66569942</v>
      </c>
      <c r="AN107" s="74">
        <f>Schwab!Q102</f>
        <v>1896</v>
      </c>
      <c r="AO107" s="75">
        <f>Fidelity!P107</f>
        <v>162547352.27442473</v>
      </c>
      <c r="AP107" s="94">
        <f>Fidelity!O107</f>
        <v>560</v>
      </c>
      <c r="AQ107" s="94"/>
      <c r="AR107" s="94"/>
      <c r="AS107" s="75"/>
      <c r="AT107" s="94"/>
      <c r="AU107" s="75">
        <v>4681402.1799999988</v>
      </c>
      <c r="AV107" s="94">
        <v>49</v>
      </c>
      <c r="AW107" s="94"/>
      <c r="AX107" s="94"/>
      <c r="AY107" s="94"/>
      <c r="AZ107" s="94"/>
      <c r="BA107" s="69">
        <f>'TFA - Folio'!H112</f>
        <v>62725658.660000026</v>
      </c>
      <c r="BB107" s="40">
        <f>'TFA - Folio'!I107</f>
        <v>1</v>
      </c>
      <c r="BC107" s="80">
        <f>'TFA - Folio'!K112</f>
        <v>101301059.19</v>
      </c>
      <c r="BD107" s="79">
        <f>'TFA - Folio'!N112</f>
        <v>1</v>
      </c>
      <c r="BE107" s="75">
        <f>'TFA - Folio'!O112</f>
        <v>35172259.170000002</v>
      </c>
      <c r="BF107" s="94">
        <f>'TFA - Folio'!R112</f>
        <v>1</v>
      </c>
      <c r="BG107" s="69">
        <f>UNC!B70</f>
        <v>175909776.83000001</v>
      </c>
      <c r="BH107" s="40">
        <f>UNC!C70</f>
        <v>1</v>
      </c>
      <c r="BI107" s="69">
        <f>'Schwab LC'!D67</f>
        <v>3996340.189999999</v>
      </c>
      <c r="BJ107" s="40">
        <f>'Schwab LC'!E67</f>
        <v>2</v>
      </c>
      <c r="CI107" s="179">
        <f>'NC State'!B40</f>
        <v>8001921.8399999971</v>
      </c>
      <c r="CJ107" s="176">
        <f>'NC State'!C40</f>
        <v>1</v>
      </c>
      <c r="CK107" s="179">
        <f>'Holiday Oil'!G45</f>
        <v>21642002.510000005</v>
      </c>
      <c r="CL107" s="176">
        <f>'Holiday Oil'!H45</f>
        <v>1</v>
      </c>
      <c r="CM107" s="179">
        <f>SCLVX!B68</f>
        <v>32284668.359999999</v>
      </c>
      <c r="CN107" s="176">
        <f>SCLVX!G68</f>
        <v>1</v>
      </c>
      <c r="CO107" s="179">
        <f>Stifel!B81</f>
        <v>6321313.9699999979</v>
      </c>
      <c r="CP107" s="176">
        <f>Stifel!K81</f>
        <v>4</v>
      </c>
      <c r="CQ107" s="179">
        <f>TDA!O97</f>
        <v>7899157.0203000177</v>
      </c>
      <c r="CR107" s="176">
        <f>TDA!N97</f>
        <v>113</v>
      </c>
      <c r="CS107" s="179">
        <f>UNC!D70</f>
        <v>37688128.07</v>
      </c>
      <c r="CT107" s="176">
        <f>UNC!E70</f>
        <v>1</v>
      </c>
      <c r="CU107" s="179">
        <f>Asbestos!B34</f>
        <v>12161657.039999999</v>
      </c>
      <c r="CV107" s="176">
        <f>Asbestos!C34</f>
        <v>1</v>
      </c>
      <c r="CW107" s="179">
        <f>TUG!H26</f>
        <v>76967.210000000006</v>
      </c>
      <c r="CX107" s="182">
        <f>TUG!I26</f>
        <v>1</v>
      </c>
    </row>
    <row r="108" spans="1:112">
      <c r="A108" s="38">
        <v>44500</v>
      </c>
      <c r="B108" s="7">
        <f t="shared" si="51"/>
        <v>1683154582.1673992</v>
      </c>
      <c r="C108" s="84">
        <f t="shared" si="52"/>
        <v>2636</v>
      </c>
      <c r="D108" s="65">
        <f t="shared" si="55"/>
        <v>829522869.78000009</v>
      </c>
      <c r="E108" s="153">
        <f t="shared" si="56"/>
        <v>10</v>
      </c>
      <c r="F108" s="68">
        <f t="shared" si="45"/>
        <v>72869499.780000016</v>
      </c>
      <c r="G108" s="170">
        <f t="shared" si="54"/>
        <v>2</v>
      </c>
      <c r="H108" s="67">
        <f t="shared" si="49"/>
        <v>125292949.23999999</v>
      </c>
      <c r="I108" s="115">
        <f t="shared" si="50"/>
        <v>2</v>
      </c>
      <c r="J108" s="73">
        <f t="shared" si="53"/>
        <v>423363447.41739893</v>
      </c>
      <c r="K108" s="99">
        <f t="shared" si="53"/>
        <v>2617</v>
      </c>
      <c r="L108" s="78">
        <f t="shared" si="47"/>
        <v>227424413.77000001</v>
      </c>
      <c r="M108" s="157">
        <f t="shared" si="48"/>
        <v>5</v>
      </c>
      <c r="O108" s="69">
        <f>SILVX!B115</f>
        <v>546017089.99000001</v>
      </c>
      <c r="P108" s="91">
        <f>SILVX!G115</f>
        <v>1</v>
      </c>
      <c r="Q108" s="70">
        <f>SGLIX!B60</f>
        <v>116815163.88</v>
      </c>
      <c r="R108" s="93">
        <f>SGLIX!G60</f>
        <v>1</v>
      </c>
      <c r="S108" s="71">
        <f>BOGIX!B9</f>
        <v>97868978.38000001</v>
      </c>
      <c r="T108" s="92">
        <f>BOGIX!G9</f>
        <v>1</v>
      </c>
      <c r="U108" s="75">
        <f>FoF!AD18</f>
        <v>10137830.500000002</v>
      </c>
      <c r="V108" s="94">
        <f>FoF!AE18</f>
        <v>3</v>
      </c>
      <c r="W108" s="94"/>
      <c r="X108" s="94"/>
      <c r="Y108" s="69"/>
      <c r="Z108" s="91"/>
      <c r="AA108" s="70"/>
      <c r="AB108" s="93"/>
      <c r="AC108" s="80"/>
      <c r="AD108" s="156"/>
      <c r="AE108" s="156"/>
      <c r="AF108" s="156"/>
      <c r="AG108" s="156"/>
      <c r="AH108" s="156"/>
      <c r="AI108" s="80">
        <f>HF!B12</f>
        <v>4317084.8499999996</v>
      </c>
      <c r="AJ108" s="156">
        <f>HF!C12</f>
        <v>1</v>
      </c>
      <c r="AK108" s="156"/>
      <c r="AL108" s="156"/>
      <c r="AM108" s="76">
        <f>Schwab!S103</f>
        <v>197430122.28120023</v>
      </c>
      <c r="AN108" s="74">
        <f>Schwab!Q103</f>
        <v>1931</v>
      </c>
      <c r="AO108" s="75">
        <f>Fidelity!P108</f>
        <v>166427730.99466869</v>
      </c>
      <c r="AP108" s="94">
        <f>Fidelity!O108</f>
        <v>569</v>
      </c>
      <c r="AQ108" s="94"/>
      <c r="AR108" s="94"/>
      <c r="AS108" s="75"/>
      <c r="AT108" s="94"/>
      <c r="AU108" s="75">
        <v>4681402.1799999988</v>
      </c>
      <c r="AV108" s="94">
        <v>49</v>
      </c>
      <c r="AW108" s="94"/>
      <c r="AX108" s="94"/>
      <c r="AY108" s="94"/>
      <c r="AZ108" s="94"/>
      <c r="BA108" s="69">
        <f>'TFA - Folio'!H113</f>
        <v>68988512.720000029</v>
      </c>
      <c r="BB108" s="40">
        <f>'TFA - Folio'!I108</f>
        <v>1</v>
      </c>
      <c r="BC108" s="80">
        <f>'TFA - Folio'!K113</f>
        <v>103321473.64</v>
      </c>
      <c r="BD108" s="79">
        <f>'TFA - Folio'!N113</f>
        <v>1</v>
      </c>
      <c r="BE108" s="75">
        <f>'TFA - Folio'!O113</f>
        <v>40671640.219999999</v>
      </c>
      <c r="BF108" s="94">
        <f>'TFA - Folio'!R113</f>
        <v>1</v>
      </c>
      <c r="BG108" s="69">
        <f>UNC!B71</f>
        <v>190211378.42000002</v>
      </c>
      <c r="BH108" s="40">
        <f>UNC!C71</f>
        <v>1</v>
      </c>
      <c r="BI108" s="69">
        <f>'Schwab LC'!D68</f>
        <v>4312268.1399999997</v>
      </c>
      <c r="BJ108" s="40">
        <f>'Schwab LC'!E68</f>
        <v>2</v>
      </c>
      <c r="CI108" s="179">
        <f>'NC State'!B41</f>
        <v>8477785.3599999957</v>
      </c>
      <c r="CJ108" s="176">
        <f>'NC State'!C41</f>
        <v>1</v>
      </c>
      <c r="CK108" s="179">
        <f>'Holiday Oil'!G46</f>
        <v>21883834.370000008</v>
      </c>
      <c r="CL108" s="176">
        <f>'Holiday Oil'!H46</f>
        <v>1</v>
      </c>
      <c r="CM108" s="179">
        <f>SCLVX!B69</f>
        <v>33418761.400000002</v>
      </c>
      <c r="CN108" s="176">
        <f>SCLVX!G69</f>
        <v>1</v>
      </c>
      <c r="CO108" s="179">
        <f>Stifel!B82</f>
        <v>6831381.0700000022</v>
      </c>
      <c r="CP108" s="176">
        <f>Stifel!K82</f>
        <v>4</v>
      </c>
      <c r="CQ108" s="179">
        <f>TDA!O98</f>
        <v>8696123.4215300158</v>
      </c>
      <c r="CR108" s="176">
        <f>TDA!N98</f>
        <v>113</v>
      </c>
      <c r="CS108" s="179">
        <f>UNC!D71</f>
        <v>39450738.38000001</v>
      </c>
      <c r="CT108" s="176">
        <f>UNC!E71</f>
        <v>1</v>
      </c>
      <c r="CU108" s="179">
        <f>Asbestos!B35</f>
        <v>13162239.440000001</v>
      </c>
      <c r="CV108" s="176">
        <f>Asbestos!C35</f>
        <v>1</v>
      </c>
      <c r="CW108" s="179">
        <f>TUG!H27</f>
        <v>33042.53</v>
      </c>
      <c r="CX108" s="182">
        <f>TUG!I27</f>
        <v>1</v>
      </c>
    </row>
    <row r="109" spans="1:112">
      <c r="A109" s="38">
        <v>44530</v>
      </c>
      <c r="B109" s="7">
        <f t="shared" si="51"/>
        <v>1697271348.4680696</v>
      </c>
      <c r="C109" s="84">
        <f t="shared" si="52"/>
        <v>2680</v>
      </c>
      <c r="D109" s="65">
        <f t="shared" si="55"/>
        <v>812154008.1099999</v>
      </c>
      <c r="E109" s="153">
        <f t="shared" si="56"/>
        <v>10</v>
      </c>
      <c r="F109" s="68">
        <f t="shared" si="45"/>
        <v>73679713.670000002</v>
      </c>
      <c r="G109" s="170">
        <f t="shared" si="54"/>
        <v>2</v>
      </c>
      <c r="H109" s="67">
        <f t="shared" si="49"/>
        <v>122676735.10999998</v>
      </c>
      <c r="I109" s="115">
        <f t="shared" si="50"/>
        <v>2</v>
      </c>
      <c r="J109" s="73">
        <f t="shared" si="53"/>
        <v>462505739.81806976</v>
      </c>
      <c r="K109" s="99">
        <f t="shared" si="53"/>
        <v>2661</v>
      </c>
      <c r="L109" s="78">
        <f t="shared" si="47"/>
        <v>221693975.43000001</v>
      </c>
      <c r="M109" s="157">
        <f t="shared" si="48"/>
        <v>5</v>
      </c>
      <c r="O109" s="69">
        <f>SILVX!B116</f>
        <v>533352474.44</v>
      </c>
      <c r="P109" s="91">
        <f>SILVX!G116</f>
        <v>1</v>
      </c>
      <c r="Q109" s="70">
        <f>SGLIX!B61</f>
        <v>114371590.66999999</v>
      </c>
      <c r="R109" s="93">
        <f>SGLIX!G61</f>
        <v>1</v>
      </c>
      <c r="S109" s="71">
        <f>BOGIX!B10</f>
        <v>92770073.859999999</v>
      </c>
      <c r="T109" s="92">
        <f>BOGIX!G10</f>
        <v>1</v>
      </c>
      <c r="U109" s="75">
        <f>FoF!AD19</f>
        <v>9524449.9600000009</v>
      </c>
      <c r="V109" s="94">
        <f>FoF!AE19</f>
        <v>3</v>
      </c>
      <c r="W109" s="94"/>
      <c r="X109" s="94"/>
      <c r="Y109" s="69"/>
      <c r="Z109" s="91"/>
      <c r="AA109" s="70"/>
      <c r="AB109" s="93"/>
      <c r="AC109" s="80"/>
      <c r="AD109" s="156"/>
      <c r="AE109" s="156"/>
      <c r="AF109" s="156"/>
      <c r="AG109" s="156"/>
      <c r="AH109" s="156"/>
      <c r="AI109" s="80">
        <f>HF!B13</f>
        <v>4332882.2300000004</v>
      </c>
      <c r="AJ109" s="156">
        <f>HF!C13</f>
        <v>1</v>
      </c>
      <c r="AK109" s="156"/>
      <c r="AL109" s="156"/>
      <c r="AM109" s="76">
        <f>Schwab!S104</f>
        <v>199596847.63960066</v>
      </c>
      <c r="AN109" s="74">
        <f>Schwab!Q104</f>
        <v>1971</v>
      </c>
      <c r="AO109" s="75">
        <f>Fidelity!P109</f>
        <v>202229474.42776909</v>
      </c>
      <c r="AP109" s="94">
        <f>Fidelity!O109</f>
        <v>578</v>
      </c>
      <c r="AQ109" s="94"/>
      <c r="AR109" s="94"/>
      <c r="AS109" s="75"/>
      <c r="AT109" s="94"/>
      <c r="AU109" s="75">
        <v>4561176.3299999982</v>
      </c>
      <c r="AV109" s="94">
        <v>47</v>
      </c>
      <c r="AW109" s="94"/>
      <c r="AX109" s="94"/>
      <c r="AY109" s="94"/>
      <c r="AZ109" s="94"/>
      <c r="BA109" s="69">
        <f>'TFA - Folio'!H114</f>
        <v>68014420.569999993</v>
      </c>
      <c r="BB109" s="40">
        <f>'TFA - Folio'!I109</f>
        <v>1</v>
      </c>
      <c r="BC109" s="80">
        <f>'TFA - Folio'!K114</f>
        <v>102667203.64</v>
      </c>
      <c r="BD109" s="79">
        <f>'TFA - Folio'!N114</f>
        <v>1</v>
      </c>
      <c r="BE109" s="75">
        <f>'TFA - Folio'!O114</f>
        <v>42789449.670000002</v>
      </c>
      <c r="BF109" s="94">
        <f>'TFA - Folio'!R114</f>
        <v>1</v>
      </c>
      <c r="BG109" s="69">
        <f>UNC!B72</f>
        <v>186980850.75</v>
      </c>
      <c r="BH109" s="40">
        <f>UNC!C72</f>
        <v>1</v>
      </c>
      <c r="BI109" s="69">
        <f>'Schwab LC'!D69</f>
        <v>4142172.7899999991</v>
      </c>
      <c r="BJ109" s="40">
        <f>'Schwab LC'!E69</f>
        <v>2</v>
      </c>
      <c r="CI109" s="179">
        <f>'NC State'!B42</f>
        <v>8305144.4399999976</v>
      </c>
      <c r="CJ109" s="176">
        <f>'NC State'!C42</f>
        <v>1</v>
      </c>
      <c r="CK109" s="179">
        <f>'Holiday Oil'!G47</f>
        <v>21890113.359999999</v>
      </c>
      <c r="CL109" s="176">
        <f>'Holiday Oil'!H47</f>
        <v>1</v>
      </c>
      <c r="CM109" s="179">
        <f>SCLVX!B70</f>
        <v>34419940.719999999</v>
      </c>
      <c r="CN109" s="176">
        <f>SCLVX!G70</f>
        <v>1</v>
      </c>
      <c r="CO109" s="179">
        <f>Stifel!B83</f>
        <v>6714405.540000001</v>
      </c>
      <c r="CP109" s="176">
        <f>Stifel!K83</f>
        <v>4</v>
      </c>
      <c r="CQ109" s="179">
        <f>TDA!O99</f>
        <v>8365518.1206999943</v>
      </c>
      <c r="CR109" s="176">
        <f>TDA!N99</f>
        <v>108</v>
      </c>
      <c r="CS109" s="179">
        <f>UNC!D72</f>
        <v>39259772.950000003</v>
      </c>
      <c r="CT109" s="176">
        <f>UNC!E72</f>
        <v>1</v>
      </c>
      <c r="CU109" s="179">
        <f>Asbestos!B36</f>
        <v>12949684.02</v>
      </c>
      <c r="CV109" s="176">
        <f>Asbestos!C36</f>
        <v>1</v>
      </c>
      <c r="CW109" s="179">
        <f>TUG!H28</f>
        <v>33702.339999999997</v>
      </c>
      <c r="CX109" s="182">
        <f>TUG!I28</f>
        <v>1</v>
      </c>
    </row>
    <row r="110" spans="1:112" s="140" customFormat="1">
      <c r="A110" s="116">
        <v>44561</v>
      </c>
      <c r="B110" s="117">
        <f t="shared" ref="B110:B121" si="57">O110+CM110+Q110+AM110+CQ110+AO110+AQ110+AU110+BA110+BC110+CO110+BG110+CS110+BI110+CK110+CI110+CU110+U110+AI110+S110+BE110+AK110+CW110</f>
        <v>1763182717.4491704</v>
      </c>
      <c r="C110" s="118">
        <f>P110+CN110+R110+AN110+CR110+AP110+AR110+BB110+BD110+AV110+CP110+BH110+CT110+BJ110+CL110+CJ110+CV110+AJ110+V110+T110+BF110+AL110+CX110</f>
        <v>2792</v>
      </c>
      <c r="D110" s="119">
        <f t="shared" si="55"/>
        <v>848491504.33000004</v>
      </c>
      <c r="E110" s="154">
        <f t="shared" si="56"/>
        <v>10</v>
      </c>
      <c r="F110" s="121">
        <f t="shared" si="45"/>
        <v>80898299.289999992</v>
      </c>
      <c r="G110" s="122">
        <f t="shared" si="54"/>
        <v>2</v>
      </c>
      <c r="H110" s="123">
        <f t="shared" si="49"/>
        <v>133847726.42</v>
      </c>
      <c r="I110" s="149">
        <f t="shared" si="50"/>
        <v>2</v>
      </c>
      <c r="J110" s="125">
        <f t="shared" si="53"/>
        <v>464502167.22916979</v>
      </c>
      <c r="K110" s="126">
        <f t="shared" si="53"/>
        <v>2721</v>
      </c>
      <c r="L110" s="127">
        <f t="shared" ref="L110" si="58">BC110+CK110+DE110+CW110+AI110+S110+AK110</f>
        <v>230560850.93999997</v>
      </c>
      <c r="M110" s="185">
        <f t="shared" ref="M110:M124" si="59">BD110+CL110+DF110+CX110+AJ110+T110+AL110</f>
        <v>10</v>
      </c>
      <c r="N110" s="83"/>
      <c r="O110" s="129">
        <f>SILVX!B117</f>
        <v>555170394.62</v>
      </c>
      <c r="P110" s="130">
        <f>SILVX!G117</f>
        <v>1</v>
      </c>
      <c r="Q110" s="147">
        <f>SGLIX!B62</f>
        <v>125206392.76000001</v>
      </c>
      <c r="R110" s="148">
        <f>SGLIX!G62</f>
        <v>1</v>
      </c>
      <c r="S110" s="142">
        <f>BOGIX!B11</f>
        <v>98433396.520000011</v>
      </c>
      <c r="T110" s="132">
        <f>BOGIX!G11</f>
        <v>1</v>
      </c>
      <c r="U110" s="135">
        <f>FoF!AD20</f>
        <v>9648508.4900000021</v>
      </c>
      <c r="V110" s="136">
        <f>FoF!AE20</f>
        <v>3</v>
      </c>
      <c r="W110" s="136"/>
      <c r="X110" s="136"/>
      <c r="Y110" s="129"/>
      <c r="Z110" s="130"/>
      <c r="AA110" s="147"/>
      <c r="AB110" s="148"/>
      <c r="AC110" s="138"/>
      <c r="AD110" s="139"/>
      <c r="AE110" s="139"/>
      <c r="AF110" s="139"/>
      <c r="AG110" s="139"/>
      <c r="AH110" s="139"/>
      <c r="AI110" s="138">
        <f>HF!B14</f>
        <v>4399886.88</v>
      </c>
      <c r="AJ110" s="139">
        <f>HF!C14</f>
        <v>1</v>
      </c>
      <c r="AK110" s="138">
        <f>IB!S2</f>
        <v>170846.66999999998</v>
      </c>
      <c r="AL110" s="139">
        <f>IB!R2</f>
        <v>5</v>
      </c>
      <c r="AM110" s="141">
        <f>Schwab!S105</f>
        <v>200718524.20899934</v>
      </c>
      <c r="AN110" s="134">
        <f>Schwab!Q105</f>
        <v>2000</v>
      </c>
      <c r="AO110" s="135">
        <f>Fidelity!P110</f>
        <v>199368706.68000045</v>
      </c>
      <c r="AP110" s="136">
        <f>Fidelity!O110</f>
        <v>608</v>
      </c>
      <c r="AQ110" s="136"/>
      <c r="AR110" s="136"/>
      <c r="AS110" s="135"/>
      <c r="AT110" s="136"/>
      <c r="AU110" s="135">
        <v>4882169.24</v>
      </c>
      <c r="AV110" s="136">
        <v>47</v>
      </c>
      <c r="AW110" s="136"/>
      <c r="AX110" s="136"/>
      <c r="AY110" s="135"/>
      <c r="AZ110" s="136"/>
      <c r="BA110" s="129">
        <f>'TFA - Folio'!H115</f>
        <v>74003498.349999964</v>
      </c>
      <c r="BB110" s="137">
        <f>'TFA - Folio'!I110</f>
        <v>1</v>
      </c>
      <c r="BC110" s="138">
        <f>'TFA - Folio'!K115</f>
        <v>105468759.73999999</v>
      </c>
      <c r="BD110" s="139">
        <f>'TFA - Folio'!N115</f>
        <v>1</v>
      </c>
      <c r="BE110" s="135">
        <f>'TFA - Folio'!O115</f>
        <v>46191692.939999998</v>
      </c>
      <c r="BF110" s="136">
        <f>'TFA - Folio'!R115</f>
        <v>1</v>
      </c>
      <c r="BG110" s="129">
        <f>UNC!B73</f>
        <v>194549549.22</v>
      </c>
      <c r="BH110" s="137">
        <f>UNC!C73</f>
        <v>1</v>
      </c>
      <c r="BI110" s="129">
        <f>'Schwab LC'!D70</f>
        <v>4309129.1599999983</v>
      </c>
      <c r="BJ110" s="137">
        <f>'Schwab LC'!E70</f>
        <v>2</v>
      </c>
      <c r="BK110" s="198"/>
      <c r="BL110" s="198"/>
      <c r="BM110" s="198"/>
      <c r="BN110" s="198"/>
      <c r="BO110" s="198"/>
      <c r="BP110" s="198"/>
      <c r="BQ110" s="198"/>
      <c r="BR110" s="198"/>
      <c r="BS110" s="198"/>
      <c r="BT110" s="198"/>
      <c r="BU110" s="198"/>
      <c r="BV110" s="198"/>
      <c r="BW110" s="198"/>
      <c r="BX110" s="198"/>
      <c r="BY110" s="198"/>
      <c r="BZ110" s="198"/>
      <c r="CA110" s="198"/>
      <c r="CB110" s="198"/>
      <c r="CC110" s="198"/>
      <c r="CD110" s="198"/>
      <c r="CE110" s="198"/>
      <c r="CF110" s="198"/>
      <c r="CG110" s="198"/>
      <c r="CH110" s="198"/>
      <c r="CI110" s="180">
        <f>'NC State'!B43</f>
        <v>8641333.6599999983</v>
      </c>
      <c r="CJ110" s="174">
        <f>'NC State'!C43</f>
        <v>1</v>
      </c>
      <c r="CK110" s="180">
        <f>'Holiday Oil'!G48</f>
        <v>22053913.909999993</v>
      </c>
      <c r="CL110" s="174">
        <f>'Holiday Oil'!H48</f>
        <v>1</v>
      </c>
      <c r="CM110" s="180">
        <f>SCLVX!B71</f>
        <v>38904504.590000004</v>
      </c>
      <c r="CN110" s="174">
        <f>SCLVX!G71</f>
        <v>1</v>
      </c>
      <c r="CO110" s="180">
        <f>Stifel!B84</f>
        <v>6981466.7700000014</v>
      </c>
      <c r="CP110" s="174">
        <f>Stifel!K84</f>
        <v>4</v>
      </c>
      <c r="CQ110" s="180">
        <f>TDA!O100</f>
        <v>8574734.9101700112</v>
      </c>
      <c r="CR110" s="174">
        <f>TDA!N100</f>
        <v>109</v>
      </c>
      <c r="CS110" s="180">
        <f>UNC!D73</f>
        <v>41993794.699999996</v>
      </c>
      <c r="CT110" s="174">
        <f>UNC!E73</f>
        <v>1</v>
      </c>
      <c r="CU110" s="180">
        <f>Asbestos!B37</f>
        <v>13477466.210000001</v>
      </c>
      <c r="CV110" s="174">
        <f>Asbestos!C37</f>
        <v>1</v>
      </c>
      <c r="CW110" s="180">
        <f>TUG!H29</f>
        <v>34047.22</v>
      </c>
      <c r="CX110" s="174">
        <f>TUG!I29</f>
        <v>1</v>
      </c>
      <c r="CY110" s="180"/>
      <c r="CZ110" s="174"/>
      <c r="DA110" s="174"/>
      <c r="DB110" s="174"/>
      <c r="DC110" s="174"/>
      <c r="DD110" s="174"/>
      <c r="DE110" s="174"/>
      <c r="DF110" s="174"/>
      <c r="DG110" s="174"/>
      <c r="DH110" s="174"/>
    </row>
    <row r="111" spans="1:112">
      <c r="A111" s="38">
        <v>44592</v>
      </c>
      <c r="B111" s="7">
        <f t="shared" si="57"/>
        <v>1667681482.7563972</v>
      </c>
      <c r="C111" s="84">
        <f t="shared" ref="C111:C124" si="60">P111+CN111+R111+AN111+CR111+AP111+AR111+BB111+BD111+CP111+BH111+CT111+BJ111+CL111+CJ111+CV111+AJ111+V111+T111+BF111+AL111+CX111</f>
        <v>2794</v>
      </c>
      <c r="D111" s="65">
        <f t="shared" si="55"/>
        <v>783705800.26630008</v>
      </c>
      <c r="E111" s="153">
        <f t="shared" si="56"/>
        <v>10</v>
      </c>
      <c r="F111" s="68">
        <f t="shared" si="45"/>
        <v>75745658.5</v>
      </c>
      <c r="G111" s="170">
        <f t="shared" si="54"/>
        <v>2</v>
      </c>
      <c r="H111" s="67">
        <f t="shared" si="49"/>
        <v>131673675.88999999</v>
      </c>
      <c r="I111" s="115">
        <f t="shared" si="50"/>
        <v>2</v>
      </c>
      <c r="J111" s="73">
        <f t="shared" si="53"/>
        <v>452654609.12009716</v>
      </c>
      <c r="K111" s="99">
        <f t="shared" si="53"/>
        <v>2770</v>
      </c>
      <c r="L111" s="78">
        <f t="shared" ref="L111:L120" si="61">BC111+CK111+DE111+CW111+AI111+S111+AK111+Y111+AA111+AC111+AE111+BK111+BM111+BO111+BQ111+BS111+BU111+BW111+BY111+CA111+CC111+BA111+AG111+CE111+CG111</f>
        <v>285878145.59000003</v>
      </c>
      <c r="M111" s="157">
        <f t="shared" si="59"/>
        <v>10</v>
      </c>
      <c r="O111" s="69">
        <f>SILVX!B118</f>
        <v>513314784.81</v>
      </c>
      <c r="P111" s="91">
        <f>SILVX!G118</f>
        <v>1</v>
      </c>
      <c r="Q111" s="70">
        <f>SGLIX!B63</f>
        <v>123239266.24999999</v>
      </c>
      <c r="R111" s="93">
        <f>SGLIX!G63</f>
        <v>1</v>
      </c>
      <c r="S111" s="71">
        <f>BOGIX!B12</f>
        <v>91685411.730000004</v>
      </c>
      <c r="T111" s="92">
        <f>BOGIX!G12</f>
        <v>1</v>
      </c>
      <c r="U111" s="75">
        <f>FoF!AD21</f>
        <v>9697165.8000000026</v>
      </c>
      <c r="V111" s="94">
        <f>FoF!AE21</f>
        <v>3</v>
      </c>
      <c r="W111" s="94"/>
      <c r="X111" s="94"/>
      <c r="Y111" s="69"/>
      <c r="Z111" s="91"/>
      <c r="AA111" s="70"/>
      <c r="AB111" s="93"/>
      <c r="AC111" s="80"/>
      <c r="AD111" s="156"/>
      <c r="AE111" s="156"/>
      <c r="AF111" s="156"/>
      <c r="AG111" s="156"/>
      <c r="AH111" s="156"/>
      <c r="AI111" s="80">
        <f>HF!B15</f>
        <v>4067957</v>
      </c>
      <c r="AJ111" s="156">
        <f>HF!C15</f>
        <v>1</v>
      </c>
      <c r="AK111" s="80">
        <f>IB!S3</f>
        <v>168522.7</v>
      </c>
      <c r="AL111" s="156">
        <f>IB!R3</f>
        <v>5</v>
      </c>
      <c r="AM111" s="76">
        <f>Schwab!S106</f>
        <v>194379284.2341969</v>
      </c>
      <c r="AN111" s="74">
        <f>Schwab!Q106</f>
        <v>2030</v>
      </c>
      <c r="AO111" s="75">
        <f>Fidelity!P111</f>
        <v>197282803.69034025</v>
      </c>
      <c r="AP111" s="94">
        <f>Fidelity!O111</f>
        <v>625</v>
      </c>
      <c r="AQ111" s="94"/>
      <c r="AR111" s="94"/>
      <c r="AS111" s="75"/>
      <c r="AT111" s="94"/>
      <c r="AU111" s="75">
        <v>4882169.24</v>
      </c>
      <c r="AV111" s="94">
        <v>47</v>
      </c>
      <c r="AW111" s="94"/>
      <c r="AX111" s="94"/>
      <c r="AY111" s="94"/>
      <c r="AZ111" s="94"/>
      <c r="BA111" s="69">
        <f>'TFA - Folio'!H116</f>
        <v>66858575.850000024</v>
      </c>
      <c r="BB111" s="40">
        <f>'TFA - Folio'!I111</f>
        <v>1</v>
      </c>
      <c r="BC111" s="80">
        <f>'TFA - Folio'!K116</f>
        <v>101644635.95000002</v>
      </c>
      <c r="BD111" s="79">
        <f>'TFA - Folio'!N116</f>
        <v>1</v>
      </c>
      <c r="BE111" s="75">
        <f>'TFA - Folio'!O116</f>
        <v>42778136.309999995</v>
      </c>
      <c r="BF111" s="94">
        <f>'TFA - Folio'!R116</f>
        <v>1</v>
      </c>
      <c r="BG111" s="69">
        <f>UNC!B74</f>
        <v>180555230.53999999</v>
      </c>
      <c r="BH111" s="40">
        <f>UNC!C74</f>
        <v>1</v>
      </c>
      <c r="BI111" s="69">
        <f>'Schwab LC'!D71</f>
        <v>3989166.446299999</v>
      </c>
      <c r="BJ111" s="40">
        <f>'Schwab LC'!E71</f>
        <v>2</v>
      </c>
      <c r="CI111" s="179">
        <f>'NC State'!B44</f>
        <v>8434409.6400000025</v>
      </c>
      <c r="CJ111" s="176">
        <f>'NC State'!C44</f>
        <v>1</v>
      </c>
      <c r="CK111" s="179">
        <f>'Holiday Oil'!G49</f>
        <v>21421973.259999998</v>
      </c>
      <c r="CL111" s="176">
        <f>'Holiday Oil'!H49</f>
        <v>1</v>
      </c>
      <c r="CM111" s="179">
        <f>SCLVX!B72</f>
        <v>36629934.400000006</v>
      </c>
      <c r="CN111" s="176">
        <f>SCLVX!G72</f>
        <v>1</v>
      </c>
      <c r="CO111" s="179">
        <f>Stifel!B85</f>
        <v>6472771.4100000001</v>
      </c>
      <c r="CP111" s="176">
        <f>Stifel!K85</f>
        <v>4</v>
      </c>
      <c r="CQ111" s="179">
        <f>TDA!O101</f>
        <v>8517219.085559994</v>
      </c>
      <c r="CR111" s="176">
        <f>TDA!N101</f>
        <v>111</v>
      </c>
      <c r="CS111" s="179">
        <f>UNC!D74</f>
        <v>39115724.100000001</v>
      </c>
      <c r="CT111" s="176">
        <f>UNC!E74</f>
        <v>1</v>
      </c>
      <c r="CU111" s="179">
        <f>Asbestos!B38</f>
        <v>12515271.210000001</v>
      </c>
      <c r="CV111" s="176">
        <f>Asbestos!C38</f>
        <v>1</v>
      </c>
      <c r="CW111" s="179">
        <f>TUG!H30</f>
        <v>31069.100000000002</v>
      </c>
      <c r="CX111" s="182">
        <f>TUG!I30</f>
        <v>1</v>
      </c>
    </row>
    <row r="112" spans="1:112">
      <c r="A112" s="38">
        <v>44620</v>
      </c>
      <c r="B112" s="7">
        <f t="shared" si="57"/>
        <v>1606204330.0236518</v>
      </c>
      <c r="C112" s="84">
        <f t="shared" si="60"/>
        <v>2841</v>
      </c>
      <c r="D112" s="65">
        <f t="shared" si="55"/>
        <v>730087384.1638</v>
      </c>
      <c r="E112" s="153">
        <f t="shared" si="56"/>
        <v>10</v>
      </c>
      <c r="F112" s="68">
        <f t="shared" si="45"/>
        <v>74549483.319999993</v>
      </c>
      <c r="G112" s="170">
        <f t="shared" si="54"/>
        <v>2</v>
      </c>
      <c r="H112" s="67">
        <f t="shared" si="49"/>
        <v>128808871.09280001</v>
      </c>
      <c r="I112" s="115">
        <f t="shared" si="50"/>
        <v>2</v>
      </c>
      <c r="J112" s="73">
        <f t="shared" ref="J112:J124" si="62">AM112+CQ112+AO112+DA112+U112+BE112+AQ112</f>
        <v>453215049.11705178</v>
      </c>
      <c r="K112" s="99">
        <f t="shared" ref="K112:K124" si="63">AN112+CR112+AP112+DB112+V112+BF112+AR112</f>
        <v>2818</v>
      </c>
      <c r="L112" s="78">
        <f t="shared" si="61"/>
        <v>270477362.69</v>
      </c>
      <c r="M112" s="157">
        <f t="shared" si="59"/>
        <v>9</v>
      </c>
      <c r="O112" s="69">
        <f>SILVX!B119</f>
        <v>479445611.19</v>
      </c>
      <c r="P112" s="91">
        <f>SILVX!G119</f>
        <v>1</v>
      </c>
      <c r="Q112" s="70">
        <f>SGLIX!B64</f>
        <v>120614796.03</v>
      </c>
      <c r="R112" s="93">
        <f>SGLIX!G64</f>
        <v>1</v>
      </c>
      <c r="S112" s="71">
        <f>BOGIX!B13</f>
        <v>92340241.270000011</v>
      </c>
      <c r="T112" s="92">
        <f>BOGIX!G13</f>
        <v>1</v>
      </c>
      <c r="U112" s="75">
        <f>FoF!AD22</f>
        <v>9777271.1100000031</v>
      </c>
      <c r="V112" s="94">
        <f>FoF!AE22</f>
        <v>3</v>
      </c>
      <c r="W112" s="94"/>
      <c r="X112" s="94"/>
      <c r="Y112" s="69"/>
      <c r="Z112" s="91"/>
      <c r="AA112" s="70"/>
      <c r="AB112" s="93"/>
      <c r="AC112" s="80"/>
      <c r="AD112" s="156"/>
      <c r="AE112" s="156"/>
      <c r="AF112" s="156"/>
      <c r="AG112" s="156"/>
      <c r="AH112" s="156"/>
      <c r="AI112" s="80">
        <f>HF!B16</f>
        <v>3376700.67</v>
      </c>
      <c r="AJ112" s="156">
        <f>HF!C16</f>
        <v>1</v>
      </c>
      <c r="AK112" s="80">
        <f>IB!S4</f>
        <v>169371.57</v>
      </c>
      <c r="AL112" s="156">
        <f>IB!R4</f>
        <v>5</v>
      </c>
      <c r="AM112" s="76">
        <f>Schwab!S107</f>
        <v>193442875.23150134</v>
      </c>
      <c r="AN112" s="74">
        <f>Schwab!Q107</f>
        <v>2063</v>
      </c>
      <c r="AO112" s="75">
        <f>Fidelity!P112</f>
        <v>195683184.6166504</v>
      </c>
      <c r="AP112" s="94">
        <f>Fidelity!O112</f>
        <v>640</v>
      </c>
      <c r="AQ112" s="75">
        <f>Empower!F2</f>
        <v>110.2899999999936</v>
      </c>
      <c r="AR112" s="94">
        <f>Empower!E2</f>
        <v>2</v>
      </c>
      <c r="AS112" s="75"/>
      <c r="AT112" s="94"/>
      <c r="AU112" s="75">
        <v>4882169.24</v>
      </c>
      <c r="AV112" s="94">
        <v>47</v>
      </c>
      <c r="AW112" s="75"/>
      <c r="AX112" s="94"/>
      <c r="AY112" s="75"/>
      <c r="AZ112" s="94"/>
      <c r="BA112" s="69">
        <f>'TFA - Folio'!H117</f>
        <v>55815989.599999964</v>
      </c>
      <c r="BB112" s="40">
        <f>'TFA - Folio'!I112</f>
        <v>1</v>
      </c>
      <c r="BC112" s="80">
        <f>'TFA - Folio'!K117</f>
        <v>97658614.37000002</v>
      </c>
      <c r="BD112" s="79">
        <f>'TFA - Folio'!N117</f>
        <v>1</v>
      </c>
      <c r="BE112" s="75">
        <f>'TFA - Folio'!O117</f>
        <v>46428272.890000001</v>
      </c>
      <c r="BF112" s="94">
        <f>'TFA - Folio'!R117</f>
        <v>1</v>
      </c>
      <c r="BG112" s="69">
        <f>UNC!B75</f>
        <v>172851987.71000001</v>
      </c>
      <c r="BH112" s="40">
        <f>UNC!C75</f>
        <v>1</v>
      </c>
      <c r="BI112" s="69">
        <f>'Schwab LC'!D72</f>
        <v>3811664.3838</v>
      </c>
      <c r="BJ112" s="40">
        <f>'Schwab LC'!E72</f>
        <v>2</v>
      </c>
      <c r="CI112" s="179">
        <f>'NC State'!B45</f>
        <v>8194075.0628000004</v>
      </c>
      <c r="CJ112" s="176">
        <f>'NC State'!C45</f>
        <v>1</v>
      </c>
      <c r="CK112" s="179">
        <f>'Holiday Oil'!G50</f>
        <v>21116445.210000001</v>
      </c>
      <c r="CL112" s="176">
        <f>'Holiday Oil'!H50</f>
        <v>1</v>
      </c>
      <c r="CM112" s="179">
        <f>SCLVX!B73</f>
        <v>35982677.659999996</v>
      </c>
      <c r="CN112" s="176">
        <f>SCLVX!G73</f>
        <v>1</v>
      </c>
      <c r="CO112" s="179">
        <f>Stifel!B86</f>
        <v>6184094.8100000005</v>
      </c>
      <c r="CP112" s="176">
        <f>Stifel!K86</f>
        <v>4</v>
      </c>
      <c r="CQ112" s="179">
        <f>TDA!O102</f>
        <v>7883334.9789000005</v>
      </c>
      <c r="CR112" s="176">
        <f>TDA!N102</f>
        <v>109</v>
      </c>
      <c r="CS112" s="179">
        <f>UNC!D75</f>
        <v>38566805.660000004</v>
      </c>
      <c r="CT112" s="176">
        <f>UNC!E75</f>
        <v>1</v>
      </c>
      <c r="CU112" s="179">
        <f>Asbestos!B39</f>
        <v>11978036.470000001</v>
      </c>
      <c r="CV112" s="176">
        <f>Asbestos!C39</f>
        <v>1</v>
      </c>
      <c r="CW112" s="179"/>
      <c r="CX112" s="182"/>
    </row>
    <row r="113" spans="1:112">
      <c r="A113" s="38">
        <v>44651</v>
      </c>
      <c r="B113" s="7">
        <f t="shared" si="57"/>
        <v>1665317509.6383817</v>
      </c>
      <c r="C113" s="84">
        <f t="shared" si="60"/>
        <v>2936</v>
      </c>
      <c r="D113" s="65">
        <f t="shared" si="55"/>
        <v>766614933.96879995</v>
      </c>
      <c r="E113" s="153">
        <f t="shared" si="56"/>
        <v>10</v>
      </c>
      <c r="F113" s="68">
        <f t="shared" si="45"/>
        <v>76489115.030000001</v>
      </c>
      <c r="G113" s="170">
        <f t="shared" si="54"/>
        <v>2</v>
      </c>
      <c r="H113" s="67">
        <f t="shared" si="49"/>
        <v>135515590.39750001</v>
      </c>
      <c r="I113" s="115">
        <f t="shared" si="50"/>
        <v>2</v>
      </c>
      <c r="J113" s="73">
        <f t="shared" si="62"/>
        <v>465299428.44208163</v>
      </c>
      <c r="K113" s="99">
        <f t="shared" si="63"/>
        <v>2913</v>
      </c>
      <c r="L113" s="78">
        <f t="shared" si="61"/>
        <v>279515169.86000001</v>
      </c>
      <c r="M113" s="157">
        <f t="shared" si="59"/>
        <v>9</v>
      </c>
      <c r="O113" s="69">
        <f>SILVX!B120</f>
        <v>499057289.99000001</v>
      </c>
      <c r="P113" s="91">
        <f>SILVX!G120</f>
        <v>1</v>
      </c>
      <c r="Q113" s="70">
        <f>SGLIX!B65</f>
        <v>127102627.34</v>
      </c>
      <c r="R113" s="93">
        <f>SGLIX!G65</f>
        <v>1</v>
      </c>
      <c r="S113" s="71">
        <f>BOGIX!B14</f>
        <v>94464974.299999997</v>
      </c>
      <c r="T113" s="92">
        <f>BOGIX!G14</f>
        <v>1</v>
      </c>
      <c r="U113" s="75">
        <f>FoF!AD23</f>
        <v>10448134.910000004</v>
      </c>
      <c r="V113" s="94">
        <f>FoF!AE23</f>
        <v>3</v>
      </c>
      <c r="W113" s="94"/>
      <c r="X113" s="94"/>
      <c r="Y113" s="69"/>
      <c r="Z113" s="91"/>
      <c r="AA113" s="70"/>
      <c r="AB113" s="93"/>
      <c r="AC113" s="80"/>
      <c r="AD113" s="156"/>
      <c r="AE113" s="156"/>
      <c r="AF113" s="156"/>
      <c r="AG113" s="156"/>
      <c r="AH113" s="156"/>
      <c r="AI113" s="80">
        <f>HF!B17</f>
        <v>3696169.64</v>
      </c>
      <c r="AJ113" s="156">
        <f>HF!C17</f>
        <v>1</v>
      </c>
      <c r="AK113" s="80">
        <f>IB!S5</f>
        <v>173557.62999999998</v>
      </c>
      <c r="AL113" s="156">
        <f>IB!R5</f>
        <v>5</v>
      </c>
      <c r="AM113" s="76">
        <f>Schwab!S108</f>
        <v>195935510.45100203</v>
      </c>
      <c r="AN113" s="74">
        <f>Schwab!Q108</f>
        <v>2111</v>
      </c>
      <c r="AO113" s="75">
        <f>Fidelity!P113</f>
        <v>200112904.57753965</v>
      </c>
      <c r="AP113" s="94">
        <f>Fidelity!O113</f>
        <v>679</v>
      </c>
      <c r="AQ113" s="75">
        <f>Empower!F3</f>
        <v>7996.320000000298</v>
      </c>
      <c r="AR113" s="94">
        <f>Empower!E3</f>
        <v>8</v>
      </c>
      <c r="AS113" s="75"/>
      <c r="AT113" s="94"/>
      <c r="AU113" s="75">
        <v>4882169.24</v>
      </c>
      <c r="AV113" s="94">
        <v>47</v>
      </c>
      <c r="AW113" s="75"/>
      <c r="AX113" s="94"/>
      <c r="AY113" s="75"/>
      <c r="AZ113" s="94"/>
      <c r="BA113" s="69">
        <f>'TFA - Folio'!H118</f>
        <v>62998897.300000012</v>
      </c>
      <c r="BB113" s="40">
        <f>'TFA - Folio'!I113</f>
        <v>1</v>
      </c>
      <c r="BC113" s="80">
        <f>'TFA - Folio'!K118</f>
        <v>97311034.420000017</v>
      </c>
      <c r="BD113" s="79">
        <f>'TFA - Folio'!N118</f>
        <v>1</v>
      </c>
      <c r="BE113" s="75">
        <f>'TFA - Folio'!O118</f>
        <v>50475181.339999989</v>
      </c>
      <c r="BF113" s="94">
        <f>'TFA - Folio'!R118</f>
        <v>1</v>
      </c>
      <c r="BG113" s="69">
        <f>UNC!B76</f>
        <v>181497007.62</v>
      </c>
      <c r="BH113" s="40">
        <f>UNC!C76</f>
        <v>1</v>
      </c>
      <c r="BI113" s="69">
        <f>'Schwab LC'!D73</f>
        <v>3999984.1387999998</v>
      </c>
      <c r="BJ113" s="40">
        <f>'Schwab LC'!E73</f>
        <v>2</v>
      </c>
      <c r="CI113" s="179">
        <f>'NC State'!B46</f>
        <v>8412963.0574999973</v>
      </c>
      <c r="CJ113" s="176">
        <f>'NC State'!C46</f>
        <v>1</v>
      </c>
      <c r="CK113" s="179">
        <f>'Holiday Oil'!G51</f>
        <v>20870536.569999997</v>
      </c>
      <c r="CL113" s="176">
        <f>'Holiday Oil'!H51</f>
        <v>1</v>
      </c>
      <c r="CM113" s="179">
        <f>SCLVX!B74</f>
        <v>37376250.390000001</v>
      </c>
      <c r="CN113" s="176">
        <f>SCLVX!G74</f>
        <v>1</v>
      </c>
      <c r="CO113" s="179">
        <f>Stifel!B87</f>
        <v>6486926.6300000008</v>
      </c>
      <c r="CP113" s="176">
        <f>Stifel!K87</f>
        <v>4</v>
      </c>
      <c r="CQ113" s="179">
        <f>TDA!O103</f>
        <v>8319700.8435399607</v>
      </c>
      <c r="CR113" s="176">
        <f>TDA!N103</f>
        <v>111</v>
      </c>
      <c r="CS113" s="179">
        <f>UNC!D76</f>
        <v>39112864.640000001</v>
      </c>
      <c r="CT113" s="176">
        <f>UNC!E76</f>
        <v>1</v>
      </c>
      <c r="CU113" s="179">
        <f>Asbestos!B40</f>
        <v>12574828.289999999</v>
      </c>
      <c r="CV113" s="176">
        <f>Asbestos!C40</f>
        <v>1</v>
      </c>
      <c r="CW113" s="179"/>
      <c r="CX113" s="182"/>
    </row>
    <row r="114" spans="1:112">
      <c r="A114" s="38">
        <v>44681</v>
      </c>
      <c r="B114" s="7">
        <f t="shared" si="57"/>
        <v>1595204294.8513124</v>
      </c>
      <c r="C114" s="84">
        <f t="shared" si="60"/>
        <v>3011</v>
      </c>
      <c r="D114" s="65">
        <f t="shared" si="55"/>
        <v>730944656.25649989</v>
      </c>
      <c r="E114" s="153">
        <f t="shared" si="56"/>
        <v>10</v>
      </c>
      <c r="F114" s="68">
        <f t="shared" si="45"/>
        <v>73025428.840000004</v>
      </c>
      <c r="G114" s="170">
        <f t="shared" si="54"/>
        <v>2</v>
      </c>
      <c r="H114" s="67">
        <f t="shared" si="49"/>
        <v>127991212.11870001</v>
      </c>
      <c r="I114" s="115">
        <f t="shared" si="50"/>
        <v>2</v>
      </c>
      <c r="J114" s="73">
        <f t="shared" si="62"/>
        <v>447258843.51611263</v>
      </c>
      <c r="K114" s="99">
        <f t="shared" si="63"/>
        <v>2988</v>
      </c>
      <c r="L114" s="78">
        <f t="shared" si="61"/>
        <v>270266196.74000007</v>
      </c>
      <c r="M114" s="157">
        <f t="shared" si="59"/>
        <v>9</v>
      </c>
      <c r="O114" s="69">
        <f>SILVX!B121</f>
        <v>474697469.44999999</v>
      </c>
      <c r="P114" s="91">
        <f>SILVX!G121</f>
        <v>1</v>
      </c>
      <c r="Q114" s="70">
        <f>SGLIX!B66</f>
        <v>120106940.46000001</v>
      </c>
      <c r="R114" s="93">
        <f>SGLIX!G66</f>
        <v>1</v>
      </c>
      <c r="S114" s="71">
        <f>BOGIX!B15</f>
        <v>88330308.690000013</v>
      </c>
      <c r="T114" s="92">
        <f>BOGIX!G15</f>
        <v>1</v>
      </c>
      <c r="U114" s="75">
        <f>FoF!AD24</f>
        <v>9748454.0700000022</v>
      </c>
      <c r="V114" s="94">
        <f>FoF!AE24</f>
        <v>3</v>
      </c>
      <c r="W114" s="94"/>
      <c r="X114" s="94"/>
      <c r="Y114" s="69"/>
      <c r="Z114" s="91"/>
      <c r="AA114" s="70"/>
      <c r="AB114" s="93"/>
      <c r="AC114" s="80"/>
      <c r="AD114" s="156"/>
      <c r="AE114" s="156"/>
      <c r="AF114" s="156"/>
      <c r="AG114" s="156"/>
      <c r="AH114" s="156"/>
      <c r="AI114" s="80">
        <f>HF!B18</f>
        <v>3533698.7</v>
      </c>
      <c r="AJ114" s="156">
        <f>HF!C18</f>
        <v>1</v>
      </c>
      <c r="AK114" s="80">
        <f>IB!S6</f>
        <v>163829.55000000002</v>
      </c>
      <c r="AL114" s="156">
        <f>IB!R6</f>
        <v>5</v>
      </c>
      <c r="AM114" s="76">
        <f>Schwab!S109</f>
        <v>189452406.72610018</v>
      </c>
      <c r="AN114" s="74">
        <f>Schwab!Q109</f>
        <v>2149</v>
      </c>
      <c r="AO114" s="75">
        <f>Fidelity!P114</f>
        <v>183283601.43046242</v>
      </c>
      <c r="AP114" s="94">
        <f>Fidelity!O114</f>
        <v>713</v>
      </c>
      <c r="AQ114" s="75">
        <f>Empower!F4</f>
        <v>7228.2900000000373</v>
      </c>
      <c r="AR114" s="94">
        <f>Empower!E4</f>
        <v>10</v>
      </c>
      <c r="AS114" s="75"/>
      <c r="AT114" s="94"/>
      <c r="AU114" s="75">
        <v>4882169.24</v>
      </c>
      <c r="AV114" s="94">
        <v>47</v>
      </c>
      <c r="AW114" s="75"/>
      <c r="AX114" s="94"/>
      <c r="AY114" s="75"/>
      <c r="AZ114" s="94"/>
      <c r="BA114" s="69">
        <f>'TFA - Folio'!H119</f>
        <v>59164211.860000014</v>
      </c>
      <c r="BB114" s="40">
        <f>'TFA - Folio'!I114</f>
        <v>1</v>
      </c>
      <c r="BC114" s="80">
        <f>'TFA - Folio'!K119</f>
        <v>99073568.840000018</v>
      </c>
      <c r="BD114" s="79">
        <f>'TFA - Folio'!N119</f>
        <v>1</v>
      </c>
      <c r="BE114" s="75">
        <f>'TFA - Folio'!O119</f>
        <v>57090408.179999992</v>
      </c>
      <c r="BF114" s="94">
        <f>'TFA - Folio'!R119</f>
        <v>1</v>
      </c>
      <c r="BG114" s="69">
        <f>UNC!B77</f>
        <v>174861390.73000002</v>
      </c>
      <c r="BH114" s="40">
        <f>UNC!C77</f>
        <v>1</v>
      </c>
      <c r="BI114" s="69">
        <f>'Schwab LC'!D74</f>
        <v>3849185.1664999998</v>
      </c>
      <c r="BJ114" s="40">
        <f>'Schwab LC'!E74</f>
        <v>2</v>
      </c>
      <c r="CI114" s="179">
        <f>'NC State'!B47</f>
        <v>7884271.6586999986</v>
      </c>
      <c r="CJ114" s="176">
        <f>'NC State'!C47</f>
        <v>1</v>
      </c>
      <c r="CK114" s="179">
        <f>'Holiday Oil'!G52</f>
        <v>20000579.100000001</v>
      </c>
      <c r="CL114" s="176">
        <f>'Holiday Oil'!H52</f>
        <v>1</v>
      </c>
      <c r="CM114" s="179">
        <f>SCLVX!B75</f>
        <v>36061103.849999994</v>
      </c>
      <c r="CN114" s="176">
        <f>SCLVX!G75</f>
        <v>1</v>
      </c>
      <c r="CO114" s="179">
        <f>Stifel!B88</f>
        <v>6245256.1200000001</v>
      </c>
      <c r="CP114" s="176">
        <f>Stifel!K88</f>
        <v>4</v>
      </c>
      <c r="CQ114" s="179">
        <f>TDA!O104</f>
        <v>7676744.819549989</v>
      </c>
      <c r="CR114" s="176">
        <f>TDA!N104</f>
        <v>112</v>
      </c>
      <c r="CS114" s="179">
        <f>UNC!D77</f>
        <v>36964324.990000002</v>
      </c>
      <c r="CT114" s="176">
        <f>UNC!E77</f>
        <v>1</v>
      </c>
      <c r="CU114" s="179">
        <f>Asbestos!B41</f>
        <v>12127142.93</v>
      </c>
      <c r="CV114" s="176">
        <f>Asbestos!C41</f>
        <v>1</v>
      </c>
    </row>
    <row r="115" spans="1:112">
      <c r="A115" s="38">
        <v>44712</v>
      </c>
      <c r="B115" s="7">
        <f t="shared" si="57"/>
        <v>1599550780.3216441</v>
      </c>
      <c r="C115" s="84">
        <f t="shared" si="60"/>
        <v>3104</v>
      </c>
      <c r="D115" s="65">
        <f t="shared" si="55"/>
        <v>716633255.90110004</v>
      </c>
      <c r="E115" s="153">
        <f t="shared" si="56"/>
        <v>10</v>
      </c>
      <c r="F115" s="68">
        <f t="shared" si="45"/>
        <v>74030651.560000002</v>
      </c>
      <c r="G115" s="170">
        <f t="shared" si="54"/>
        <v>2</v>
      </c>
      <c r="H115" s="67">
        <f t="shared" si="49"/>
        <v>129763200.42549999</v>
      </c>
      <c r="I115" s="115">
        <f t="shared" si="50"/>
        <v>2</v>
      </c>
      <c r="J115" s="73">
        <f t="shared" si="62"/>
        <v>456196763.79504406</v>
      </c>
      <c r="K115" s="99">
        <f t="shared" si="63"/>
        <v>3081</v>
      </c>
      <c r="L115" s="78">
        <f t="shared" si="61"/>
        <v>277634328.76999998</v>
      </c>
      <c r="M115" s="157">
        <f t="shared" si="59"/>
        <v>9</v>
      </c>
      <c r="O115" s="69">
        <f>SILVX!B122</f>
        <v>459289234.48000002</v>
      </c>
      <c r="P115" s="91">
        <f>SILVX!G122</f>
        <v>1</v>
      </c>
      <c r="Q115" s="70">
        <f>SGLIX!B67</f>
        <v>121806708.86999999</v>
      </c>
      <c r="R115" s="93">
        <f>SGLIX!G67</f>
        <v>1</v>
      </c>
      <c r="S115" s="71">
        <f>BOGIX!B16</f>
        <v>91727100.969999999</v>
      </c>
      <c r="T115" s="92">
        <f>BOGIX!G16</f>
        <v>1</v>
      </c>
      <c r="U115" s="75">
        <f>FoF!AD25</f>
        <v>10190531.93</v>
      </c>
      <c r="V115" s="94">
        <f>FoF!AE25</f>
        <v>3</v>
      </c>
      <c r="W115" s="94"/>
      <c r="X115" s="94"/>
      <c r="Y115" s="69"/>
      <c r="Z115" s="91"/>
      <c r="AA115" s="70"/>
      <c r="AB115" s="93"/>
      <c r="AC115" s="80"/>
      <c r="AD115" s="156"/>
      <c r="AE115" s="156"/>
      <c r="AF115" s="156"/>
      <c r="AG115" s="156"/>
      <c r="AH115" s="156"/>
      <c r="AI115" s="80">
        <f>HF!B19</f>
        <v>3521614.28</v>
      </c>
      <c r="AJ115" s="156">
        <f>HF!C19</f>
        <v>1</v>
      </c>
      <c r="AK115" s="80">
        <f>IB!S7</f>
        <v>1947164.8399999999</v>
      </c>
      <c r="AL115" s="156">
        <f>IB!R7</f>
        <v>5</v>
      </c>
      <c r="AM115" s="76">
        <f>Schwab!S110</f>
        <v>193903124.55360058</v>
      </c>
      <c r="AN115" s="74">
        <f>Schwab!Q110</f>
        <v>2205</v>
      </c>
      <c r="AO115" s="75">
        <f>Fidelity!P115</f>
        <v>185512008.77978352</v>
      </c>
      <c r="AP115" s="94">
        <f>Fidelity!O115</f>
        <v>744</v>
      </c>
      <c r="AQ115" s="75">
        <f>Empower!F5</f>
        <v>9845.4000000002561</v>
      </c>
      <c r="AR115" s="94">
        <f>Empower!E5</f>
        <v>17</v>
      </c>
      <c r="AS115" s="75"/>
      <c r="AT115" s="94"/>
      <c r="AU115" s="75">
        <v>4882169.24</v>
      </c>
      <c r="AV115" s="94">
        <v>47</v>
      </c>
      <c r="AW115" s="75"/>
      <c r="AX115" s="94"/>
      <c r="AY115" s="75"/>
      <c r="AZ115" s="94"/>
      <c r="BA115" s="69">
        <f>'TFA - Folio'!H120</f>
        <v>59589589.369999945</v>
      </c>
      <c r="BB115" s="40">
        <f>'TFA - Folio'!I115</f>
        <v>1</v>
      </c>
      <c r="BC115" s="80">
        <f>'TFA - Folio'!K120</f>
        <v>100952544.48999999</v>
      </c>
      <c r="BD115" s="79">
        <f>'TFA - Folio'!N120</f>
        <v>1</v>
      </c>
      <c r="BE115" s="75">
        <f>'TFA - Folio'!O120</f>
        <v>58653202.209999993</v>
      </c>
      <c r="BF115" s="94">
        <f>'TFA - Folio'!R120</f>
        <v>1</v>
      </c>
      <c r="BG115" s="69">
        <f>UNC!B78</f>
        <v>175467202.98000002</v>
      </c>
      <c r="BH115" s="40">
        <f>UNC!C78</f>
        <v>1</v>
      </c>
      <c r="BI115" s="69">
        <f>'Schwab LC'!D75</f>
        <v>3861396.4510999992</v>
      </c>
      <c r="BJ115" s="40">
        <f>'Schwab LC'!E75</f>
        <v>2</v>
      </c>
      <c r="CI115" s="179">
        <f>'NC State'!B48</f>
        <v>7956491.5554999989</v>
      </c>
      <c r="CJ115" s="176">
        <f>'NC State'!C48</f>
        <v>1</v>
      </c>
      <c r="CK115" s="179">
        <f>'Holiday Oil'!G53</f>
        <v>19896314.820000008</v>
      </c>
      <c r="CL115" s="176">
        <f>'Holiday Oil'!H53</f>
        <v>1</v>
      </c>
      <c r="CM115" s="179">
        <f>SCLVX!B76</f>
        <v>36409887.009999998</v>
      </c>
      <c r="CN115" s="176">
        <f>SCLVX!G76</f>
        <v>1</v>
      </c>
      <c r="CO115" s="179">
        <f>Stifel!B89</f>
        <v>6263485.3600000013</v>
      </c>
      <c r="CP115" s="176">
        <f>Stifel!K89</f>
        <v>4</v>
      </c>
      <c r="CQ115" s="179">
        <f>TDA!O105</f>
        <v>7928050.9216600079</v>
      </c>
      <c r="CR115" s="176">
        <f>TDA!N105</f>
        <v>111</v>
      </c>
      <c r="CS115" s="179">
        <f>UNC!D78</f>
        <v>37620764.549999997</v>
      </c>
      <c r="CT115" s="176">
        <f>UNC!E78</f>
        <v>1</v>
      </c>
      <c r="CU115" s="179">
        <f>Asbestos!B42</f>
        <v>12162347.26</v>
      </c>
      <c r="CV115" s="176">
        <f>Asbestos!C42</f>
        <v>1</v>
      </c>
    </row>
    <row r="116" spans="1:112">
      <c r="A116" s="38">
        <v>44742</v>
      </c>
      <c r="B116" s="7">
        <f t="shared" si="57"/>
        <v>1513937748.5591898</v>
      </c>
      <c r="C116" s="84">
        <f t="shared" si="60"/>
        <v>3177</v>
      </c>
      <c r="D116" s="65">
        <f t="shared" si="55"/>
        <v>663023205.18700004</v>
      </c>
      <c r="E116" s="153">
        <f t="shared" si="56"/>
        <v>10</v>
      </c>
      <c r="F116" s="68">
        <f t="shared" si="45"/>
        <v>71879545.109999999</v>
      </c>
      <c r="G116" s="170">
        <f t="shared" si="54"/>
        <v>2</v>
      </c>
      <c r="H116" s="67">
        <f t="shared" si="49"/>
        <v>124095981.84109999</v>
      </c>
      <c r="I116" s="115">
        <f t="shared" si="50"/>
        <v>2</v>
      </c>
      <c r="J116" s="73">
        <f t="shared" si="62"/>
        <v>441920482.20108974</v>
      </c>
      <c r="K116" s="99">
        <f t="shared" si="63"/>
        <v>3154</v>
      </c>
      <c r="L116" s="78">
        <f t="shared" si="61"/>
        <v>263709937.68999994</v>
      </c>
      <c r="M116" s="157">
        <f t="shared" si="59"/>
        <v>9</v>
      </c>
      <c r="O116" s="69">
        <f>SILVX!B123</f>
        <v>422396251.06</v>
      </c>
      <c r="P116" s="91">
        <f>SILVX!G123</f>
        <v>1</v>
      </c>
      <c r="Q116" s="70">
        <f>SGLIX!B68</f>
        <v>116598519.52</v>
      </c>
      <c r="R116" s="93">
        <f>SGLIX!G68</f>
        <v>1</v>
      </c>
      <c r="S116" s="71">
        <f>BOGIX!B17</f>
        <v>84482014.75</v>
      </c>
      <c r="T116" s="92">
        <f>BOGIX!G17</f>
        <v>1</v>
      </c>
      <c r="U116" s="75">
        <f>FoF!AD26</f>
        <v>10191271.690000003</v>
      </c>
      <c r="V116" s="94">
        <f>FoF!AE26</f>
        <v>2</v>
      </c>
      <c r="W116" s="94"/>
      <c r="X116" s="94"/>
      <c r="Y116" s="69"/>
      <c r="Z116" s="91"/>
      <c r="AA116" s="70"/>
      <c r="AB116" s="93"/>
      <c r="AC116" s="80"/>
      <c r="AD116" s="156"/>
      <c r="AE116" s="156"/>
      <c r="AF116" s="156"/>
      <c r="AG116" s="156"/>
      <c r="AH116" s="156"/>
      <c r="AI116" s="80">
        <f>HF!B20</f>
        <v>2622136.17</v>
      </c>
      <c r="AJ116" s="156">
        <f>HF!C20</f>
        <v>1</v>
      </c>
      <c r="AK116" s="80">
        <f>IB!S8</f>
        <v>1805725.4700000002</v>
      </c>
      <c r="AL116" s="156">
        <f>IB!R8</f>
        <v>5</v>
      </c>
      <c r="AM116" s="76">
        <f>Schwab!S111</f>
        <v>183780665.59679973</v>
      </c>
      <c r="AN116" s="74">
        <f>Schwab!Q111</f>
        <v>2251</v>
      </c>
      <c r="AO116" s="75">
        <f>Fidelity!P116</f>
        <v>178077359.06365001</v>
      </c>
      <c r="AP116" s="94">
        <f>Fidelity!O116</f>
        <v>765</v>
      </c>
      <c r="AQ116" s="75">
        <f>Empower!F6</f>
        <v>9790.4000000000233</v>
      </c>
      <c r="AR116" s="94">
        <f>Empower!E6</f>
        <v>20</v>
      </c>
      <c r="AS116" s="75"/>
      <c r="AT116" s="94"/>
      <c r="AU116" s="75">
        <v>4882169.24</v>
      </c>
      <c r="AV116" s="94">
        <v>47</v>
      </c>
      <c r="AW116" s="75"/>
      <c r="AX116" s="94"/>
      <c r="AY116" s="75"/>
      <c r="AZ116" s="94"/>
      <c r="BA116" s="69">
        <f>'TFA - Folio'!H121</f>
        <v>55573572.709999979</v>
      </c>
      <c r="BB116" s="40">
        <f>'TFA - Folio'!I116</f>
        <v>1</v>
      </c>
      <c r="BC116" s="80">
        <f>'TFA - Folio'!K121</f>
        <v>99607642.449999958</v>
      </c>
      <c r="BD116" s="79">
        <f>'TFA - Folio'!N121</f>
        <v>1</v>
      </c>
      <c r="BE116" s="75">
        <f>'TFA - Folio'!O121</f>
        <v>61651031.669999994</v>
      </c>
      <c r="BF116" s="94">
        <f>'TFA - Folio'!R121</f>
        <v>1</v>
      </c>
      <c r="BG116" s="69">
        <f>UNC!B79</f>
        <v>164199231.21000001</v>
      </c>
      <c r="BH116" s="40">
        <f>UNC!C79</f>
        <v>1</v>
      </c>
      <c r="BI116" s="69">
        <f>'Schwab LC'!D76</f>
        <v>3611887.5569999986</v>
      </c>
      <c r="BJ116" s="40">
        <f>'Schwab LC'!E76</f>
        <v>2</v>
      </c>
      <c r="CI116" s="179">
        <f>'NC State'!B49</f>
        <v>7497462.3211000003</v>
      </c>
      <c r="CJ116" s="176">
        <f>'NC State'!C49</f>
        <v>1</v>
      </c>
      <c r="CK116" s="179">
        <f>'Holiday Oil'!G54</f>
        <v>19618846.140000001</v>
      </c>
      <c r="CL116" s="176">
        <f>'Holiday Oil'!H54</f>
        <v>1</v>
      </c>
      <c r="CM116" s="179">
        <f>SCLVX!B77</f>
        <v>35130786.549999997</v>
      </c>
      <c r="CN116" s="176">
        <f>SCLVX!G77</f>
        <v>1</v>
      </c>
      <c r="CO116" s="179">
        <f>Stifel!B90</f>
        <v>5852356.120000001</v>
      </c>
      <c r="CP116" s="176">
        <f>Stifel!K90</f>
        <v>4</v>
      </c>
      <c r="CQ116" s="179">
        <f>TDA!O106</f>
        <v>8210363.7806400005</v>
      </c>
      <c r="CR116" s="176">
        <f>TDA!N106</f>
        <v>115</v>
      </c>
      <c r="CS116" s="179">
        <f>UNC!D79</f>
        <v>36748758.560000002</v>
      </c>
      <c r="CT116" s="176">
        <f>UNC!E79</f>
        <v>1</v>
      </c>
      <c r="CU116" s="179">
        <f>Asbestos!B43</f>
        <v>11389906.530000001</v>
      </c>
      <c r="CV116" s="176">
        <f>Asbestos!C43</f>
        <v>1</v>
      </c>
    </row>
    <row r="117" spans="1:112">
      <c r="A117" s="38">
        <v>44773</v>
      </c>
      <c r="B117" s="7">
        <f t="shared" si="57"/>
        <v>1593421620.696445</v>
      </c>
      <c r="C117" s="84">
        <f t="shared" si="60"/>
        <v>3254</v>
      </c>
      <c r="D117" s="65">
        <f t="shared" si="55"/>
        <v>689844119.64810002</v>
      </c>
      <c r="E117" s="153">
        <f t="shared" si="56"/>
        <v>10</v>
      </c>
      <c r="F117" s="68">
        <f t="shared" si="45"/>
        <v>76452824.019999996</v>
      </c>
      <c r="G117" s="170">
        <f t="shared" si="54"/>
        <v>2</v>
      </c>
      <c r="H117" s="67">
        <f t="shared" si="49"/>
        <v>131775066.44449998</v>
      </c>
      <c r="I117" s="115">
        <f t="shared" si="50"/>
        <v>2</v>
      </c>
      <c r="J117" s="73">
        <f t="shared" si="62"/>
        <v>470263191.59384525</v>
      </c>
      <c r="K117" s="99">
        <f t="shared" si="63"/>
        <v>3231</v>
      </c>
      <c r="L117" s="78">
        <f t="shared" si="61"/>
        <v>278876107.32000005</v>
      </c>
      <c r="M117" s="157">
        <f t="shared" si="59"/>
        <v>9</v>
      </c>
      <c r="O117" s="69">
        <f>SILVX!B124</f>
        <v>438203228.62</v>
      </c>
      <c r="P117" s="91">
        <f>SILVX!G124</f>
        <v>1</v>
      </c>
      <c r="Q117" s="70">
        <f>SGLIX!B69</f>
        <v>123900572.03999999</v>
      </c>
      <c r="R117" s="93">
        <f>SGLIX!G69</f>
        <v>1</v>
      </c>
      <c r="S117" s="71">
        <f>BOGIX!B18</f>
        <v>93733217.379999995</v>
      </c>
      <c r="T117" s="92">
        <f>BOGIX!G18</f>
        <v>1</v>
      </c>
      <c r="U117" s="75">
        <f>FoF!AD27</f>
        <v>10956328.480000004</v>
      </c>
      <c r="V117" s="94">
        <f>FoF!AE27</f>
        <v>2</v>
      </c>
      <c r="W117" s="94"/>
      <c r="X117" s="94"/>
      <c r="Y117" s="69"/>
      <c r="Z117" s="91"/>
      <c r="AA117" s="70"/>
      <c r="AB117" s="93"/>
      <c r="AC117" s="80"/>
      <c r="AD117" s="156"/>
      <c r="AE117" s="156"/>
      <c r="AF117" s="156"/>
      <c r="AG117" s="156"/>
      <c r="AH117" s="156"/>
      <c r="AI117" s="80">
        <f>HF!B21</f>
        <v>2536519.5499999998</v>
      </c>
      <c r="AJ117" s="156">
        <f>HF!C21</f>
        <v>1</v>
      </c>
      <c r="AK117" s="80">
        <f>IB!S9</f>
        <v>2138203.9500000002</v>
      </c>
      <c r="AL117" s="156">
        <f>IB!R9</f>
        <v>5</v>
      </c>
      <c r="AM117" s="76">
        <f>Schwab!S112</f>
        <v>190730241.87109926</v>
      </c>
      <c r="AN117" s="74">
        <f>Schwab!Q112</f>
        <v>2294</v>
      </c>
      <c r="AO117" s="75">
        <f>Fidelity!P117</f>
        <v>193101822.02555591</v>
      </c>
      <c r="AP117" s="94">
        <f>Fidelity!O117</f>
        <v>797</v>
      </c>
      <c r="AQ117" s="75">
        <f>Empower!F7</f>
        <v>13084.370000000112</v>
      </c>
      <c r="AR117" s="94">
        <f>Empower!E7</f>
        <v>20</v>
      </c>
      <c r="AS117" s="75"/>
      <c r="AT117" s="94"/>
      <c r="AU117" s="75">
        <v>4882169.24</v>
      </c>
      <c r="AV117" s="94">
        <v>47</v>
      </c>
      <c r="AW117" s="75"/>
      <c r="AX117" s="94"/>
      <c r="AY117" s="75"/>
      <c r="AZ117" s="94"/>
      <c r="BA117" s="69">
        <f>'TFA - Folio'!H122</f>
        <v>58671857.569999993</v>
      </c>
      <c r="BB117" s="40">
        <f>'TFA - Folio'!I117</f>
        <v>1</v>
      </c>
      <c r="BC117" s="80">
        <f>'TFA - Folio'!K122</f>
        <v>101828692.47000004</v>
      </c>
      <c r="BD117" s="79">
        <f>'TFA - Folio'!N122</f>
        <v>1</v>
      </c>
      <c r="BE117" s="75">
        <f>'TFA - Folio'!O122</f>
        <v>67604556.970000014</v>
      </c>
      <c r="BF117" s="94">
        <f>'TFA - Folio'!R122</f>
        <v>1</v>
      </c>
      <c r="BG117" s="69">
        <f>UNC!B80</f>
        <v>171205903.32999998</v>
      </c>
      <c r="BH117" s="40">
        <f>UNC!C80</f>
        <v>1</v>
      </c>
      <c r="BI117" s="69">
        <f>'Schwab LC'!D77</f>
        <v>3764823.2681000005</v>
      </c>
      <c r="BJ117" s="40">
        <f>'Schwab LC'!E77</f>
        <v>2</v>
      </c>
      <c r="CI117" s="179">
        <f>'NC State'!B50</f>
        <v>7874494.4044999992</v>
      </c>
      <c r="CJ117" s="176">
        <f>'NC State'!C50</f>
        <v>1</v>
      </c>
      <c r="CK117" s="179">
        <f>'Holiday Oil'!G55</f>
        <v>19967616.400000006</v>
      </c>
      <c r="CL117" s="176">
        <f>'Holiday Oil'!H55</f>
        <v>1</v>
      </c>
      <c r="CM117" s="179">
        <f>SCLVX!B78</f>
        <v>37563713.759999998</v>
      </c>
      <c r="CN117" s="176">
        <f>SCLVX!G78</f>
        <v>1</v>
      </c>
      <c r="CO117" s="179">
        <f>Stifel!B91</f>
        <v>6094781.5</v>
      </c>
      <c r="CP117" s="176">
        <f>Stifel!K91</f>
        <v>4</v>
      </c>
      <c r="CQ117" s="179">
        <f>TDA!O107</f>
        <v>7857157.8771899976</v>
      </c>
      <c r="CR117" s="176">
        <f>TDA!N107</f>
        <v>117</v>
      </c>
      <c r="CS117" s="179">
        <f>UNC!D80</f>
        <v>38889110.259999998</v>
      </c>
      <c r="CT117" s="176">
        <f>UNC!E80</f>
        <v>1</v>
      </c>
      <c r="CU117" s="179">
        <f>Asbestos!B44</f>
        <v>11903525.359999999</v>
      </c>
      <c r="CV117" s="176">
        <f>Asbestos!C44</f>
        <v>1</v>
      </c>
    </row>
    <row r="118" spans="1:112">
      <c r="A118" s="38">
        <v>44804</v>
      </c>
      <c r="B118" s="7">
        <f t="shared" si="57"/>
        <v>1567116045.80354</v>
      </c>
      <c r="C118" s="84">
        <f t="shared" si="60"/>
        <v>3338</v>
      </c>
      <c r="D118" s="65">
        <f t="shared" si="55"/>
        <v>665952274.99319994</v>
      </c>
      <c r="E118" s="153">
        <f t="shared" si="56"/>
        <v>9</v>
      </c>
      <c r="F118" s="68">
        <f t="shared" si="45"/>
        <v>72851720.590000004</v>
      </c>
      <c r="G118" s="170">
        <f t="shared" si="54"/>
        <v>2</v>
      </c>
      <c r="H118" s="67">
        <f t="shared" si="49"/>
        <v>125435883.7968</v>
      </c>
      <c r="I118" s="115">
        <f t="shared" si="50"/>
        <v>2</v>
      </c>
      <c r="J118" s="73">
        <f t="shared" si="62"/>
        <v>474991279.16354024</v>
      </c>
      <c r="K118" s="99">
        <f t="shared" si="63"/>
        <v>3316</v>
      </c>
      <c r="L118" s="78">
        <f t="shared" si="61"/>
        <v>281319024.92000008</v>
      </c>
      <c r="M118" s="157">
        <f t="shared" si="59"/>
        <v>9</v>
      </c>
      <c r="O118" s="69">
        <f>SILVX!B125</f>
        <v>421900900.20999998</v>
      </c>
      <c r="P118" s="91">
        <f>SILVX!G125</f>
        <v>1</v>
      </c>
      <c r="Q118" s="70">
        <f>SGLIX!B70</f>
        <v>117880698.11</v>
      </c>
      <c r="R118" s="93">
        <f>SGLIX!G70</f>
        <v>1</v>
      </c>
      <c r="S118" s="71">
        <f>BOGIX!B19</f>
        <v>89800138.409999996</v>
      </c>
      <c r="T118" s="92">
        <f>BOGIX!G19</f>
        <v>1</v>
      </c>
      <c r="U118" s="75">
        <f>FoF!AD28</f>
        <v>11556393.582000002</v>
      </c>
      <c r="V118" s="94">
        <f>FoF!AE28</f>
        <v>2</v>
      </c>
      <c r="W118" s="94"/>
      <c r="X118" s="94"/>
      <c r="Y118" s="69"/>
      <c r="Z118" s="91"/>
      <c r="AA118" s="70"/>
      <c r="AB118" s="93"/>
      <c r="AC118" s="80"/>
      <c r="AD118" s="156"/>
      <c r="AE118" s="156"/>
      <c r="AF118" s="156"/>
      <c r="AG118" s="156"/>
      <c r="AH118" s="156"/>
      <c r="AI118" s="80">
        <f>HF!B22</f>
        <v>2558631.73</v>
      </c>
      <c r="AJ118" s="156">
        <f>HF!C22</f>
        <v>1</v>
      </c>
      <c r="AK118" s="80">
        <f>IB!S10</f>
        <v>2083918.27</v>
      </c>
      <c r="AL118" s="156">
        <f>IB!R10</f>
        <v>5</v>
      </c>
      <c r="AM118" s="76">
        <f>Schwab!S113</f>
        <v>190739361.44200146</v>
      </c>
      <c r="AN118" s="74">
        <f>Schwab!Q113</f>
        <v>2353</v>
      </c>
      <c r="AO118" s="75">
        <f>Fidelity!P118</f>
        <v>198213727.20834878</v>
      </c>
      <c r="AP118" s="94">
        <f>Fidelity!O118</f>
        <v>820</v>
      </c>
      <c r="AQ118" s="75">
        <f>Empower!F8</f>
        <v>13313.690000000293</v>
      </c>
      <c r="AR118" s="94">
        <f>Empower!E8</f>
        <v>20</v>
      </c>
      <c r="AS118" s="75"/>
      <c r="AT118" s="94"/>
      <c r="AU118" s="75">
        <v>4882169.24</v>
      </c>
      <c r="AV118" s="94">
        <v>47</v>
      </c>
      <c r="AW118" s="75"/>
      <c r="AX118" s="94"/>
      <c r="AY118" s="75"/>
      <c r="AZ118" s="94"/>
      <c r="BA118" s="69">
        <f>'TFA - Folio'!H123</f>
        <v>58316306.900000036</v>
      </c>
      <c r="BB118" s="40">
        <f>'TFA - Folio'!I118</f>
        <v>1</v>
      </c>
      <c r="BC118" s="80">
        <f>'TFA - Folio'!K123</f>
        <v>108777310.31999999</v>
      </c>
      <c r="BD118" s="79">
        <f>'TFA - Folio'!N123</f>
        <v>1</v>
      </c>
      <c r="BE118" s="75">
        <f>'TFA - Folio'!O123</f>
        <v>66903330.259999998</v>
      </c>
      <c r="BF118" s="94">
        <f>'TFA - Folio'!R123</f>
        <v>1</v>
      </c>
      <c r="BG118" s="69">
        <f>UNC!B81</f>
        <v>166952394.06</v>
      </c>
      <c r="BH118" s="40">
        <f>UNC!C81</f>
        <v>1</v>
      </c>
      <c r="BI118" s="69">
        <f>'Schwab LC'!D78</f>
        <v>3672872.8332000002</v>
      </c>
      <c r="BJ118" s="40">
        <f>'Schwab LC'!E78</f>
        <v>2</v>
      </c>
      <c r="CI118" s="179">
        <f>'NC State'!B51</f>
        <v>7555185.6868000003</v>
      </c>
      <c r="CJ118" s="176">
        <f>'NC State'!C51</f>
        <v>1</v>
      </c>
      <c r="CK118" s="179">
        <f>'Holiday Oil'!G56</f>
        <v>19782719.289999999</v>
      </c>
      <c r="CL118" s="176">
        <f>'Holiday Oil'!H56</f>
        <v>1</v>
      </c>
      <c r="CM118" s="179">
        <f>SCLVX!B79</f>
        <v>35567049.719999999</v>
      </c>
      <c r="CN118" s="176">
        <f>SCLVX!G79</f>
        <v>1</v>
      </c>
      <c r="CO118" s="179">
        <f>Stifel!B92</f>
        <v>3506840.209999999</v>
      </c>
      <c r="CP118" s="176">
        <f>Stifel!K92</f>
        <v>3</v>
      </c>
      <c r="CQ118" s="179">
        <f>TDA!O108</f>
        <v>7565152.9811900035</v>
      </c>
      <c r="CR118" s="176">
        <f>TDA!N108</f>
        <v>120</v>
      </c>
      <c r="CS118" s="179">
        <f>UNC!D81</f>
        <v>37284670.869999997</v>
      </c>
      <c r="CT118" s="176">
        <f>UNC!E81</f>
        <v>1</v>
      </c>
      <c r="CU118" s="179">
        <f>Asbestos!B45</f>
        <v>11602960.780000001</v>
      </c>
      <c r="CV118" s="176">
        <f>Asbestos!C45</f>
        <v>1</v>
      </c>
    </row>
    <row r="119" spans="1:112">
      <c r="A119" s="38">
        <v>44834</v>
      </c>
      <c r="B119" s="7">
        <f t="shared" si="57"/>
        <v>1452522586.9837635</v>
      </c>
      <c r="C119" s="84">
        <f t="shared" si="60"/>
        <v>3429</v>
      </c>
      <c r="D119" s="65">
        <f t="shared" si="55"/>
        <v>609917930.96320009</v>
      </c>
      <c r="E119" s="153">
        <f t="shared" si="56"/>
        <v>9</v>
      </c>
      <c r="F119" s="68">
        <f t="shared" si="45"/>
        <v>68063641.189999998</v>
      </c>
      <c r="G119" s="170">
        <f t="shared" si="54"/>
        <v>2</v>
      </c>
      <c r="H119" s="67">
        <f t="shared" si="49"/>
        <v>117543351.5615</v>
      </c>
      <c r="I119" s="115">
        <f t="shared" si="50"/>
        <v>2</v>
      </c>
      <c r="J119" s="73">
        <f t="shared" si="62"/>
        <v>438830721.51906383</v>
      </c>
      <c r="K119" s="99">
        <f t="shared" si="63"/>
        <v>3407</v>
      </c>
      <c r="L119" s="78">
        <f t="shared" si="61"/>
        <v>265635714.95000002</v>
      </c>
      <c r="M119" s="157">
        <f t="shared" si="59"/>
        <v>9</v>
      </c>
      <c r="O119" s="69">
        <f>SILVX!B126</f>
        <v>385852163.48000002</v>
      </c>
      <c r="P119" s="91">
        <f>SILVX!G126</f>
        <v>1</v>
      </c>
      <c r="Q119" s="70">
        <f>SGLIX!B71</f>
        <v>110572453.41</v>
      </c>
      <c r="R119" s="93">
        <f>SGLIX!G71</f>
        <v>1</v>
      </c>
      <c r="S119" s="71">
        <f>BOGIX!B20</f>
        <v>81630744.5</v>
      </c>
      <c r="T119" s="92">
        <f>BOGIX!G20</f>
        <v>1</v>
      </c>
      <c r="U119" s="75">
        <f>FoF!AD29</f>
        <v>11205184.870000003</v>
      </c>
      <c r="V119" s="94">
        <f>FoF!AE29</f>
        <v>2</v>
      </c>
      <c r="W119" s="94"/>
      <c r="X119" s="94"/>
      <c r="Y119" s="69"/>
      <c r="Z119" s="91"/>
      <c r="AA119" s="70"/>
      <c r="AB119" s="93"/>
      <c r="AC119" s="80"/>
      <c r="AD119" s="156"/>
      <c r="AE119" s="156"/>
      <c r="AF119" s="156"/>
      <c r="AG119" s="156"/>
      <c r="AH119" s="156"/>
      <c r="AI119" s="80">
        <f>HF!B23</f>
        <v>2585720.86</v>
      </c>
      <c r="AJ119" s="156">
        <f>HF!C23</f>
        <v>1</v>
      </c>
      <c r="AK119" s="80">
        <f>IB!S11</f>
        <v>1850775.84</v>
      </c>
      <c r="AL119" s="156">
        <f>IB!R11</f>
        <v>5</v>
      </c>
      <c r="AM119" s="76">
        <f>Schwab!S114</f>
        <v>183268398.99730483</v>
      </c>
      <c r="AN119" s="74">
        <f>Schwab!Q114</f>
        <v>2412</v>
      </c>
      <c r="AO119" s="75">
        <f>Fidelity!P119</f>
        <v>170001656.67754906</v>
      </c>
      <c r="AP119" s="94">
        <f>Fidelity!O119</f>
        <v>853</v>
      </c>
      <c r="AQ119" s="75">
        <f>Empower!F9</f>
        <v>17848.260000000591</v>
      </c>
      <c r="AR119" s="94">
        <f>Empower!E9</f>
        <v>20</v>
      </c>
      <c r="AS119" s="75"/>
      <c r="AT119" s="94"/>
      <c r="AU119" s="75">
        <v>4882169.24</v>
      </c>
      <c r="AV119" s="94">
        <v>47</v>
      </c>
      <c r="AW119" s="75"/>
      <c r="AX119" s="94"/>
      <c r="AY119" s="75"/>
      <c r="AZ119" s="94"/>
      <c r="BA119" s="69">
        <f>'TFA - Folio'!H124</f>
        <v>52350942.439999998</v>
      </c>
      <c r="BB119" s="40">
        <f>'TFA - Folio'!I119</f>
        <v>1</v>
      </c>
      <c r="BC119" s="80">
        <f>'TFA - Folio'!K124</f>
        <v>107849212.09</v>
      </c>
      <c r="BD119" s="79">
        <f>'TFA - Folio'!N124</f>
        <v>1</v>
      </c>
      <c r="BE119" s="75">
        <f>'TFA - Folio'!O124</f>
        <v>67192169.870000005</v>
      </c>
      <c r="BF119" s="94">
        <f>'TFA - Folio'!R124</f>
        <v>1</v>
      </c>
      <c r="BG119" s="69">
        <f>UNC!B82</f>
        <v>154362754.69999999</v>
      </c>
      <c r="BH119" s="40">
        <f>UNC!C82</f>
        <v>1</v>
      </c>
      <c r="BI119" s="69">
        <f>'Schwab LC'!D79</f>
        <v>3395705.4032000001</v>
      </c>
      <c r="BJ119" s="40">
        <f>'Schwab LC'!E79</f>
        <v>2</v>
      </c>
      <c r="CI119" s="179">
        <f>'NC State'!B52</f>
        <v>6970898.1515000006</v>
      </c>
      <c r="CJ119" s="176">
        <f>'NC State'!C52</f>
        <v>1</v>
      </c>
      <c r="CK119" s="179">
        <f>'Holiday Oil'!G57</f>
        <v>19368319.220000003</v>
      </c>
      <c r="CL119" s="176">
        <f>'Holiday Oil'!H57</f>
        <v>1</v>
      </c>
      <c r="CM119" s="179">
        <f>SCLVX!B80</f>
        <v>33331033.109999996</v>
      </c>
      <c r="CN119" s="176">
        <f>SCLVX!G80</f>
        <v>1</v>
      </c>
      <c r="CO119" s="179">
        <f>Stifel!B93</f>
        <v>3235324.0000000009</v>
      </c>
      <c r="CP119" s="176">
        <f>Stifel!K93</f>
        <v>3</v>
      </c>
      <c r="CQ119" s="179">
        <f>TDA!O109</f>
        <v>7145462.844209969</v>
      </c>
      <c r="CR119" s="176">
        <f>TDA!N109</f>
        <v>119</v>
      </c>
      <c r="CS119" s="179">
        <f>UNC!D82</f>
        <v>34732608.079999998</v>
      </c>
      <c r="CT119" s="176">
        <f>UNC!E82</f>
        <v>1</v>
      </c>
      <c r="CU119" s="179">
        <f>Asbestos!B46</f>
        <v>10721040.939999999</v>
      </c>
      <c r="CV119" s="176">
        <f>Asbestos!C46</f>
        <v>1</v>
      </c>
    </row>
    <row r="120" spans="1:112">
      <c r="A120" s="38">
        <v>44865</v>
      </c>
      <c r="B120" s="7">
        <f t="shared" si="57"/>
        <v>1549397439.9551554</v>
      </c>
      <c r="C120" s="84">
        <f t="shared" si="60"/>
        <v>3544</v>
      </c>
      <c r="D120" s="65">
        <f t="shared" si="55"/>
        <v>653353904.80650008</v>
      </c>
      <c r="E120" s="153">
        <f t="shared" si="56"/>
        <v>8</v>
      </c>
      <c r="F120" s="68">
        <f t="shared" si="45"/>
        <v>74687465.849999994</v>
      </c>
      <c r="G120" s="170">
        <f t="shared" si="54"/>
        <v>2</v>
      </c>
      <c r="H120" s="67">
        <f t="shared" si="49"/>
        <v>128768614.51979999</v>
      </c>
      <c r="I120" s="115">
        <f t="shared" si="50"/>
        <v>2</v>
      </c>
      <c r="J120" s="73">
        <f t="shared" si="62"/>
        <v>459516586.04101551</v>
      </c>
      <c r="K120" s="99">
        <f t="shared" si="63"/>
        <v>3522</v>
      </c>
      <c r="L120" s="78">
        <f t="shared" si="61"/>
        <v>285267927.14784008</v>
      </c>
      <c r="M120" s="157">
        <f t="shared" si="59"/>
        <v>10</v>
      </c>
      <c r="O120" s="69">
        <f>SILVX!B127</f>
        <v>418578267.36000001</v>
      </c>
      <c r="P120" s="91">
        <f>SILVX!G127</f>
        <v>1</v>
      </c>
      <c r="Q120" s="70">
        <f>SGLIX!B72</f>
        <v>121323458.78</v>
      </c>
      <c r="R120" s="93">
        <f>SGLIX!G72</f>
        <v>1</v>
      </c>
      <c r="S120" s="71">
        <f>BOGIX!B21</f>
        <v>91885548.920000002</v>
      </c>
      <c r="T120" s="92">
        <f>BOGIX!G21</f>
        <v>1</v>
      </c>
      <c r="U120" s="75">
        <f>FoF!AD30</f>
        <v>11662219.699999996</v>
      </c>
      <c r="V120" s="94">
        <f>FoF!AE30</f>
        <v>2</v>
      </c>
      <c r="W120" s="94"/>
      <c r="X120" s="94"/>
      <c r="Y120" s="69"/>
      <c r="Z120" s="91"/>
      <c r="AA120" s="70"/>
      <c r="AB120" s="93"/>
      <c r="AC120" s="80"/>
      <c r="AD120" s="156"/>
      <c r="AE120" s="156"/>
      <c r="AF120" s="156"/>
      <c r="AG120" s="156"/>
      <c r="AH120" s="156"/>
      <c r="AI120" s="80">
        <f>HF!B24</f>
        <v>2608163.7799999998</v>
      </c>
      <c r="AJ120" s="156">
        <f>HF!C24</f>
        <v>1</v>
      </c>
      <c r="AK120" s="80">
        <f>IB!S12</f>
        <v>2883521.31</v>
      </c>
      <c r="AL120" s="156">
        <f>IB!R12</f>
        <v>6</v>
      </c>
      <c r="AM120" s="76">
        <f>Schwab!S115</f>
        <v>191482745.4337022</v>
      </c>
      <c r="AN120" s="74">
        <f>Schwab!Q115</f>
        <v>2480</v>
      </c>
      <c r="AO120" s="75">
        <f>Fidelity!P120</f>
        <v>178389278.17596328</v>
      </c>
      <c r="AP120" s="94">
        <f>Fidelity!O120</f>
        <v>893</v>
      </c>
      <c r="AQ120" s="75">
        <f>Empower!F10</f>
        <v>20497.199999999721</v>
      </c>
      <c r="AR120" s="94">
        <f>Empower!E10</f>
        <v>22</v>
      </c>
      <c r="AS120" s="75"/>
      <c r="AT120" s="94"/>
      <c r="AU120" s="75">
        <v>4882169.24</v>
      </c>
      <c r="AV120" s="94">
        <v>47</v>
      </c>
      <c r="AW120" s="75"/>
      <c r="AX120" s="94"/>
      <c r="AY120" s="75"/>
      <c r="AZ120" s="94"/>
      <c r="BA120" s="69">
        <f>'TFA - Folio'!H125</f>
        <v>57079227.650000036</v>
      </c>
      <c r="BB120" s="40">
        <f>'TFA - Folio'!I120</f>
        <v>1</v>
      </c>
      <c r="BC120" s="80">
        <f>'TFA - Folio'!K125</f>
        <v>111137593.21000004</v>
      </c>
      <c r="BD120" s="79">
        <f>'TFA - Folio'!N125</f>
        <v>1</v>
      </c>
      <c r="BE120" s="75">
        <f>'TFA - Folio'!O125</f>
        <v>70132495.629999995</v>
      </c>
      <c r="BF120" s="94">
        <f>'TFA - Folio'!R125</f>
        <v>1</v>
      </c>
      <c r="BG120" s="69">
        <f>UNC!B83</f>
        <v>170388121.40000001</v>
      </c>
      <c r="BH120" s="40">
        <f>UNC!C83</f>
        <v>1</v>
      </c>
      <c r="BI120" s="69">
        <f>'Schwab LC'!D80</f>
        <v>3745372.3465</v>
      </c>
      <c r="BJ120" s="40">
        <f>'Schwab LC'!E80</f>
        <v>2</v>
      </c>
      <c r="CI120" s="179">
        <f>'NC State'!B53</f>
        <v>7445155.7397999978</v>
      </c>
      <c r="CJ120" s="176">
        <f>'NC State'!C53</f>
        <v>1</v>
      </c>
      <c r="CK120" s="179">
        <f>'Holiday Oil'!G58</f>
        <v>19673872.27784</v>
      </c>
      <c r="CL120" s="176">
        <f>'Holiday Oil'!H58</f>
        <v>1</v>
      </c>
      <c r="CM120" s="179">
        <f>SCLVX!B81</f>
        <v>36350317.029999994</v>
      </c>
      <c r="CN120" s="176">
        <f>SCLVX!G81</f>
        <v>1</v>
      </c>
      <c r="CO120" s="179">
        <f>Stifel!B94</f>
        <v>3562916.0500000003</v>
      </c>
      <c r="CP120" s="176">
        <f>Stifel!K94</f>
        <v>3</v>
      </c>
      <c r="CQ120" s="179">
        <f>TDA!O110</f>
        <v>7829349.9013500102</v>
      </c>
      <c r="CR120" s="176">
        <f>TDA!N110</f>
        <v>124</v>
      </c>
      <c r="CS120" s="179">
        <f>UNC!D83</f>
        <v>38337148.82</v>
      </c>
      <c r="CT120" s="176">
        <f>UNC!E83</f>
        <v>1</v>
      </c>
    </row>
    <row r="121" spans="1:112">
      <c r="A121" s="38">
        <v>44895</v>
      </c>
      <c r="B121" s="7">
        <f t="shared" si="57"/>
        <v>1613398286.6511054</v>
      </c>
      <c r="C121" s="84">
        <f t="shared" si="60"/>
        <v>3628</v>
      </c>
      <c r="D121" s="65">
        <f t="shared" si="55"/>
        <v>683108632.63759995</v>
      </c>
      <c r="E121" s="153">
        <f t="shared" si="56"/>
        <v>8</v>
      </c>
      <c r="F121" s="68">
        <f t="shared" si="45"/>
        <v>77292997.919999987</v>
      </c>
      <c r="G121" s="170">
        <f t="shared" si="54"/>
        <v>2</v>
      </c>
      <c r="H121" s="67">
        <f t="shared" si="49"/>
        <v>138056219.22130001</v>
      </c>
      <c r="I121" s="115">
        <f t="shared" si="50"/>
        <v>2</v>
      </c>
      <c r="J121" s="73">
        <f t="shared" si="62"/>
        <v>474654267.22519529</v>
      </c>
      <c r="K121" s="99">
        <f t="shared" si="63"/>
        <v>3604</v>
      </c>
      <c r="L121" s="78">
        <f t="shared" ref="L121:L134" si="64">BC121+CK121+DE121+CW121+AI121+S121+AK121+Y121+AA121+AC121+AE121+BK121+BM121+BO121+BQ121+BS121+BU121+BW121+BY121+CA121+CC121+BA121+AG121+CE121+CG121</f>
        <v>295818957.24700999</v>
      </c>
      <c r="M121" s="157">
        <f t="shared" si="59"/>
        <v>12</v>
      </c>
      <c r="O121" s="69">
        <f>SILVX!B128</f>
        <v>436525156.44</v>
      </c>
      <c r="P121" s="91">
        <f>SILVX!G128</f>
        <v>1</v>
      </c>
      <c r="Q121" s="70">
        <f>SGLIX!B73</f>
        <v>130150422.5</v>
      </c>
      <c r="R121" s="93">
        <f>SGLIX!G73</f>
        <v>1</v>
      </c>
      <c r="S121" s="71">
        <f>BOGIX!B22</f>
        <v>95155669.489999995</v>
      </c>
      <c r="T121" s="92">
        <f>BOGIX!G22</f>
        <v>1</v>
      </c>
      <c r="U121" s="75">
        <f>FoF!AD31</f>
        <v>12387048.260000002</v>
      </c>
      <c r="V121" s="94">
        <f>FoF!AE31</f>
        <v>2</v>
      </c>
      <c r="W121" s="94"/>
      <c r="X121" s="94"/>
      <c r="Y121" s="69"/>
      <c r="Z121" s="91"/>
      <c r="AA121" s="70"/>
      <c r="AB121" s="93"/>
      <c r="AC121" s="80"/>
      <c r="AD121" s="156"/>
      <c r="AE121" s="156"/>
      <c r="AF121" s="156"/>
      <c r="AG121" s="156"/>
      <c r="AH121" s="156"/>
      <c r="AI121" s="80">
        <f>HF!B25</f>
        <v>2645226.4900000002</v>
      </c>
      <c r="AJ121" s="156">
        <f>HF!C25</f>
        <v>1</v>
      </c>
      <c r="AK121" s="80">
        <f>IB!S13</f>
        <v>3395525.21</v>
      </c>
      <c r="AL121" s="156">
        <f>IB!R13</f>
        <v>8</v>
      </c>
      <c r="AM121" s="76">
        <f>Schwab!S116</f>
        <v>198709716.42890242</v>
      </c>
      <c r="AN121" s="74">
        <f>Schwab!Q116</f>
        <v>2541</v>
      </c>
      <c r="AO121" s="75">
        <f>Fidelity!P121</f>
        <v>181802871.54115286</v>
      </c>
      <c r="AP121" s="94">
        <f>Fidelity!O121</f>
        <v>913</v>
      </c>
      <c r="AQ121" s="75">
        <f>Empower!F11</f>
        <v>16316.320000000065</v>
      </c>
      <c r="AR121" s="94">
        <f>Empower!E11</f>
        <v>22</v>
      </c>
      <c r="AS121" s="75"/>
      <c r="AT121" s="94"/>
      <c r="AU121" s="75">
        <v>4882169.24</v>
      </c>
      <c r="AV121" s="94">
        <v>47</v>
      </c>
      <c r="AW121" s="75"/>
      <c r="AX121" s="94"/>
      <c r="AY121" s="75"/>
      <c r="AZ121" s="94"/>
      <c r="BA121" s="69">
        <f>'TFA - Folio'!H126</f>
        <v>60414956.840000033</v>
      </c>
      <c r="BB121" s="40">
        <f>'TFA - Folio'!I121</f>
        <v>1</v>
      </c>
      <c r="BC121" s="80">
        <f>'TFA - Folio'!K126</f>
        <v>114229085.84</v>
      </c>
      <c r="BD121" s="79">
        <f>'TFA - Folio'!N126</f>
        <v>1</v>
      </c>
      <c r="BE121" s="75">
        <f>'TFA - Folio'!O126</f>
        <v>73876959.670000002</v>
      </c>
      <c r="BF121" s="94">
        <f>'TFA - Folio'!R126</f>
        <v>1</v>
      </c>
      <c r="BG121" s="69">
        <f>UNC!B84</f>
        <v>178517990.17000002</v>
      </c>
      <c r="BH121" s="40">
        <f>UNC!C84</f>
        <v>1</v>
      </c>
      <c r="BI121" s="69">
        <f>'Schwab LC'!D81</f>
        <v>3919068.3876</v>
      </c>
      <c r="BJ121" s="40">
        <f>'Schwab LC'!E81</f>
        <v>2</v>
      </c>
      <c r="CI121" s="179">
        <f>'NC State'!B54</f>
        <v>7905796.7212999975</v>
      </c>
      <c r="CJ121" s="176">
        <f>'NC State'!C54</f>
        <v>1</v>
      </c>
      <c r="CK121" s="179">
        <f>'Holiday Oil'!G59</f>
        <v>19978493.377010003</v>
      </c>
      <c r="CL121" s="176">
        <f>'Holiday Oil'!H59</f>
        <v>1</v>
      </c>
      <c r="CM121" s="179">
        <f>SCLVX!B82</f>
        <v>37766540.520000003</v>
      </c>
      <c r="CN121" s="176">
        <f>SCLVX!G82</f>
        <v>1</v>
      </c>
      <c r="CO121" s="179">
        <f>Stifel!B95</f>
        <v>3731460.799999998</v>
      </c>
      <c r="CP121" s="176">
        <f>Stifel!K95</f>
        <v>3</v>
      </c>
      <c r="CQ121" s="179">
        <f>TDA!O111</f>
        <v>7861355.0051399916</v>
      </c>
      <c r="CR121" s="176">
        <f>TDA!N111</f>
        <v>125</v>
      </c>
      <c r="CS121" s="179">
        <f>UNC!D84</f>
        <v>39526457.399999991</v>
      </c>
      <c r="CT121" s="176">
        <f>UNC!E84</f>
        <v>1</v>
      </c>
    </row>
    <row r="122" spans="1:112" s="140" customFormat="1">
      <c r="A122" s="116">
        <v>44926</v>
      </c>
      <c r="B122" s="117">
        <f>O122+Q122+S122+U122+W122+Y122+AA122+AC122+AE122+AG122+AI122+AK122+AM122+AO122+AQ122+AS122+AU122+AW122+AY122+BA122+BC122+BE122+BG122+BI122+BK122+BM122+BO122+BQ122+BS122+BU122+BW122+BY122+CA122+CC122+CE122+CG122+CI122+CK122+CM122+CO122+CQ122+CS122+CU122+CW122+CY122+DA122+DC122+DE122+DG122</f>
        <v>1541608679.6689656</v>
      </c>
      <c r="C122" s="118">
        <f t="shared" si="60"/>
        <v>3710</v>
      </c>
      <c r="D122" s="119">
        <f t="shared" si="55"/>
        <v>638725189.58319998</v>
      </c>
      <c r="E122" s="154">
        <f t="shared" si="56"/>
        <v>8</v>
      </c>
      <c r="F122" s="121">
        <f t="shared" si="45"/>
        <v>73007549.400000006</v>
      </c>
      <c r="G122" s="184">
        <f t="shared" si="54"/>
        <v>2</v>
      </c>
      <c r="H122" s="123">
        <f t="shared" si="49"/>
        <v>131684322.63489999</v>
      </c>
      <c r="I122" s="149">
        <f t="shared" si="50"/>
        <v>2</v>
      </c>
      <c r="J122" s="125">
        <f t="shared" si="62"/>
        <v>463881354.39185554</v>
      </c>
      <c r="K122" s="126">
        <f t="shared" si="63"/>
        <v>3683</v>
      </c>
      <c r="L122" s="127">
        <f t="shared" si="64"/>
        <v>285515269.69900995</v>
      </c>
      <c r="M122" s="185">
        <f t="shared" si="59"/>
        <v>15</v>
      </c>
      <c r="N122" s="83"/>
      <c r="O122" s="129">
        <f>SILVX!B129</f>
        <v>403412061.28999996</v>
      </c>
      <c r="P122" s="130">
        <f>SILVX!G129</f>
        <v>1</v>
      </c>
      <c r="Q122" s="147">
        <f>SGLIX!B74</f>
        <v>124172139.81999999</v>
      </c>
      <c r="R122" s="148">
        <f>SGLIX!G74</f>
        <v>1</v>
      </c>
      <c r="S122" s="142">
        <f>BOGIX!B23</f>
        <v>89287886.640000001</v>
      </c>
      <c r="T122" s="132">
        <f>BOGIX!G23</f>
        <v>1</v>
      </c>
      <c r="U122" s="135">
        <f>FoF!AD32</f>
        <v>12532459.449999999</v>
      </c>
      <c r="V122" s="136">
        <f>FoF!AE32</f>
        <v>2</v>
      </c>
      <c r="W122" s="136"/>
      <c r="X122" s="136"/>
      <c r="Y122" s="129"/>
      <c r="Z122" s="130"/>
      <c r="AA122" s="147"/>
      <c r="AB122" s="148"/>
      <c r="AC122" s="138"/>
      <c r="AD122" s="183"/>
      <c r="AE122" s="183"/>
      <c r="AF122" s="183"/>
      <c r="AG122" s="183"/>
      <c r="AH122" s="183"/>
      <c r="AI122" s="138">
        <f>HF!B26</f>
        <v>2616812.23</v>
      </c>
      <c r="AJ122" s="183">
        <f>HF!C26</f>
        <v>1</v>
      </c>
      <c r="AK122" s="138">
        <f>IB!S14</f>
        <v>4518877.82</v>
      </c>
      <c r="AL122" s="183">
        <f>IB!R14</f>
        <v>11</v>
      </c>
      <c r="AM122" s="141">
        <f>Schwab!S117</f>
        <v>193944509.47479978</v>
      </c>
      <c r="AN122" s="134">
        <f>Schwab!Q117</f>
        <v>2591</v>
      </c>
      <c r="AO122" s="135">
        <f>Fidelity!P122</f>
        <v>177958776.6030758</v>
      </c>
      <c r="AP122" s="136">
        <f>Fidelity!O122</f>
        <v>938</v>
      </c>
      <c r="AQ122" s="135">
        <f>Empower!F12</f>
        <v>18022.09999999986</v>
      </c>
      <c r="AR122" s="136">
        <f>Empower!E12</f>
        <v>22</v>
      </c>
      <c r="AS122" s="135"/>
      <c r="AT122" s="136"/>
      <c r="AU122" s="135">
        <v>4882169.24</v>
      </c>
      <c r="AV122" s="136">
        <v>47</v>
      </c>
      <c r="AW122" s="135"/>
      <c r="AX122" s="136"/>
      <c r="AY122" s="135"/>
      <c r="AZ122" s="136"/>
      <c r="BA122" s="129">
        <f>'TFA - Folio'!H127</f>
        <v>56087175.279999971</v>
      </c>
      <c r="BB122" s="137">
        <f>'TFA - Folio'!I122</f>
        <v>1</v>
      </c>
      <c r="BC122" s="138">
        <f>'TFA - Folio'!K127</f>
        <v>113191998.84999999</v>
      </c>
      <c r="BD122" s="139">
        <f>'TFA - Folio'!N127</f>
        <v>1</v>
      </c>
      <c r="BE122" s="135">
        <f>'TFA - Folio'!O127</f>
        <v>71251779.489999995</v>
      </c>
      <c r="BF122" s="136">
        <f>'TFA - Folio'!R127</f>
        <v>1</v>
      </c>
      <c r="BG122" s="129">
        <f>UNC!B85</f>
        <v>171868644.75</v>
      </c>
      <c r="BH122" s="137">
        <f>UNC!C85</f>
        <v>1</v>
      </c>
      <c r="BI122" s="129">
        <f>'Schwab LC'!D82</f>
        <v>3772017.5832000002</v>
      </c>
      <c r="BJ122" s="137">
        <f>'Schwab LC'!E82</f>
        <v>2</v>
      </c>
      <c r="BK122" s="198"/>
      <c r="BL122" s="198"/>
      <c r="BM122" s="198"/>
      <c r="BN122" s="198"/>
      <c r="BO122" s="198"/>
      <c r="BP122" s="198"/>
      <c r="BQ122" s="198"/>
      <c r="BR122" s="198"/>
      <c r="BS122" s="198"/>
      <c r="BT122" s="198"/>
      <c r="BU122" s="198"/>
      <c r="BV122" s="198"/>
      <c r="BW122" s="198"/>
      <c r="BX122" s="198"/>
      <c r="BY122" s="198"/>
      <c r="BZ122" s="198"/>
      <c r="CA122" s="198"/>
      <c r="CB122" s="198"/>
      <c r="CC122" s="198"/>
      <c r="CD122" s="198"/>
      <c r="CE122" s="198"/>
      <c r="CF122" s="198"/>
      <c r="CG122" s="198"/>
      <c r="CH122" s="198"/>
      <c r="CI122" s="175">
        <f>'NC State'!B55</f>
        <v>7512182.8149000015</v>
      </c>
      <c r="CJ122" s="174">
        <f>'NC State'!C55</f>
        <v>1</v>
      </c>
      <c r="CK122" s="175">
        <f>'Holiday Oil'!G60</f>
        <v>19812518.879010003</v>
      </c>
      <c r="CL122" s="174">
        <f>'Holiday Oil'!H60</f>
        <v>1</v>
      </c>
      <c r="CM122" s="175">
        <f>SCLVX!B83</f>
        <v>35709888.459999993</v>
      </c>
      <c r="CN122" s="174">
        <f>SCLVX!G83</f>
        <v>1</v>
      </c>
      <c r="CO122" s="175">
        <f>Stifel!B96</f>
        <v>3585290.68</v>
      </c>
      <c r="CP122" s="174">
        <f>Stifel!K96</f>
        <v>3</v>
      </c>
      <c r="CQ122" s="175">
        <f>TDA!O112</f>
        <v>8175807.2739799581</v>
      </c>
      <c r="CR122" s="174">
        <f>TDA!N112</f>
        <v>129</v>
      </c>
      <c r="CS122" s="175">
        <f>UNC!D85</f>
        <v>37297660.940000005</v>
      </c>
      <c r="CT122" s="174">
        <f>UNC!E85</f>
        <v>1</v>
      </c>
      <c r="CU122" s="174"/>
      <c r="CV122" s="174"/>
      <c r="CW122" s="174"/>
      <c r="CX122" s="174"/>
      <c r="CY122" s="174"/>
      <c r="CZ122" s="174"/>
      <c r="DA122" s="174"/>
      <c r="DB122" s="174"/>
      <c r="DC122" s="174"/>
      <c r="DD122" s="174"/>
      <c r="DE122" s="174"/>
      <c r="DF122" s="174"/>
      <c r="DG122" s="174"/>
      <c r="DH122" s="174"/>
    </row>
    <row r="123" spans="1:112">
      <c r="A123" s="38">
        <v>44957</v>
      </c>
      <c r="B123" s="7">
        <f t="shared" ref="B123:B145" si="65">O123+Q123+S123+U123+W123+Y123+AA123+AC123+AE123+AG123+AI123+AK123+AM123+AO123+AQ123+AS123+AU123+AW123+AY123+BA123+BC123+BE123+BG123+BI123+BK123+BM123+BO123+BQ123+BS123+BU123+BW123+BY123+CA123+CC123+CE123+CG123+CI123+CK123+CM123+CO123+CQ123+CS123+CU123+CW123+CY123+DA123+DC123+DE123+DG123</f>
        <v>1596768426.6600842</v>
      </c>
      <c r="C123" s="84">
        <f t="shared" si="60"/>
        <v>3777</v>
      </c>
      <c r="D123" s="65">
        <f t="shared" si="55"/>
        <v>655029588.01030004</v>
      </c>
      <c r="E123" s="153">
        <f t="shared" si="56"/>
        <v>8</v>
      </c>
      <c r="F123" s="68">
        <f t="shared" si="45"/>
        <v>76699557.650000006</v>
      </c>
      <c r="G123" s="170">
        <f t="shared" si="54"/>
        <v>2</v>
      </c>
      <c r="H123" s="67">
        <f t="shared" si="49"/>
        <v>140275938.55599999</v>
      </c>
      <c r="I123" s="115">
        <f t="shared" si="50"/>
        <v>2</v>
      </c>
      <c r="J123" s="73">
        <f t="shared" si="62"/>
        <v>485525185.96972817</v>
      </c>
      <c r="K123" s="99">
        <f t="shared" si="63"/>
        <v>3748</v>
      </c>
      <c r="L123" s="78">
        <f t="shared" si="64"/>
        <v>292094929.44405615</v>
      </c>
      <c r="M123" s="157">
        <f t="shared" si="59"/>
        <v>17</v>
      </c>
      <c r="O123" s="69">
        <f>SILVX!B130</f>
        <v>412932785.35000002</v>
      </c>
      <c r="P123" s="91">
        <f>SILVX!G130</f>
        <v>1</v>
      </c>
      <c r="Q123" s="70">
        <f>SGLIX!B75</f>
        <v>132276117.22</v>
      </c>
      <c r="R123" s="93">
        <f>SGLIX!G75</f>
        <v>1</v>
      </c>
      <c r="S123" s="71">
        <f>BOGIX!B24</f>
        <v>96989415.929999992</v>
      </c>
      <c r="T123" s="92">
        <f>BOGIX!G24</f>
        <v>1</v>
      </c>
      <c r="U123" s="75">
        <f>FoF!AD33</f>
        <v>13221315.600000005</v>
      </c>
      <c r="V123" s="94">
        <f>FoF!AE33</f>
        <v>2</v>
      </c>
      <c r="W123" s="94"/>
      <c r="X123" s="94"/>
      <c r="Y123" s="69"/>
      <c r="Z123" s="91"/>
      <c r="AA123" s="70"/>
      <c r="AB123" s="93"/>
      <c r="AC123" s="80"/>
      <c r="AD123" s="156"/>
      <c r="AE123" s="156"/>
      <c r="AF123" s="156"/>
      <c r="AG123" s="156"/>
      <c r="AH123" s="156"/>
      <c r="AI123" s="80">
        <f>HF!B27</f>
        <v>2693930.4</v>
      </c>
      <c r="AJ123" s="156">
        <f>HF!C27</f>
        <v>1</v>
      </c>
      <c r="AK123" s="80">
        <f>IB!S15</f>
        <v>6049454.0540560866</v>
      </c>
      <c r="AL123" s="156">
        <f>IB!R15</f>
        <v>13</v>
      </c>
      <c r="AM123" s="76">
        <f>Schwab!S118</f>
        <v>203556006.02369922</v>
      </c>
      <c r="AN123" s="74">
        <f>Schwab!Q118</f>
        <v>2615</v>
      </c>
      <c r="AO123" s="75">
        <f>Fidelity!P123</f>
        <v>186489019.40860891</v>
      </c>
      <c r="AP123" s="94">
        <f>Fidelity!O123</f>
        <v>976</v>
      </c>
      <c r="AQ123" s="75">
        <f>Empower!F13</f>
        <v>19977.909999999451</v>
      </c>
      <c r="AR123" s="94">
        <f>Empower!E13</f>
        <v>22</v>
      </c>
      <c r="AS123" s="75"/>
      <c r="AT123" s="94"/>
      <c r="AU123" s="75">
        <v>4882169.24</v>
      </c>
      <c r="AV123" s="94">
        <v>47</v>
      </c>
      <c r="AW123" s="75"/>
      <c r="AX123" s="94"/>
      <c r="AY123" s="75"/>
      <c r="AZ123" s="94"/>
      <c r="BA123" s="69">
        <f>'TFA - Folio'!H128</f>
        <v>57738942.210000038</v>
      </c>
      <c r="BB123" s="40">
        <f>'TFA - Folio'!I123</f>
        <v>1</v>
      </c>
      <c r="BC123" s="80">
        <f>'TFA - Folio'!K128</f>
        <v>115587159.47</v>
      </c>
      <c r="BD123" s="79">
        <f>'TFA - Folio'!N128</f>
        <v>1</v>
      </c>
      <c r="BE123" s="75">
        <f>'TFA - Folio'!O128</f>
        <v>73715327.260000005</v>
      </c>
      <c r="BF123" s="94">
        <f>'TFA - Folio'!R128</f>
        <v>1</v>
      </c>
      <c r="BG123" s="69">
        <f>UNC!B86</f>
        <v>176808977.86000001</v>
      </c>
      <c r="BH123" s="40">
        <f>UNC!C86</f>
        <v>1</v>
      </c>
      <c r="BI123" s="69">
        <f>'Schwab LC'!D83</f>
        <v>3873555.2102999985</v>
      </c>
      <c r="BJ123" s="40">
        <f>'Schwab LC'!E83</f>
        <v>2</v>
      </c>
      <c r="CI123" s="179">
        <f>'NC State'!B56</f>
        <v>7999821.3359999983</v>
      </c>
      <c r="CJ123" s="176">
        <f>'NC State'!C56</f>
        <v>1</v>
      </c>
      <c r="CK123" s="179">
        <f>'Holiday Oil'!G61</f>
        <v>13036027.379999997</v>
      </c>
      <c r="CL123" s="176">
        <f>'Holiday Oil'!H61</f>
        <v>1</v>
      </c>
      <c r="CM123" s="179">
        <f>SCLVX!B84</f>
        <v>37490291.030000001</v>
      </c>
      <c r="CN123" s="176">
        <f>SCLVX!G84</f>
        <v>1</v>
      </c>
      <c r="CO123" s="179">
        <f>Stifel!B97</f>
        <v>3675327.3800000008</v>
      </c>
      <c r="CP123" s="176">
        <f>Stifel!K97</f>
        <v>3</v>
      </c>
      <c r="CQ123" s="179">
        <f>TDA!O113</f>
        <v>8523539.7674200237</v>
      </c>
      <c r="CR123" s="176">
        <f>TDA!N113</f>
        <v>132</v>
      </c>
      <c r="CS123" s="179">
        <f>UNC!D86</f>
        <v>39209266.619999997</v>
      </c>
      <c r="CT123" s="176">
        <f>UNC!E86</f>
        <v>1</v>
      </c>
    </row>
    <row r="124" spans="1:112">
      <c r="A124" s="38">
        <v>44985</v>
      </c>
      <c r="B124" s="7">
        <f t="shared" si="65"/>
        <v>1571542802.9983211</v>
      </c>
      <c r="C124" s="84">
        <f t="shared" si="60"/>
        <v>3879</v>
      </c>
      <c r="D124" s="65">
        <f t="shared" si="55"/>
        <v>634655083.13699985</v>
      </c>
      <c r="E124" s="153">
        <f t="shared" si="56"/>
        <v>8</v>
      </c>
      <c r="F124" s="68">
        <f t="shared" si="45"/>
        <v>75609872.079999998</v>
      </c>
      <c r="G124" s="170">
        <f t="shared" si="54"/>
        <v>2</v>
      </c>
      <c r="H124" s="67">
        <f t="shared" si="49"/>
        <v>137444049.0767</v>
      </c>
      <c r="I124" s="115">
        <f t="shared" si="50"/>
        <v>2</v>
      </c>
      <c r="J124" s="73">
        <f t="shared" si="62"/>
        <v>486687776.53721106</v>
      </c>
      <c r="K124" s="99">
        <f t="shared" si="63"/>
        <v>3848</v>
      </c>
      <c r="L124" s="78">
        <f t="shared" si="64"/>
        <v>288124076.37741005</v>
      </c>
      <c r="M124" s="157">
        <f t="shared" si="59"/>
        <v>19</v>
      </c>
      <c r="O124" s="69">
        <f>SILVX!B131</f>
        <v>399822435.32999998</v>
      </c>
      <c r="P124" s="91">
        <f>SILVX!G131</f>
        <v>1</v>
      </c>
      <c r="Q124" s="70">
        <f>SGLIX!B76</f>
        <v>129694381.34</v>
      </c>
      <c r="R124" s="93">
        <f>SGLIX!G76</f>
        <v>1</v>
      </c>
      <c r="S124" s="71">
        <f>BOGIX!B25</f>
        <v>97065430.810000002</v>
      </c>
      <c r="T124" s="92">
        <f>BOGIX!G25</f>
        <v>1</v>
      </c>
      <c r="U124" s="75">
        <f>FoF!AD34</f>
        <v>13276132.32</v>
      </c>
      <c r="V124" s="94">
        <f>FoF!AE34</f>
        <v>2</v>
      </c>
      <c r="W124" s="94"/>
      <c r="X124" s="94"/>
      <c r="Y124" s="69"/>
      <c r="Z124" s="91"/>
      <c r="AA124" s="70"/>
      <c r="AB124" s="93"/>
      <c r="AC124" s="80"/>
      <c r="AD124" s="156"/>
      <c r="AE124" s="156"/>
      <c r="AF124" s="156"/>
      <c r="AG124" s="156"/>
      <c r="AH124" s="156"/>
      <c r="AI124" s="80">
        <f>HF!B28</f>
        <v>2665665.48</v>
      </c>
      <c r="AJ124" s="156">
        <f>HF!C28</f>
        <v>1</v>
      </c>
      <c r="AK124" s="80">
        <f>IB!S16</f>
        <v>6467717.5174099989</v>
      </c>
      <c r="AL124" s="156">
        <f>IB!R16</f>
        <v>15</v>
      </c>
      <c r="AM124" s="76">
        <f>Schwab!S119</f>
        <v>203378788.00830051</v>
      </c>
      <c r="AN124" s="74">
        <f>Schwab!Q119</f>
        <v>2671</v>
      </c>
      <c r="AO124" s="75">
        <f>Fidelity!P124</f>
        <v>188726066.90620059</v>
      </c>
      <c r="AP124" s="94">
        <f>Fidelity!O124</f>
        <v>1016</v>
      </c>
      <c r="AQ124" s="75">
        <f>Empower!F14</f>
        <v>18495.540000000037</v>
      </c>
      <c r="AR124" s="94">
        <f>Empower!E14</f>
        <v>22</v>
      </c>
      <c r="AS124" s="75"/>
      <c r="AT124" s="94"/>
      <c r="AU124" s="75">
        <v>4882169.24</v>
      </c>
      <c r="AV124" s="94">
        <v>47</v>
      </c>
      <c r="AW124" s="75"/>
      <c r="AX124" s="94"/>
      <c r="AY124" s="75"/>
      <c r="AZ124" s="94"/>
      <c r="BA124" s="69">
        <f>'TFA - Folio'!H129</f>
        <v>55860223.449999988</v>
      </c>
      <c r="BB124" s="40">
        <f>'TFA - Folio'!I124</f>
        <v>1</v>
      </c>
      <c r="BC124" s="80">
        <f>'TFA - Folio'!K129</f>
        <v>113117662.3</v>
      </c>
      <c r="BD124" s="79">
        <f>'TFA - Folio'!N129</f>
        <v>1</v>
      </c>
      <c r="BE124" s="75">
        <f>'TFA - Folio'!O129</f>
        <v>71821782.640000001</v>
      </c>
      <c r="BF124" s="94">
        <f>'TFA - Folio'!R129</f>
        <v>1</v>
      </c>
      <c r="BG124" s="69">
        <f>UNC!B87</f>
        <v>171640998.62</v>
      </c>
      <c r="BH124" s="40">
        <f>UNC!C87</f>
        <v>1</v>
      </c>
      <c r="BI124" s="69">
        <f>'Schwab LC'!D84</f>
        <v>3762983.0369999995</v>
      </c>
      <c r="BJ124" s="40">
        <f>'Schwab LC'!E84</f>
        <v>2</v>
      </c>
      <c r="CI124" s="179">
        <f>'NC State'!B57</f>
        <v>7749667.7367000002</v>
      </c>
      <c r="CJ124" s="176">
        <f>'NC State'!C57</f>
        <v>1</v>
      </c>
      <c r="CK124" s="179">
        <f>'Holiday Oil'!G62</f>
        <v>12947376.820000002</v>
      </c>
      <c r="CL124" s="176">
        <f>'Holiday Oil'!H62</f>
        <v>1</v>
      </c>
      <c r="CM124" s="179">
        <f>SCLVX!B85</f>
        <v>37116847.719999999</v>
      </c>
      <c r="CN124" s="176">
        <f>SCLVX!G85</f>
        <v>1</v>
      </c>
      <c r="CO124" s="179">
        <f>Stifel!B98</f>
        <v>3568442.6999999997</v>
      </c>
      <c r="CP124" s="176">
        <f>Stifel!K98</f>
        <v>3</v>
      </c>
      <c r="CQ124" s="179">
        <f>TDA!O114</f>
        <v>9466511.1227099858</v>
      </c>
      <c r="CR124" s="176">
        <f>TDA!N114</f>
        <v>136</v>
      </c>
      <c r="CS124" s="179">
        <f>UNC!D87</f>
        <v>38493024.359999999</v>
      </c>
      <c r="CT124" s="176">
        <f>UNC!E87</f>
        <v>1</v>
      </c>
    </row>
    <row r="125" spans="1:112">
      <c r="A125" s="38">
        <v>45016</v>
      </c>
      <c r="B125" s="7">
        <f t="shared" si="65"/>
        <v>1602006942.2523172</v>
      </c>
      <c r="C125" s="84">
        <f t="shared" ref="C125:C131" si="66">P125+CN125+R125+AN125+CR125+AP125+AR125+BB125+BD125+CP125+BH125+CT125+BJ125+CL125+CJ125+AJ125+V125+T125+BF125+AL125+X125+Z125</f>
        <v>3989</v>
      </c>
      <c r="D125" s="65">
        <f t="shared" ref="D125:D140" si="67">O125+BA125+CO125+BG125+BI125+DC125</f>
        <v>640880225.49400008</v>
      </c>
      <c r="E125" s="153">
        <f t="shared" si="56"/>
        <v>8</v>
      </c>
      <c r="F125" s="68">
        <f t="shared" si="45"/>
        <v>73713684.769999996</v>
      </c>
      <c r="G125" s="170">
        <f t="shared" si="54"/>
        <v>2</v>
      </c>
      <c r="H125" s="67">
        <f t="shared" si="49"/>
        <v>140662450.00029999</v>
      </c>
      <c r="I125" s="115">
        <f t="shared" si="50"/>
        <v>2</v>
      </c>
      <c r="J125" s="73">
        <f t="shared" ref="J125:K131" si="68">AM125+CQ125+AO125+DA125+U125+BE125+AQ125+W125</f>
        <v>501379494.2793057</v>
      </c>
      <c r="K125" s="99">
        <f t="shared" si="68"/>
        <v>3951</v>
      </c>
      <c r="L125" s="78">
        <f t="shared" si="64"/>
        <v>298907701.5487119</v>
      </c>
      <c r="M125" s="157">
        <f t="shared" ref="M125:M146" si="69">BD125+CL125+DF125+CX125+AJ125+T125+AL125+Z125</f>
        <v>26</v>
      </c>
      <c r="O125" s="69">
        <f>SILVX!B132</f>
        <v>401152646.69999999</v>
      </c>
      <c r="P125" s="91">
        <f>SILVX!G132</f>
        <v>1</v>
      </c>
      <c r="Q125" s="70">
        <f>SGLIX!B77</f>
        <v>132762287.52</v>
      </c>
      <c r="R125" s="93">
        <f>SGLIX!G77</f>
        <v>1</v>
      </c>
      <c r="S125" s="71">
        <f>BOGIX!B26</f>
        <v>92432623.120000005</v>
      </c>
      <c r="T125" s="92">
        <f>BOGIX!G26</f>
        <v>1</v>
      </c>
      <c r="U125" s="75">
        <f>FoF!AD35</f>
        <v>13612441.059999995</v>
      </c>
      <c r="V125" s="94">
        <f>FoF!AE35</f>
        <v>2</v>
      </c>
      <c r="W125" s="75">
        <f>DYTA!J2</f>
        <v>12672900.000000002</v>
      </c>
      <c r="X125" s="94">
        <f>DYTA!K2</f>
        <v>1</v>
      </c>
      <c r="Y125" s="69">
        <f>SGLC!B2</f>
        <v>5698563.5499999998</v>
      </c>
      <c r="Z125" s="91">
        <f>SGLC!G2</f>
        <v>1</v>
      </c>
      <c r="AA125" s="70"/>
      <c r="AB125" s="93"/>
      <c r="AC125" s="80"/>
      <c r="AD125" s="156"/>
      <c r="AE125" s="156"/>
      <c r="AF125" s="156"/>
      <c r="AG125" s="156"/>
      <c r="AH125" s="156"/>
      <c r="AI125" s="80">
        <f>HF!B29</f>
        <v>2741600.31</v>
      </c>
      <c r="AJ125" s="156">
        <f>HF!C29</f>
        <v>1</v>
      </c>
      <c r="AK125" s="80">
        <f>IB!S17</f>
        <v>12258501.70871187</v>
      </c>
      <c r="AL125" s="156">
        <f>IB!R17</f>
        <v>21</v>
      </c>
      <c r="AM125" s="76">
        <f>Schwab!S120</f>
        <v>204597579.52045605</v>
      </c>
      <c r="AN125" s="74">
        <f>Schwab!Q120</f>
        <v>2725</v>
      </c>
      <c r="AO125" s="75">
        <f>Fidelity!P125</f>
        <v>189299583.2291497</v>
      </c>
      <c r="AP125" s="94">
        <f>Fidelity!O125</f>
        <v>1061</v>
      </c>
      <c r="AQ125" s="75">
        <f>Empower!F15</f>
        <v>16815.199999999721</v>
      </c>
      <c r="AR125" s="94">
        <f>Empower!E15</f>
        <v>22</v>
      </c>
      <c r="AS125" s="75"/>
      <c r="AT125" s="94"/>
      <c r="AU125" s="75">
        <v>4882169.24</v>
      </c>
      <c r="AV125" s="94">
        <v>47</v>
      </c>
      <c r="AW125" s="75"/>
      <c r="AX125" s="94"/>
      <c r="AY125" s="75"/>
      <c r="AZ125" s="94"/>
      <c r="BA125" s="69">
        <f>'TFA - Folio'!H130</f>
        <v>58418783.079999983</v>
      </c>
      <c r="BB125" s="40">
        <f>'TFA - Folio'!I125</f>
        <v>1</v>
      </c>
      <c r="BC125" s="80">
        <f>'TFA - Folio'!K130</f>
        <v>114195489.23</v>
      </c>
      <c r="BD125" s="79">
        <f>'TFA - Folio'!N130</f>
        <v>1</v>
      </c>
      <c r="BE125" s="75">
        <f>'TFA - Folio'!O130</f>
        <v>71554664.510000005</v>
      </c>
      <c r="BF125" s="94">
        <f>'TFA - Folio'!R130</f>
        <v>1</v>
      </c>
      <c r="BG125" s="69">
        <f>UNC!B88</f>
        <v>173887082.82999998</v>
      </c>
      <c r="BH125" s="40">
        <f>UNC!C88</f>
        <v>1</v>
      </c>
      <c r="BI125" s="69">
        <f>'Schwab LC'!D85</f>
        <v>3812441.0140000018</v>
      </c>
      <c r="BJ125" s="40">
        <f>'Schwab LC'!E85</f>
        <v>2</v>
      </c>
      <c r="CI125" s="179">
        <f>'NC State'!B58</f>
        <v>7900162.4802999981</v>
      </c>
      <c r="CJ125" s="176">
        <f>'NC State'!C58</f>
        <v>1</v>
      </c>
      <c r="CK125" s="179">
        <f>'Holiday Oil'!G63</f>
        <v>13162140.549999999</v>
      </c>
      <c r="CL125" s="176">
        <f>'Holiday Oil'!H63</f>
        <v>1</v>
      </c>
      <c r="CM125" s="179">
        <f>SCLVX!B86</f>
        <v>36073792.670000002</v>
      </c>
      <c r="CN125" s="176">
        <f>SCLVX!G86</f>
        <v>1</v>
      </c>
      <c r="CO125" s="179">
        <f>Stifel!B99</f>
        <v>3609271.870000001</v>
      </c>
      <c r="CP125" s="176">
        <f>Stifel!K99</f>
        <v>3</v>
      </c>
      <c r="CQ125" s="179">
        <f>TDA!O115</f>
        <v>9625510.7596999928</v>
      </c>
      <c r="CR125" s="176">
        <f>TDA!N115</f>
        <v>139</v>
      </c>
      <c r="CS125" s="179">
        <f>UNC!D88</f>
        <v>37639892.099999994</v>
      </c>
      <c r="CT125" s="176">
        <f>UNC!E88</f>
        <v>1</v>
      </c>
    </row>
    <row r="126" spans="1:112">
      <c r="A126" s="38">
        <v>45046</v>
      </c>
      <c r="B126" s="7">
        <f t="shared" si="65"/>
        <v>1616311931.9456766</v>
      </c>
      <c r="C126" s="84">
        <f t="shared" si="66"/>
        <v>4118</v>
      </c>
      <c r="D126" s="65">
        <f t="shared" si="67"/>
        <v>643583145.29570007</v>
      </c>
      <c r="E126" s="153">
        <f t="shared" si="56"/>
        <v>8</v>
      </c>
      <c r="F126" s="68">
        <f t="shared" si="45"/>
        <v>73573280.180000007</v>
      </c>
      <c r="G126" s="170">
        <f t="shared" si="54"/>
        <v>2</v>
      </c>
      <c r="H126" s="67">
        <f t="shared" si="49"/>
        <v>143677858.08539999</v>
      </c>
      <c r="I126" s="115">
        <f t="shared" si="50"/>
        <v>2</v>
      </c>
      <c r="J126" s="73">
        <f t="shared" si="68"/>
        <v>468612442.89083797</v>
      </c>
      <c r="K126" s="99">
        <f t="shared" si="68"/>
        <v>4079</v>
      </c>
      <c r="L126" s="78">
        <f t="shared" si="64"/>
        <v>339991082.47373837</v>
      </c>
      <c r="M126" s="157">
        <f t="shared" si="69"/>
        <v>27</v>
      </c>
      <c r="O126" s="69">
        <f>SILVX!B133</f>
        <v>402201866.05000001</v>
      </c>
      <c r="P126" s="91">
        <f>SILVX!G133</f>
        <v>1</v>
      </c>
      <c r="Q126" s="70">
        <f>SGLIX!B78</f>
        <v>135657427.25999999</v>
      </c>
      <c r="R126" s="93">
        <f>SGLIX!G78</f>
        <v>1</v>
      </c>
      <c r="S126" s="71">
        <f>BOGIX!B27</f>
        <v>91430687.090000004</v>
      </c>
      <c r="T126" s="92">
        <f>BOGIX!G27</f>
        <v>1</v>
      </c>
      <c r="U126" s="75">
        <f>FoF!AD36</f>
        <v>5656581.0600000024</v>
      </c>
      <c r="V126" s="94">
        <f>FoF!AE36</f>
        <v>2</v>
      </c>
      <c r="W126" s="75">
        <f>DYTA!J3</f>
        <v>63140226.479999997</v>
      </c>
      <c r="X126" s="94">
        <f>DYTA!K3</f>
        <v>1</v>
      </c>
      <c r="Y126" s="69">
        <f>SGLC!B3</f>
        <v>47363506.090000004</v>
      </c>
      <c r="Z126" s="91">
        <f>SGLC!G3</f>
        <v>1</v>
      </c>
      <c r="AA126" s="70"/>
      <c r="AB126" s="93"/>
      <c r="AC126" s="80"/>
      <c r="AD126" s="156"/>
      <c r="AE126" s="156"/>
      <c r="AF126" s="156"/>
      <c r="AG126" s="156"/>
      <c r="AH126" s="156"/>
      <c r="AI126" s="80">
        <f>HF!B30</f>
        <v>2776211.62</v>
      </c>
      <c r="AJ126" s="156">
        <f>HF!C30</f>
        <v>1</v>
      </c>
      <c r="AK126" s="80">
        <f>IB!S18</f>
        <v>13000846.623738345</v>
      </c>
      <c r="AL126" s="156">
        <f>IB!R18</f>
        <v>22</v>
      </c>
      <c r="AM126" s="76">
        <f>Schwab!S121</f>
        <v>149717097.25050086</v>
      </c>
      <c r="AN126" s="74">
        <f>Schwab!Q121</f>
        <v>2794</v>
      </c>
      <c r="AO126" s="75">
        <f>Fidelity!P126</f>
        <v>186342810.61643708</v>
      </c>
      <c r="AP126" s="94">
        <f>Fidelity!O126</f>
        <v>1112</v>
      </c>
      <c r="AQ126" s="75">
        <f>Empower!F16</f>
        <v>20477.590000000782</v>
      </c>
      <c r="AR126" s="94">
        <f>Empower!E16</f>
        <v>22</v>
      </c>
      <c r="AS126" s="75"/>
      <c r="AT126" s="94"/>
      <c r="AU126" s="75">
        <v>4882169.24</v>
      </c>
      <c r="AV126" s="94">
        <v>47</v>
      </c>
      <c r="AW126" s="75"/>
      <c r="AX126" s="94"/>
      <c r="AY126" s="75"/>
      <c r="AZ126" s="94"/>
      <c r="BA126" s="69">
        <f>'TFA - Folio'!H131</f>
        <v>58008046.219999969</v>
      </c>
      <c r="BB126" s="40">
        <f>'TFA - Folio'!I126</f>
        <v>1</v>
      </c>
      <c r="BC126" s="80">
        <f>'TFA - Folio'!K131</f>
        <v>114170815.3</v>
      </c>
      <c r="BD126" s="79">
        <f>'TFA - Folio'!N131</f>
        <v>1</v>
      </c>
      <c r="BE126" s="75">
        <f>'TFA - Folio'!O131-('TFA - Folio'!P131+'TFA - Folio'!Q131)</f>
        <v>57148705.109999992</v>
      </c>
      <c r="BF126" s="94">
        <f>'TFA - Folio'!R131</f>
        <v>1</v>
      </c>
      <c r="BG126" s="69">
        <f>UNC!B89</f>
        <v>175880726.05000001</v>
      </c>
      <c r="BH126" s="40">
        <f>UNC!C89</f>
        <v>1</v>
      </c>
      <c r="BI126" s="69">
        <f>'Schwab LC'!D86</f>
        <v>3851980.5957000018</v>
      </c>
      <c r="BJ126" s="40">
        <f>'Schwab LC'!E86</f>
        <v>2</v>
      </c>
      <c r="CI126" s="179">
        <f>'NC State'!B59</f>
        <v>8020430.8253999995</v>
      </c>
      <c r="CJ126" s="176">
        <f>'NC State'!C59</f>
        <v>1</v>
      </c>
      <c r="CK126" s="179">
        <f>'Holiday Oil'!G64</f>
        <v>13240969.530000003</v>
      </c>
      <c r="CL126" s="176">
        <f>'Holiday Oil'!H64</f>
        <v>1</v>
      </c>
      <c r="CM126" s="179">
        <f>SCLVX!B87</f>
        <v>36290994.030000001</v>
      </c>
      <c r="CN126" s="176">
        <f>SCLVX!G87</f>
        <v>1</v>
      </c>
      <c r="CO126" s="179">
        <f>Stifel!B100</f>
        <v>3640526.3799999994</v>
      </c>
      <c r="CP126" s="176">
        <f>Stifel!K100</f>
        <v>3</v>
      </c>
      <c r="CQ126" s="179">
        <f>TDA!O116</f>
        <v>6586544.7839000206</v>
      </c>
      <c r="CR126" s="176">
        <f>TDA!N116</f>
        <v>147</v>
      </c>
      <c r="CS126" s="179">
        <f>UNC!D89</f>
        <v>37282286.149999999</v>
      </c>
      <c r="CT126" s="176">
        <f>UNC!E89</f>
        <v>1</v>
      </c>
    </row>
    <row r="127" spans="1:112">
      <c r="A127" s="38">
        <v>45077</v>
      </c>
      <c r="B127" s="7">
        <f t="shared" si="65"/>
        <v>1580838807.6503966</v>
      </c>
      <c r="C127" s="84">
        <f t="shared" si="66"/>
        <v>4210</v>
      </c>
      <c r="D127" s="65">
        <f t="shared" si="67"/>
        <v>618159112.86999989</v>
      </c>
      <c r="E127" s="153">
        <f t="shared" si="56"/>
        <v>6</v>
      </c>
      <c r="F127" s="68">
        <f t="shared" si="45"/>
        <v>70622513.239999995</v>
      </c>
      <c r="G127" s="170">
        <f t="shared" si="54"/>
        <v>2</v>
      </c>
      <c r="H127" s="67">
        <f t="shared" si="49"/>
        <v>140407605.91000003</v>
      </c>
      <c r="I127" s="115">
        <f t="shared" si="50"/>
        <v>2</v>
      </c>
      <c r="J127" s="73">
        <f t="shared" si="68"/>
        <v>467324938.81208879</v>
      </c>
      <c r="K127" s="99">
        <f t="shared" si="68"/>
        <v>4171</v>
      </c>
      <c r="L127" s="78">
        <f t="shared" si="64"/>
        <v>336439960.73830771</v>
      </c>
      <c r="M127" s="157">
        <f t="shared" si="69"/>
        <v>29</v>
      </c>
      <c r="O127" s="69">
        <f>SILVX!B134</f>
        <v>384331838.94999993</v>
      </c>
      <c r="P127" s="91">
        <f>SILVX!G134</f>
        <v>1</v>
      </c>
      <c r="Q127" s="70">
        <f>SGLIX!B79</f>
        <v>132622291.59000002</v>
      </c>
      <c r="R127" s="93">
        <f>SGLIX!G79</f>
        <v>1</v>
      </c>
      <c r="S127" s="71">
        <f>BOGIX!B28</f>
        <v>89557469.649999991</v>
      </c>
      <c r="T127" s="92">
        <f>BOGIX!G28</f>
        <v>1</v>
      </c>
      <c r="U127" s="75">
        <f>FoF!AD37</f>
        <v>6348243.2800000012</v>
      </c>
      <c r="V127" s="94">
        <f>FoF!AE37</f>
        <v>2</v>
      </c>
      <c r="W127" s="75">
        <f>DYTA!J4</f>
        <v>78701640.819999993</v>
      </c>
      <c r="X127" s="94">
        <f>DYTA!K4</f>
        <v>1</v>
      </c>
      <c r="Y127" s="69">
        <f>SGLC!B4</f>
        <v>55640095.129999995</v>
      </c>
      <c r="Z127" s="91">
        <f>SGLC!G4</f>
        <v>1</v>
      </c>
      <c r="AA127" s="70"/>
      <c r="AB127" s="93"/>
      <c r="AC127" s="80"/>
      <c r="AD127" s="156"/>
      <c r="AE127" s="156"/>
      <c r="AF127" s="156"/>
      <c r="AG127" s="156"/>
      <c r="AH127" s="156"/>
      <c r="AI127" s="80">
        <f>HF!B31</f>
        <v>2814678.15</v>
      </c>
      <c r="AJ127" s="156">
        <f>HF!C31</f>
        <v>1</v>
      </c>
      <c r="AK127" s="80">
        <f>IB!S19</f>
        <v>18328864.638307683</v>
      </c>
      <c r="AL127" s="156">
        <f>IB!R19</f>
        <v>24</v>
      </c>
      <c r="AM127" s="76">
        <f>Schwab!S122</f>
        <v>152842906.84494346</v>
      </c>
      <c r="AN127" s="74">
        <f>Schwab!Q122</f>
        <v>2862</v>
      </c>
      <c r="AO127" s="75">
        <f>Fidelity!P127</f>
        <v>184190359.02444541</v>
      </c>
      <c r="AP127" s="94">
        <f>Fidelity!O127</f>
        <v>1137</v>
      </c>
      <c r="AQ127" s="75">
        <f>Empower!F17</f>
        <v>20936.650000000838</v>
      </c>
      <c r="AR127" s="94">
        <f>Empower!E17</f>
        <v>22</v>
      </c>
      <c r="AS127" s="75"/>
      <c r="AT127" s="94"/>
      <c r="AU127" s="75">
        <v>4745914.7399999984</v>
      </c>
      <c r="AV127" s="94">
        <v>47</v>
      </c>
      <c r="AW127" s="75"/>
      <c r="AX127" s="94"/>
      <c r="AY127" s="75"/>
      <c r="AZ127" s="94"/>
      <c r="BA127" s="69">
        <f>'TFA - Folio'!H132</f>
        <v>56861238.659999996</v>
      </c>
      <c r="BB127" s="40">
        <f>'TFA - Folio'!I127</f>
        <v>1</v>
      </c>
      <c r="BC127" s="80">
        <f>'TFA - Folio'!K132-('TFA - Folio'!L132+'TFA - Folio'!M132)</f>
        <v>100013386.00999999</v>
      </c>
      <c r="BD127" s="79">
        <f>'TFA - Folio'!N132</f>
        <v>1</v>
      </c>
      <c r="BE127" s="75">
        <f>'TFA - Folio'!O132-('TFA - Folio'!P132+'TFA - Folio'!Q132)</f>
        <v>39781170.259999998</v>
      </c>
      <c r="BF127" s="94">
        <f>'TFA - Folio'!R132</f>
        <v>1</v>
      </c>
      <c r="BG127" s="69">
        <f>UNC!B90</f>
        <v>170854871.34000003</v>
      </c>
      <c r="BH127" s="40">
        <f>UNC!C90</f>
        <v>1</v>
      </c>
      <c r="BI127" s="69">
        <f>'Schwab LC'!D87</f>
        <v>3743129.24</v>
      </c>
      <c r="BJ127" s="40">
        <f>'Schwab LC'!E87</f>
        <v>2</v>
      </c>
      <c r="CI127" s="179">
        <f>'NC State'!B60</f>
        <v>7785314.3199999984</v>
      </c>
      <c r="CJ127" s="176">
        <f>'NC State'!C60</f>
        <v>1</v>
      </c>
      <c r="CK127" s="179">
        <f>'Holiday Oil'!G65</f>
        <v>13224228.499999998</v>
      </c>
      <c r="CL127" s="176">
        <f>'Holiday Oil'!H65</f>
        <v>1</v>
      </c>
      <c r="CM127" s="179">
        <f>SCLVX!B88</f>
        <v>34405211.830000006</v>
      </c>
      <c r="CN127" s="176">
        <f>SCLVX!G88</f>
        <v>1</v>
      </c>
      <c r="CO127" s="179">
        <f>Stifel!B101</f>
        <v>2368034.6800000002</v>
      </c>
      <c r="CP127" s="176">
        <f>Stifel!K101</f>
        <v>1</v>
      </c>
      <c r="CQ127" s="179">
        <f>TDA!O117</f>
        <v>5439681.9326999541</v>
      </c>
      <c r="CR127" s="176">
        <f>TDA!N117</f>
        <v>146</v>
      </c>
      <c r="CS127" s="179">
        <f>UNC!D90</f>
        <v>36217301.409999989</v>
      </c>
      <c r="CT127" s="176">
        <f>UNC!E90</f>
        <v>1</v>
      </c>
    </row>
    <row r="128" spans="1:112">
      <c r="A128" s="38">
        <v>45107</v>
      </c>
      <c r="B128" s="7">
        <f t="shared" si="65"/>
        <v>1584621153.1049736</v>
      </c>
      <c r="C128" s="84">
        <f t="shared" si="66"/>
        <v>4298</v>
      </c>
      <c r="D128" s="65">
        <f t="shared" si="67"/>
        <v>620057156.98000002</v>
      </c>
      <c r="E128" s="153">
        <f t="shared" si="56"/>
        <v>6</v>
      </c>
      <c r="F128" s="68">
        <f t="shared" ref="F128:F137" si="70">CM128</f>
        <v>36776473.079999998</v>
      </c>
      <c r="G128" s="170">
        <f t="shared" si="54"/>
        <v>1</v>
      </c>
      <c r="H128" s="67">
        <f t="shared" si="49"/>
        <v>146808766.01000002</v>
      </c>
      <c r="I128" s="115">
        <f t="shared" si="50"/>
        <v>2</v>
      </c>
      <c r="J128" s="73">
        <f t="shared" si="68"/>
        <v>474485693.96685177</v>
      </c>
      <c r="K128" s="99">
        <f t="shared" si="68"/>
        <v>4257</v>
      </c>
      <c r="L128" s="78">
        <f t="shared" si="64"/>
        <v>361505290.95812166</v>
      </c>
      <c r="M128" s="157">
        <f t="shared" si="69"/>
        <v>32</v>
      </c>
      <c r="O128" s="69">
        <f>SILVX!B135</f>
        <v>400273637.47000009</v>
      </c>
      <c r="P128" s="91">
        <f>SILVX!G135</f>
        <v>1</v>
      </c>
      <c r="Q128" s="70">
        <f>SGLIX!B80</f>
        <v>139662136.13000003</v>
      </c>
      <c r="R128" s="93">
        <f>SGLIX!G80</f>
        <v>1</v>
      </c>
      <c r="S128" s="71">
        <f>BOGIX!B29</f>
        <v>99799428.49000001</v>
      </c>
      <c r="T128" s="92">
        <f>BOGIX!G29</f>
        <v>1</v>
      </c>
      <c r="U128" s="75">
        <f>FoF!AD38</f>
        <v>6009823.7899999991</v>
      </c>
      <c r="V128" s="94">
        <f>FoF!AE38</f>
        <v>2</v>
      </c>
      <c r="W128" s="75">
        <f>DYTA!J5</f>
        <v>84355290.480000004</v>
      </c>
      <c r="X128" s="94">
        <f>DYTA!K5</f>
        <v>1</v>
      </c>
      <c r="Y128" s="69">
        <f>SGLC!B5</f>
        <v>69018468.479999989</v>
      </c>
      <c r="Z128" s="91">
        <f>SGLC!G5</f>
        <v>1</v>
      </c>
      <c r="AA128" s="70"/>
      <c r="AB128" s="93"/>
      <c r="AC128" s="80"/>
      <c r="AD128" s="156"/>
      <c r="AE128" s="156"/>
      <c r="AF128" s="156"/>
      <c r="AG128" s="156"/>
      <c r="AH128" s="156"/>
      <c r="AI128" s="80">
        <f>HF!B32</f>
        <v>2891974.68</v>
      </c>
      <c r="AJ128" s="156">
        <f>HF!C32</f>
        <v>1</v>
      </c>
      <c r="AK128" s="80">
        <f>IB!S20</f>
        <v>20754388.888121657</v>
      </c>
      <c r="AL128" s="156">
        <f>IB!R20</f>
        <v>27</v>
      </c>
      <c r="AM128" s="76">
        <f>Schwab!S123</f>
        <v>153460946.3988589</v>
      </c>
      <c r="AN128" s="74">
        <f>Schwab!Q123</f>
        <v>2918</v>
      </c>
      <c r="AO128" s="75">
        <f>Fidelity!P128</f>
        <v>191144272.53760278</v>
      </c>
      <c r="AP128" s="94">
        <f>Fidelity!O128</f>
        <v>1166</v>
      </c>
      <c r="AQ128" s="75">
        <f>Empower!F18</f>
        <v>21752.730000000447</v>
      </c>
      <c r="AR128" s="94">
        <f>Empower!E18</f>
        <v>24</v>
      </c>
      <c r="AS128" s="75"/>
      <c r="AT128" s="94"/>
      <c r="AU128" s="75">
        <v>4745914.7399999984</v>
      </c>
      <c r="AV128" s="94">
        <v>47</v>
      </c>
      <c r="AW128" s="75"/>
      <c r="AX128" s="94"/>
      <c r="AY128" s="75"/>
      <c r="AZ128" s="94"/>
      <c r="BA128" s="69">
        <f>'TFA - Folio'!H133</f>
        <v>59758142.629999995</v>
      </c>
      <c r="BB128" s="40">
        <f>'TFA - Folio'!I128</f>
        <v>1</v>
      </c>
      <c r="BC128" s="80">
        <f>'TFA - Folio'!K133-('TFA - Folio'!L133+'TFA - Folio'!M133)</f>
        <v>95824597.609999999</v>
      </c>
      <c r="BD128" s="79">
        <f>'TFA - Folio'!N133</f>
        <v>1</v>
      </c>
      <c r="BE128" s="75">
        <f>'TFA - Folio'!O133-('TFA - Folio'!P133+'TFA - Folio'!Q133)</f>
        <v>33999719.019999996</v>
      </c>
      <c r="BF128" s="94">
        <f>'TFA - Folio'!R133</f>
        <v>1</v>
      </c>
      <c r="BG128" s="69">
        <f>UNC!B91</f>
        <v>153614478.26999998</v>
      </c>
      <c r="BH128" s="40">
        <f>UNC!C91</f>
        <v>1</v>
      </c>
      <c r="BI128" s="69">
        <f>'Schwab LC'!D88</f>
        <v>3930381.4300000025</v>
      </c>
      <c r="BJ128" s="40">
        <f>'Schwab LC'!E88</f>
        <v>2</v>
      </c>
      <c r="CI128" s="179">
        <f>'NC State'!B61</f>
        <v>7146629.879999999</v>
      </c>
      <c r="CJ128" s="176">
        <f>'NC State'!C61</f>
        <v>1</v>
      </c>
      <c r="CK128" s="179">
        <f>'Holiday Oil'!G66</f>
        <v>13458290.179999996</v>
      </c>
      <c r="CL128" s="176">
        <f>'Holiday Oil'!H66</f>
        <v>1</v>
      </c>
      <c r="CM128" s="179">
        <f>SCLVX!B89</f>
        <v>36776473.079999998</v>
      </c>
      <c r="CN128" s="176">
        <f>SCLVX!G89</f>
        <v>1</v>
      </c>
      <c r="CO128" s="179">
        <f>Stifel!B102</f>
        <v>2480517.1800000006</v>
      </c>
      <c r="CP128" s="176">
        <f>Stifel!K102</f>
        <v>1</v>
      </c>
      <c r="CQ128" s="179">
        <f>TDA!O118</f>
        <v>5493889.0103900246</v>
      </c>
      <c r="CR128" s="176">
        <f>TDA!N118</f>
        <v>145</v>
      </c>
      <c r="CS128" s="179"/>
    </row>
    <row r="129" spans="1:112">
      <c r="A129" s="38">
        <v>45138</v>
      </c>
      <c r="B129" s="7">
        <f t="shared" si="65"/>
        <v>1620456645.3468554</v>
      </c>
      <c r="C129" s="84">
        <f t="shared" si="66"/>
        <v>4495</v>
      </c>
      <c r="D129" s="65">
        <f t="shared" si="67"/>
        <v>628529770.9799999</v>
      </c>
      <c r="E129" s="153">
        <f t="shared" si="56"/>
        <v>6</v>
      </c>
      <c r="F129" s="68">
        <f t="shared" si="70"/>
        <v>38539138.019999988</v>
      </c>
      <c r="G129" s="170">
        <f t="shared" si="54"/>
        <v>1</v>
      </c>
      <c r="H129" s="67">
        <f t="shared" si="49"/>
        <v>150433821.85999998</v>
      </c>
      <c r="I129" s="115">
        <f t="shared" si="50"/>
        <v>2</v>
      </c>
      <c r="J129" s="73">
        <f t="shared" si="68"/>
        <v>494530705.64875543</v>
      </c>
      <c r="K129" s="99">
        <f t="shared" si="68"/>
        <v>4453</v>
      </c>
      <c r="L129" s="78">
        <f t="shared" si="64"/>
        <v>365964840.88809997</v>
      </c>
      <c r="M129" s="157">
        <f t="shared" si="69"/>
        <v>33</v>
      </c>
      <c r="O129" s="69">
        <f>SILVX!B136</f>
        <v>403455703.95999986</v>
      </c>
      <c r="P129" s="91">
        <f>SILVX!G136</f>
        <v>1</v>
      </c>
      <c r="Q129" s="70">
        <f>SGLIX!B81</f>
        <v>143213060.07999998</v>
      </c>
      <c r="R129" s="93">
        <f>SGLIX!G81</f>
        <v>1</v>
      </c>
      <c r="S129" s="71">
        <f>BOGIX!B30</f>
        <v>104570165.95999998</v>
      </c>
      <c r="T129" s="92">
        <f>BOGIX!G30</f>
        <v>1</v>
      </c>
      <c r="U129" s="75">
        <f>FoF!AD39</f>
        <v>6735167.020000007</v>
      </c>
      <c r="V129" s="94">
        <f>FoF!AE39</f>
        <v>2</v>
      </c>
      <c r="W129" s="75">
        <f>DYTA!J6</f>
        <v>91439395.74000001</v>
      </c>
      <c r="X129" s="94">
        <f>DYTA!K6</f>
        <v>1</v>
      </c>
      <c r="Y129" s="69">
        <f>SGLC!B6</f>
        <v>82138553.570000008</v>
      </c>
      <c r="Z129" s="91">
        <f>SGLC!G6</f>
        <v>1</v>
      </c>
      <c r="AA129" s="70"/>
      <c r="AB129" s="93"/>
      <c r="AC129" s="80"/>
      <c r="AD129" s="156"/>
      <c r="AE129" s="156"/>
      <c r="AF129" s="156"/>
      <c r="AG129" s="156"/>
      <c r="AH129" s="156"/>
      <c r="AI129" s="80">
        <f>HF!B33</f>
        <v>2816638.58</v>
      </c>
      <c r="AJ129" s="156">
        <f>HF!C33</f>
        <v>1</v>
      </c>
      <c r="AK129" s="80">
        <f>IB!S21</f>
        <v>22495798.810000002</v>
      </c>
      <c r="AL129" s="156">
        <f>IB!R21</f>
        <v>28</v>
      </c>
      <c r="AM129" s="76">
        <f>Schwab!S124</f>
        <v>167682313.81040564</v>
      </c>
      <c r="AN129" s="74">
        <f>Schwab!Q124</f>
        <v>3012</v>
      </c>
      <c r="AO129" s="75">
        <f>Fidelity!P129</f>
        <v>202577726.76794481</v>
      </c>
      <c r="AP129" s="94">
        <f>Fidelity!O129</f>
        <v>1265</v>
      </c>
      <c r="AQ129" s="75">
        <f>Empower!F19</f>
        <v>299644.25999999931</v>
      </c>
      <c r="AR129" s="94">
        <f>Empower!E19</f>
        <v>26</v>
      </c>
      <c r="AS129" s="75"/>
      <c r="AT129" s="94"/>
      <c r="AU129" s="75">
        <v>4745914.7399999984</v>
      </c>
      <c r="AV129" s="94">
        <v>47</v>
      </c>
      <c r="AW129" s="75"/>
      <c r="AX129" s="94"/>
      <c r="AY129" s="75"/>
      <c r="AZ129" s="94"/>
      <c r="BA129" s="69">
        <f>'TFA - Folio'!H134</f>
        <v>62287546.790000021</v>
      </c>
      <c r="BB129" s="40">
        <f>'TFA - Folio'!I129</f>
        <v>1</v>
      </c>
      <c r="BC129" s="80">
        <f>'TFA - Folio'!K134-('TFA - Folio'!L134+'TFA - Folio'!M134)</f>
        <v>78057066.949999988</v>
      </c>
      <c r="BD129" s="79">
        <f>'TFA - Folio'!N134</f>
        <v>1</v>
      </c>
      <c r="BE129" s="75">
        <f>'TFA - Folio'!O134-('TFA - Folio'!P134+'TFA - Folio'!Q134)</f>
        <v>20183962.18</v>
      </c>
      <c r="BF129" s="94">
        <f>'TFA - Folio'!R134</f>
        <v>1</v>
      </c>
      <c r="BG129" s="69">
        <f>UNC!B92</f>
        <v>156277801.01000002</v>
      </c>
      <c r="BH129" s="40">
        <f>UNC!C92</f>
        <v>1</v>
      </c>
      <c r="BI129" s="69">
        <f>'Schwab LC'!D89</f>
        <v>3991896.5799999996</v>
      </c>
      <c r="BJ129" s="40">
        <f>'Schwab LC'!E89</f>
        <v>2</v>
      </c>
      <c r="CI129" s="179">
        <f>'NC State'!B62</f>
        <v>7220761.7800000012</v>
      </c>
      <c r="CJ129" s="176">
        <f>'NC State'!C62</f>
        <v>1</v>
      </c>
      <c r="CK129" s="179">
        <f>'Holiday Oil'!G67</f>
        <v>13599070.228099998</v>
      </c>
      <c r="CL129" s="176">
        <f>'Holiday Oil'!H67</f>
        <v>1</v>
      </c>
      <c r="CM129" s="179">
        <f>SCLVX!B90</f>
        <v>38539138.019999988</v>
      </c>
      <c r="CN129" s="176">
        <f>SCLVX!G90</f>
        <v>1</v>
      </c>
      <c r="CO129" s="179">
        <f>Stifel!B103</f>
        <v>2516822.6399999992</v>
      </c>
      <c r="CP129" s="176">
        <f>Stifel!K103</f>
        <v>1</v>
      </c>
      <c r="CQ129" s="179">
        <f>TDA!O119</f>
        <v>5612495.8704049885</v>
      </c>
      <c r="CR129" s="176">
        <f>TDA!N119</f>
        <v>146</v>
      </c>
    </row>
    <row r="130" spans="1:112">
      <c r="A130" s="38">
        <v>45169</v>
      </c>
      <c r="B130" s="7">
        <f t="shared" si="65"/>
        <v>1608064449.7057469</v>
      </c>
      <c r="C130" s="84">
        <f t="shared" si="66"/>
        <v>4917</v>
      </c>
      <c r="D130" s="65">
        <f t="shared" si="67"/>
        <v>600751085.66999996</v>
      </c>
      <c r="E130" s="153">
        <f t="shared" si="56"/>
        <v>6</v>
      </c>
      <c r="F130" s="68">
        <f t="shared" si="70"/>
        <v>37408707.449999981</v>
      </c>
      <c r="G130" s="170">
        <f t="shared" si="54"/>
        <v>1</v>
      </c>
      <c r="H130" s="67">
        <f t="shared" si="49"/>
        <v>156454307.70000002</v>
      </c>
      <c r="I130" s="115">
        <f t="shared" si="50"/>
        <v>2</v>
      </c>
      <c r="J130" s="73">
        <f t="shared" si="68"/>
        <v>497000083.74574727</v>
      </c>
      <c r="K130" s="99">
        <f t="shared" si="68"/>
        <v>4867</v>
      </c>
      <c r="L130" s="78">
        <f t="shared" si="64"/>
        <v>368247730.6500001</v>
      </c>
      <c r="M130" s="157">
        <f t="shared" si="69"/>
        <v>41</v>
      </c>
      <c r="O130" s="69">
        <f>SILVX!B137</f>
        <v>385054066.88999999</v>
      </c>
      <c r="P130" s="91">
        <f>SILVX!G137</f>
        <v>1</v>
      </c>
      <c r="Q130" s="70">
        <f>SGLIX!B82</f>
        <v>149383110.11000001</v>
      </c>
      <c r="R130" s="93">
        <f>SGLIX!G82</f>
        <v>1</v>
      </c>
      <c r="S130" s="71">
        <f>BOGIX!B31</f>
        <v>103143443.64</v>
      </c>
      <c r="T130" s="92">
        <f>BOGIX!G31</f>
        <v>1</v>
      </c>
      <c r="U130" s="75">
        <f>FoF!AD40</f>
        <v>6702595.5700000003</v>
      </c>
      <c r="V130" s="94">
        <f>FoF!AE40</f>
        <v>2</v>
      </c>
      <c r="W130" s="75">
        <f>DYTA!J7</f>
        <v>87173075.799999997</v>
      </c>
      <c r="X130" s="94">
        <f>DYTA!K7</f>
        <v>1</v>
      </c>
      <c r="Y130" s="69">
        <f>SGLC!B7</f>
        <v>97874098.720000058</v>
      </c>
      <c r="Z130" s="91">
        <f>SGLC!G7</f>
        <v>1</v>
      </c>
      <c r="AA130" s="70"/>
      <c r="AB130" s="93"/>
      <c r="AC130" s="80"/>
      <c r="AD130" s="156"/>
      <c r="AE130" s="156"/>
      <c r="AF130" s="156"/>
      <c r="AG130" s="156"/>
      <c r="AH130" s="156"/>
      <c r="AI130" s="80">
        <f>HF!B34</f>
        <v>2889421.24</v>
      </c>
      <c r="AJ130" s="156">
        <f>HF!C34</f>
        <v>1</v>
      </c>
      <c r="AK130" s="80">
        <f>IB!S22</f>
        <v>29085275.450000003</v>
      </c>
      <c r="AL130" s="156">
        <f>IB!R22</f>
        <v>36</v>
      </c>
      <c r="AM130" s="76">
        <f>Schwab!S125</f>
        <v>166245741.76000041</v>
      </c>
      <c r="AN130" s="74">
        <f>Schwab!Q125</f>
        <v>3176</v>
      </c>
      <c r="AO130" s="75">
        <f>Fidelity!P130</f>
        <v>214261978.25194681</v>
      </c>
      <c r="AP130" s="94">
        <f>Fidelity!O130</f>
        <v>1514</v>
      </c>
      <c r="AQ130" s="75">
        <f>Empower!F20</f>
        <v>97032.04999999865</v>
      </c>
      <c r="AR130" s="94">
        <f>Empower!E20</f>
        <v>28</v>
      </c>
      <c r="AS130" s="75"/>
      <c r="AT130" s="94"/>
      <c r="AU130" s="75">
        <v>4745914.7399999984</v>
      </c>
      <c r="AV130" s="94">
        <v>47</v>
      </c>
      <c r="AW130" s="75"/>
      <c r="AX130" s="94"/>
      <c r="AY130" s="75"/>
      <c r="AZ130" s="94"/>
      <c r="BA130" s="69">
        <f>'TFA - Folio'!H135</f>
        <v>56543380.25</v>
      </c>
      <c r="BB130" s="40">
        <f>'TFA - Folio'!I130</f>
        <v>1</v>
      </c>
      <c r="BC130" s="80">
        <f>'TFA - Folio'!K135-('TFA - Folio'!L135+'TFA - Folio'!M135)</f>
        <v>65158125.620000005</v>
      </c>
      <c r="BD130" s="79">
        <f>'TFA - Folio'!N135</f>
        <v>1</v>
      </c>
      <c r="BE130" s="75">
        <f>'TFA - Folio'!O135-('TFA - Folio'!P135+'TFA - Folio'!Q135)</f>
        <v>17035698.990000002</v>
      </c>
      <c r="BF130" s="94">
        <f>'TFA - Folio'!R135</f>
        <v>1</v>
      </c>
      <c r="BG130" s="69">
        <f>UNC!B93</f>
        <v>152792347.07999998</v>
      </c>
      <c r="BH130" s="40">
        <f>UNC!C93</f>
        <v>1</v>
      </c>
      <c r="BI130" s="69">
        <f>'Schwab LC'!D90</f>
        <v>3905943.8299999991</v>
      </c>
      <c r="BJ130" s="40">
        <f>'Schwab LC'!E90</f>
        <v>2</v>
      </c>
      <c r="CI130" s="179">
        <f>'NC State'!B63</f>
        <v>7071197.5900000008</v>
      </c>
      <c r="CJ130" s="176">
        <f>'NC State'!C63</f>
        <v>1</v>
      </c>
      <c r="CK130" s="179">
        <f>'Holiday Oil'!G68</f>
        <v>13553985.73</v>
      </c>
      <c r="CL130" s="176">
        <f>'Holiday Oil'!H68</f>
        <v>1</v>
      </c>
      <c r="CM130" s="179">
        <f>SCLVX!B91</f>
        <v>37408707.449999981</v>
      </c>
      <c r="CN130" s="176">
        <f>SCLVX!G91</f>
        <v>1</v>
      </c>
      <c r="CO130" s="179">
        <f>Stifel!B104</f>
        <v>2455347.6199999992</v>
      </c>
      <c r="CP130" s="176">
        <f>Stifel!K104</f>
        <v>1</v>
      </c>
      <c r="CQ130" s="179">
        <f>TDA!O120</f>
        <v>5483961.3238000087</v>
      </c>
      <c r="CR130" s="176">
        <f>TDA!N120</f>
        <v>145</v>
      </c>
    </row>
    <row r="131" spans="1:112">
      <c r="A131" s="38">
        <v>45199</v>
      </c>
      <c r="B131" s="7">
        <f t="shared" si="65"/>
        <v>1544594734.0096097</v>
      </c>
      <c r="C131" s="84">
        <f t="shared" si="66"/>
        <v>5223</v>
      </c>
      <c r="D131" s="65">
        <f t="shared" si="67"/>
        <v>562212469.23000002</v>
      </c>
      <c r="E131" s="153">
        <f t="shared" si="56"/>
        <v>6</v>
      </c>
      <c r="F131" s="68">
        <f t="shared" si="70"/>
        <v>35662973.850000001</v>
      </c>
      <c r="G131" s="170">
        <f t="shared" si="54"/>
        <v>1</v>
      </c>
      <c r="H131" s="67">
        <f t="shared" si="49"/>
        <v>152856001.48000002</v>
      </c>
      <c r="I131" s="115">
        <f t="shared" si="50"/>
        <v>2</v>
      </c>
      <c r="J131" s="73">
        <f t="shared" si="68"/>
        <v>502757443.0096097</v>
      </c>
      <c r="K131" s="99">
        <f t="shared" si="68"/>
        <v>5161</v>
      </c>
      <c r="L131" s="78">
        <f t="shared" si="64"/>
        <v>336790343.81000006</v>
      </c>
      <c r="M131" s="157">
        <f t="shared" si="69"/>
        <v>53</v>
      </c>
      <c r="O131" s="69">
        <f>SILVX!B138</f>
        <v>356183802.62</v>
      </c>
      <c r="P131" s="91">
        <f>SILVX!G138</f>
        <v>1</v>
      </c>
      <c r="Q131" s="70">
        <f>SGLIX!B83</f>
        <v>145941174.63000003</v>
      </c>
      <c r="R131" s="93">
        <f>SGLIX!G83</f>
        <v>1</v>
      </c>
      <c r="S131" s="71">
        <f>BOGIX!B32</f>
        <v>98542952.439999998</v>
      </c>
      <c r="T131" s="92">
        <f>BOGIX!G32</f>
        <v>1</v>
      </c>
      <c r="U131" s="75">
        <f>FoF!AD41</f>
        <v>6666287.9799999967</v>
      </c>
      <c r="V131" s="94">
        <f>FoF!AE41</f>
        <v>2</v>
      </c>
      <c r="W131" s="75">
        <f>DYTA!J8</f>
        <v>84928273.249999985</v>
      </c>
      <c r="X131" s="94">
        <f>DYTA!K8</f>
        <v>1</v>
      </c>
      <c r="Y131" s="69">
        <f>SGLC!B8</f>
        <v>94408789.589999989</v>
      </c>
      <c r="Z131" s="91">
        <f>SGLC!G8</f>
        <v>1</v>
      </c>
      <c r="AA131" s="70"/>
      <c r="AB131" s="93"/>
      <c r="AC131" s="80"/>
      <c r="AD131" s="156"/>
      <c r="AE131" s="156"/>
      <c r="AF131" s="156"/>
      <c r="AG131" s="156"/>
      <c r="AH131" s="156"/>
      <c r="AI131" s="80">
        <f>HF!B35</f>
        <v>2926114.85</v>
      </c>
      <c r="AJ131" s="156">
        <f>HF!C35</f>
        <v>1</v>
      </c>
      <c r="AK131" s="80">
        <f>IB!S23</f>
        <v>32176027.730000004</v>
      </c>
      <c r="AL131" s="156">
        <f>IB!R23</f>
        <v>47</v>
      </c>
      <c r="AM131" s="76">
        <f>Schwab!S126</f>
        <v>168910102.9999969</v>
      </c>
      <c r="AN131" s="74">
        <f>Schwab!Q126</f>
        <v>3383</v>
      </c>
      <c r="AO131" s="75">
        <f>Fidelity!P131</f>
        <v>229705738.30961275</v>
      </c>
      <c r="AP131" s="94">
        <f>Fidelity!O131</f>
        <v>1742</v>
      </c>
      <c r="AQ131" s="75">
        <f>Empower!F21</f>
        <v>260225.85999999871</v>
      </c>
      <c r="AR131" s="94">
        <f>Empower!E21</f>
        <v>32</v>
      </c>
      <c r="AS131" s="75"/>
      <c r="AT131" s="94"/>
      <c r="AU131" s="75">
        <v>4745914.7399999984</v>
      </c>
      <c r="AV131" s="94">
        <v>47</v>
      </c>
      <c r="AW131" s="75"/>
      <c r="AX131" s="94"/>
      <c r="AY131" s="75"/>
      <c r="AZ131" s="94"/>
      <c r="BA131" s="69">
        <f>'TFA - Folio'!H136</f>
        <v>50430412.110000044</v>
      </c>
      <c r="BB131" s="40">
        <f>'TFA - Folio'!I131</f>
        <v>1</v>
      </c>
      <c r="BC131" s="80">
        <f>'TFA - Folio'!K136-('TFA - Folio'!L136+'TFA - Folio'!M136)</f>
        <v>58225136.190000005</v>
      </c>
      <c r="BD131" s="79">
        <f>'TFA - Folio'!N136</f>
        <v>1</v>
      </c>
      <c r="BE131" s="75">
        <f>'TFA - Folio'!O136-('TFA - Folio'!P136+'TFA - Folio'!Q136)</f>
        <v>12286814.609999999</v>
      </c>
      <c r="BF131" s="94">
        <f>'TFA - Folio'!R136</f>
        <v>1</v>
      </c>
      <c r="BG131" s="69">
        <f>UNC!B94</f>
        <v>149385450.06</v>
      </c>
      <c r="BH131" s="40">
        <f>UNC!C94</f>
        <v>1</v>
      </c>
      <c r="BI131" s="69">
        <f>'Schwab LC'!D91</f>
        <v>3817441.54</v>
      </c>
      <c r="BJ131" s="40">
        <f>'Schwab LC'!E91</f>
        <v>2</v>
      </c>
      <c r="CI131" s="179">
        <f>'NC State'!B64</f>
        <v>6914826.8500000015</v>
      </c>
      <c r="CJ131" s="176">
        <f>'NC State'!C64</f>
        <v>1</v>
      </c>
      <c r="CK131" s="179">
        <f>'Holiday Oil'!G69</f>
        <v>80910.899999999994</v>
      </c>
      <c r="CL131" s="176">
        <f>'Holiday Oil'!H69</f>
        <v>2</v>
      </c>
      <c r="CM131" s="179">
        <f>SCLVX!B92</f>
        <v>35662973.850000001</v>
      </c>
      <c r="CN131" s="176">
        <f>SCLVX!G92</f>
        <v>1</v>
      </c>
      <c r="CO131" s="179">
        <f>Stifel!B105</f>
        <v>2395362.9</v>
      </c>
      <c r="CP131" s="176">
        <f>Stifel!K105</f>
        <v>1</v>
      </c>
    </row>
    <row r="132" spans="1:112">
      <c r="A132" s="38">
        <v>45230</v>
      </c>
      <c r="B132" s="7">
        <f t="shared" si="65"/>
        <v>1498608009.1898851</v>
      </c>
      <c r="C132" s="84">
        <f>P132+CN132+R132+AN132+CR132+AP132+AR132+AV132+AX132+BB132+BD132+CP132+BH132+CT132+BJ132+CL132+CJ132+AJ132+V132+T132+BF132+AL132+X132+Z132</f>
        <v>5490</v>
      </c>
      <c r="D132" s="65">
        <f t="shared" si="67"/>
        <v>537171337.70000005</v>
      </c>
      <c r="E132" s="153">
        <f t="shared" si="56"/>
        <v>6</v>
      </c>
      <c r="F132" s="68">
        <f t="shared" si="70"/>
        <v>34201155.210000001</v>
      </c>
      <c r="G132" s="170">
        <f t="shared" si="54"/>
        <v>1</v>
      </c>
      <c r="H132" s="67">
        <f t="shared" si="49"/>
        <v>152332226.36000004</v>
      </c>
      <c r="I132" s="115">
        <f t="shared" si="50"/>
        <v>2</v>
      </c>
      <c r="J132" s="73">
        <f t="shared" ref="J132:J134" si="71">AM132+CQ132+AO132+DA132+U132+BE132+AQ132+W132+AU132+AW132+AY132</f>
        <v>494226562.68334365</v>
      </c>
      <c r="K132" s="99">
        <f t="shared" ref="K132:K149" si="72">AN132+CR132+AP132+DB132+V132+BF132+AR132+X132+AV132+AX132+AZ132</f>
        <v>5406</v>
      </c>
      <c r="L132" s="78">
        <f t="shared" si="64"/>
        <v>327270518.16654146</v>
      </c>
      <c r="M132" s="157">
        <f t="shared" si="69"/>
        <v>75</v>
      </c>
      <c r="O132" s="69">
        <f>SILVX!B139</f>
        <v>336269872.96000004</v>
      </c>
      <c r="P132" s="91">
        <f>SILVX!G139</f>
        <v>1</v>
      </c>
      <c r="Q132" s="70">
        <f>SGLIX!B84</f>
        <v>145507607.59000003</v>
      </c>
      <c r="R132" s="93">
        <f>SGLIX!G84</f>
        <v>1</v>
      </c>
      <c r="S132" s="71">
        <f>BOGIX!B33</f>
        <v>93542181.189999968</v>
      </c>
      <c r="T132" s="92">
        <f>BOGIX!G33</f>
        <v>1</v>
      </c>
      <c r="U132" s="75">
        <f>FoF!AD42</f>
        <v>6513721.1799999997</v>
      </c>
      <c r="V132" s="94">
        <f>FoF!AE42</f>
        <v>2</v>
      </c>
      <c r="W132" s="75">
        <f>DYTA!J9</f>
        <v>72433519.060000002</v>
      </c>
      <c r="X132" s="94">
        <f>DYTA!K9</f>
        <v>1</v>
      </c>
      <c r="Y132" s="69">
        <f>SGLC!B9</f>
        <v>97936019.790000021</v>
      </c>
      <c r="Z132" s="91">
        <f>SGLC!G9</f>
        <v>1</v>
      </c>
      <c r="AA132" s="70"/>
      <c r="AB132" s="93"/>
      <c r="AC132" s="80"/>
      <c r="AD132" s="156"/>
      <c r="AE132" s="156"/>
      <c r="AF132" s="156"/>
      <c r="AG132" s="156"/>
      <c r="AH132" s="156"/>
      <c r="AI132" s="80">
        <f>HF!B36</f>
        <v>2966899.97</v>
      </c>
      <c r="AJ132" s="156">
        <f>HF!C36</f>
        <v>1</v>
      </c>
      <c r="AK132" s="80">
        <f>IB!S24</f>
        <v>34989244.686541468</v>
      </c>
      <c r="AL132" s="156">
        <f>IB!R24</f>
        <v>69</v>
      </c>
      <c r="AM132" s="76">
        <f>Schwab!S127</f>
        <v>164124504.94000202</v>
      </c>
      <c r="AN132" s="74">
        <f>Schwab!Q127</f>
        <v>3396</v>
      </c>
      <c r="AO132" s="75">
        <f>Fidelity!P132</f>
        <v>237550371.47334167</v>
      </c>
      <c r="AP132" s="94">
        <f>Fidelity!O132</f>
        <v>1914</v>
      </c>
      <c r="AQ132" s="75">
        <f>Empower!F22</f>
        <v>103778.52999999956</v>
      </c>
      <c r="AR132" s="94">
        <f>Empower!E22</f>
        <v>32</v>
      </c>
      <c r="AS132" s="75"/>
      <c r="AT132" s="94"/>
      <c r="AU132" s="75">
        <v>4745914.7399999984</v>
      </c>
      <c r="AV132" s="94">
        <v>47</v>
      </c>
      <c r="AW132" s="75">
        <v>477695</v>
      </c>
      <c r="AX132" s="94">
        <v>13</v>
      </c>
      <c r="AY132" s="75"/>
      <c r="AZ132" s="94"/>
      <c r="BA132" s="69">
        <f>'TFA - Folio'!H137</f>
        <v>46593790.930000007</v>
      </c>
      <c r="BB132" s="40">
        <f>'TFA - Folio'!I132</f>
        <v>1</v>
      </c>
      <c r="BC132" s="80">
        <f>'TFA - Folio'!K137-('TFA - Folio'!L137+'TFA - Folio'!M137)</f>
        <v>51161132.239999995</v>
      </c>
      <c r="BD132" s="79">
        <f>'TFA - Folio'!N137</f>
        <v>1</v>
      </c>
      <c r="BE132" s="75">
        <f>'TFA - Folio'!O137-('TFA - Folio'!P137+'TFA - Folio'!Q137)</f>
        <v>8277057.7600000016</v>
      </c>
      <c r="BF132" s="94">
        <f>'TFA - Folio'!R137</f>
        <v>1</v>
      </c>
      <c r="BG132" s="69">
        <f>UNC!B95</f>
        <v>148165256.89000005</v>
      </c>
      <c r="BH132" s="40">
        <f>UNC!C95</f>
        <v>1</v>
      </c>
      <c r="BI132" s="69">
        <f>'Schwab LC'!D92</f>
        <v>3778299.3499999996</v>
      </c>
      <c r="BJ132" s="40">
        <f>'Schwab LC'!E92</f>
        <v>2</v>
      </c>
      <c r="CI132" s="179">
        <f>'NC State'!B65</f>
        <v>6824618.7700000023</v>
      </c>
      <c r="CJ132" s="176">
        <f>'NC State'!C65</f>
        <v>1</v>
      </c>
      <c r="CK132" s="179">
        <f>'Holiday Oil'!G70</f>
        <v>81249.36</v>
      </c>
      <c r="CL132" s="176">
        <f>'Holiday Oil'!H70</f>
        <v>2</v>
      </c>
      <c r="CM132" s="179">
        <f>SCLVX!B93</f>
        <v>34201155.210000001</v>
      </c>
      <c r="CN132" s="176">
        <f>SCLVX!G93</f>
        <v>1</v>
      </c>
      <c r="CO132" s="179">
        <f>Stifel!B106</f>
        <v>2364117.5700000012</v>
      </c>
      <c r="CP132" s="176">
        <f>Stifel!K106</f>
        <v>1</v>
      </c>
    </row>
    <row r="133" spans="1:112">
      <c r="A133" s="38">
        <v>45260</v>
      </c>
      <c r="B133" s="7">
        <f t="shared" si="65"/>
        <v>1589717355.4696474</v>
      </c>
      <c r="C133" s="84">
        <f>P133+CN133+R133+AN133+CR133+AP133+AR133+AV133+AX133+AZ133+BB133+BD133+CP133+BH133+CT133+BJ133+CL133+CJ133+AJ133+V133+T133+BF133+AL133+X133+Z133</f>
        <v>5801</v>
      </c>
      <c r="D133" s="65">
        <f t="shared" si="67"/>
        <v>553400101.78999996</v>
      </c>
      <c r="E133" s="153">
        <f t="shared" si="56"/>
        <v>6</v>
      </c>
      <c r="F133" s="68">
        <f t="shared" si="70"/>
        <v>26471894.419999998</v>
      </c>
      <c r="G133" s="170">
        <f t="shared" si="54"/>
        <v>1</v>
      </c>
      <c r="H133" s="67">
        <f t="shared" si="49"/>
        <v>161282058.52999997</v>
      </c>
      <c r="I133" s="115">
        <f t="shared" si="50"/>
        <v>2</v>
      </c>
      <c r="J133" s="73">
        <f t="shared" si="71"/>
        <v>538696432.10901701</v>
      </c>
      <c r="K133" s="99">
        <f t="shared" si="72"/>
        <v>5675</v>
      </c>
      <c r="L133" s="78">
        <f t="shared" si="64"/>
        <v>355786482.53063047</v>
      </c>
      <c r="M133" s="157">
        <f t="shared" si="69"/>
        <v>117</v>
      </c>
      <c r="O133" s="69">
        <f>SILVX!B140</f>
        <v>343409191.65999997</v>
      </c>
      <c r="P133" s="91">
        <f>SILVX!G140</f>
        <v>1</v>
      </c>
      <c r="Q133" s="70">
        <f>SGLIX!B85</f>
        <v>154066010.01999998</v>
      </c>
      <c r="R133" s="93">
        <f>SGLIX!G85</f>
        <v>1</v>
      </c>
      <c r="S133" s="71">
        <f>BOGIX!B34</f>
        <v>101664541.96000004</v>
      </c>
      <c r="T133" s="92">
        <f>BOGIX!G34</f>
        <v>1</v>
      </c>
      <c r="U133" s="75">
        <f>FoF!AD43</f>
        <v>7036590.1700000018</v>
      </c>
      <c r="V133" s="94">
        <f>FoF!AE43</f>
        <v>2</v>
      </c>
      <c r="W133" s="75">
        <f>DYTA!J10</f>
        <v>74603370.659999996</v>
      </c>
      <c r="X133" s="94">
        <f>DYTA!K10</f>
        <v>1</v>
      </c>
      <c r="Y133" s="69">
        <f>SGLC!B10</f>
        <v>102301816.10999995</v>
      </c>
      <c r="Z133" s="91">
        <f>SGLC!G10</f>
        <v>1</v>
      </c>
      <c r="AA133" s="70"/>
      <c r="AB133" s="93"/>
      <c r="AC133" s="80"/>
      <c r="AD133" s="156"/>
      <c r="AE133" s="156"/>
      <c r="AF133" s="156"/>
      <c r="AG133" s="156"/>
      <c r="AH133" s="156"/>
      <c r="AI133" s="80">
        <f>HF!B37</f>
        <v>2892721.14</v>
      </c>
      <c r="AJ133" s="156">
        <f>HF!C37</f>
        <v>1</v>
      </c>
      <c r="AK133" s="80">
        <f>IB!S25</f>
        <v>55822005.350630477</v>
      </c>
      <c r="AL133" s="156">
        <f>IB!R25</f>
        <v>111</v>
      </c>
      <c r="AM133" s="76">
        <f>Schwab!S128</f>
        <v>177835769.8700006</v>
      </c>
      <c r="AN133" s="74">
        <f>Schwab!Q128</f>
        <v>3436</v>
      </c>
      <c r="AO133" s="75">
        <f>Fidelity!P133</f>
        <v>252738481.6090163</v>
      </c>
      <c r="AP133" s="94">
        <f>Fidelity!O133</f>
        <v>2069</v>
      </c>
      <c r="AQ133" s="75">
        <f>Empower!F23</f>
        <v>183752.76999999955</v>
      </c>
      <c r="AR133" s="94">
        <f>Empower!E23</f>
        <v>35</v>
      </c>
      <c r="AS133" s="75"/>
      <c r="AT133" s="94"/>
      <c r="AU133" s="75">
        <v>4745914.7399999974</v>
      </c>
      <c r="AV133" s="94">
        <v>47</v>
      </c>
      <c r="AW133" s="75">
        <v>960659.34999999986</v>
      </c>
      <c r="AX133" s="94">
        <v>28</v>
      </c>
      <c r="AY133" s="75">
        <v>12809026.710000003</v>
      </c>
      <c r="AZ133" s="94">
        <v>56</v>
      </c>
      <c r="BA133" s="69">
        <f>'TFA - Folio'!H138</f>
        <v>45919613.910000026</v>
      </c>
      <c r="BB133" s="40">
        <f>'TFA - Folio'!I133</f>
        <v>1</v>
      </c>
      <c r="BC133" s="80">
        <f>'TFA - Folio'!K138-('TFA - Folio'!L138+'TFA - Folio'!M138)</f>
        <v>47147385.810000002</v>
      </c>
      <c r="BD133" s="79">
        <f>'TFA - Folio'!N138</f>
        <v>1</v>
      </c>
      <c r="BE133" s="75">
        <f>'TFA - Folio'!O138-('TFA - Folio'!P138+'TFA - Folio'!Q138)</f>
        <v>7782866.2300000004</v>
      </c>
      <c r="BF133" s="94">
        <f>'TFA - Folio'!R138</f>
        <v>1</v>
      </c>
      <c r="BG133" s="69">
        <f>UNC!B96</f>
        <v>157525154.66000003</v>
      </c>
      <c r="BH133" s="40">
        <f>UNC!C96</f>
        <v>1</v>
      </c>
      <c r="BI133" s="69">
        <f>'Schwab LC'!D93</f>
        <v>4027987.9699999988</v>
      </c>
      <c r="BJ133" s="40">
        <f>'Schwab LC'!E93</f>
        <v>2</v>
      </c>
      <c r="CI133" s="179">
        <f>'NC State'!B66</f>
        <v>7216048.5099999988</v>
      </c>
      <c r="CJ133" s="176">
        <f>'NC State'!C66</f>
        <v>1</v>
      </c>
      <c r="CK133" s="179">
        <f>'Holiday Oil'!G71</f>
        <v>38398.25</v>
      </c>
      <c r="CL133" s="176">
        <f>'Holiday Oil'!H71</f>
        <v>2</v>
      </c>
      <c r="CM133" s="179">
        <f>SCLVX!B94</f>
        <v>26471894.419999998</v>
      </c>
      <c r="CN133" s="176">
        <f>SCLVX!G94</f>
        <v>1</v>
      </c>
      <c r="CO133" s="179">
        <f>Stifel!B107</f>
        <v>2518153.5899999994</v>
      </c>
      <c r="CP133" s="176">
        <f>Stifel!K107</f>
        <v>1</v>
      </c>
    </row>
    <row r="134" spans="1:112" s="140" customFormat="1">
      <c r="A134" s="116">
        <v>45291</v>
      </c>
      <c r="B134" s="117">
        <f t="shared" si="65"/>
        <v>1619787279.8099205</v>
      </c>
      <c r="C134" s="118">
        <f>P134+CN134+R134+AN134+CR134+AP134+AR134+AV134+AX134+AZ134+BB134+BD134+CP134+BH134+CT134+BJ134+CL134+CJ134+AJ134+V134+T134+BF134+AL134+X134+Z134</f>
        <v>5972</v>
      </c>
      <c r="D134" s="119">
        <f t="shared" si="67"/>
        <v>542893665.29999983</v>
      </c>
      <c r="E134" s="154">
        <f t="shared" si="56"/>
        <v>6</v>
      </c>
      <c r="F134" s="121">
        <f t="shared" si="70"/>
        <v>25667.49</v>
      </c>
      <c r="G134" s="184">
        <f t="shared" si="54"/>
        <v>1</v>
      </c>
      <c r="H134" s="123">
        <f t="shared" si="49"/>
        <v>166491817.77999997</v>
      </c>
      <c r="I134" s="149">
        <f t="shared" si="50"/>
        <v>2</v>
      </c>
      <c r="J134" s="125">
        <f t="shared" si="71"/>
        <v>562780452.95565438</v>
      </c>
      <c r="K134" s="126">
        <f t="shared" si="72"/>
        <v>5827</v>
      </c>
      <c r="L134" s="127">
        <f t="shared" si="64"/>
        <v>390745358.77426636</v>
      </c>
      <c r="M134" s="185">
        <f t="shared" si="69"/>
        <v>136</v>
      </c>
      <c r="N134" s="83"/>
      <c r="O134" s="129">
        <f>SILVX!B141</f>
        <v>329475410.8499999</v>
      </c>
      <c r="P134" s="130">
        <f>SILVX!G141</f>
        <v>1</v>
      </c>
      <c r="Q134" s="147">
        <f>SGLIX!B86</f>
        <v>158993905.19999999</v>
      </c>
      <c r="R134" s="148">
        <f>SGLIX!G86</f>
        <v>1</v>
      </c>
      <c r="S134" s="142">
        <f>BOGIX!B35</f>
        <v>139348484.1800001</v>
      </c>
      <c r="T134" s="132">
        <f>BOGIX!G35</f>
        <v>1</v>
      </c>
      <c r="U134" s="135">
        <f>FoF!AD44</f>
        <v>7429000.4100000113</v>
      </c>
      <c r="V134" s="136">
        <f>FoF!AE44</f>
        <v>2</v>
      </c>
      <c r="W134" s="135">
        <f>DYTA!J11</f>
        <v>75021487</v>
      </c>
      <c r="X134" s="136">
        <f>DYTA!K11</f>
        <v>1</v>
      </c>
      <c r="Y134" s="129">
        <f>SGLC!B11</f>
        <v>101636290.95000002</v>
      </c>
      <c r="Z134" s="130">
        <f>SGLC!G11</f>
        <v>1</v>
      </c>
      <c r="AA134" s="147"/>
      <c r="AB134" s="148"/>
      <c r="AC134" s="138"/>
      <c r="AD134" s="183"/>
      <c r="AE134" s="183"/>
      <c r="AF134" s="183"/>
      <c r="AG134" s="183"/>
      <c r="AH134" s="183"/>
      <c r="AI134" s="138">
        <f>HF!B38</f>
        <v>2907759.86</v>
      </c>
      <c r="AJ134" s="183">
        <f>HF!C38</f>
        <v>1</v>
      </c>
      <c r="AK134" s="138">
        <f>IB!S26</f>
        <v>62939385.114266217</v>
      </c>
      <c r="AL134" s="183">
        <f>IB!R26</f>
        <v>130</v>
      </c>
      <c r="AM134" s="141">
        <f>Schwab!S129</f>
        <v>178330988.06999844</v>
      </c>
      <c r="AN134" s="134">
        <f>Schwab!Q129</f>
        <v>3449</v>
      </c>
      <c r="AO134" s="135">
        <f>Fidelity!P134</f>
        <v>274311661.58565581</v>
      </c>
      <c r="AP134" s="136">
        <f>Fidelity!O134</f>
        <v>2197</v>
      </c>
      <c r="AQ134" s="135">
        <f>Empower!F24</f>
        <v>178541.56000000052</v>
      </c>
      <c r="AR134" s="136">
        <f>Empower!E24</f>
        <v>37</v>
      </c>
      <c r="AS134" s="135"/>
      <c r="AT134" s="136"/>
      <c r="AU134" s="135">
        <v>4745914.7399999974</v>
      </c>
      <c r="AV134" s="136">
        <v>47</v>
      </c>
      <c r="AW134" s="135">
        <v>2278165.9699999997</v>
      </c>
      <c r="AX134" s="136">
        <v>35</v>
      </c>
      <c r="AY134" s="135">
        <v>13534895.479999999</v>
      </c>
      <c r="AZ134" s="136">
        <v>58</v>
      </c>
      <c r="BA134" s="129">
        <f>'TFA - Folio'!H139</f>
        <v>43149682.49000001</v>
      </c>
      <c r="BB134" s="137">
        <f>'TFA - Folio'!I134</f>
        <v>1</v>
      </c>
      <c r="BC134" s="138">
        <f>'TFA - Folio'!K139-('TFA - Folio'!L139+'TFA - Folio'!M139)</f>
        <v>40725194.439999998</v>
      </c>
      <c r="BD134" s="139">
        <f>'TFA - Folio'!N139</f>
        <v>1</v>
      </c>
      <c r="BE134" s="135">
        <f>'TFA - Folio'!O139-('TFA - Folio'!P139+'TFA - Folio'!Q139)</f>
        <v>6949798.1400000006</v>
      </c>
      <c r="BF134" s="136">
        <f>'TFA - Folio'!R139</f>
        <v>1</v>
      </c>
      <c r="BG134" s="129">
        <f>UNC!B97</f>
        <v>163492385.37999991</v>
      </c>
      <c r="BH134" s="137">
        <f>UNC!C97</f>
        <v>1</v>
      </c>
      <c r="BI134" s="129">
        <f>'Schwab LC'!D94</f>
        <v>4160550.2500000014</v>
      </c>
      <c r="BJ134" s="137">
        <f>'Schwab LC'!E94</f>
        <v>2</v>
      </c>
      <c r="BK134" s="198"/>
      <c r="BL134" s="198"/>
      <c r="BM134" s="198"/>
      <c r="BN134" s="198"/>
      <c r="BO134" s="198"/>
      <c r="BP134" s="198"/>
      <c r="BQ134" s="198"/>
      <c r="BR134" s="198"/>
      <c r="BS134" s="198"/>
      <c r="BT134" s="198"/>
      <c r="BU134" s="198"/>
      <c r="BV134" s="198"/>
      <c r="BW134" s="198"/>
      <c r="BX134" s="198"/>
      <c r="BY134" s="198"/>
      <c r="BZ134" s="198"/>
      <c r="CA134" s="198"/>
      <c r="CB134" s="198"/>
      <c r="CC134" s="198"/>
      <c r="CD134" s="198"/>
      <c r="CE134" s="198"/>
      <c r="CF134" s="198"/>
      <c r="CG134" s="198"/>
      <c r="CH134" s="198"/>
      <c r="CI134" s="175">
        <f>'NC State'!B67</f>
        <v>7497912.5799999963</v>
      </c>
      <c r="CJ134" s="174">
        <f>'NC State'!C67</f>
        <v>1</v>
      </c>
      <c r="CK134" s="175">
        <f>'Holiday Oil'!G72</f>
        <v>38561.74</v>
      </c>
      <c r="CL134" s="174">
        <f>'Holiday Oil'!H72</f>
        <v>2</v>
      </c>
      <c r="CM134" s="175">
        <f>SCLVX!B95</f>
        <v>25667.49</v>
      </c>
      <c r="CN134" s="174">
        <f>SCLVX!G95</f>
        <v>1</v>
      </c>
      <c r="CO134" s="175">
        <f>Stifel!B108</f>
        <v>2615636.3299999991</v>
      </c>
      <c r="CP134" s="174">
        <f>Stifel!K108</f>
        <v>1</v>
      </c>
      <c r="CQ134" s="175"/>
      <c r="CR134" s="174"/>
      <c r="CS134" s="175"/>
      <c r="CT134" s="174"/>
      <c r="CU134" s="174"/>
      <c r="CV134" s="174"/>
      <c r="CW134" s="174"/>
      <c r="CX134" s="174"/>
      <c r="CY134" s="174"/>
      <c r="CZ134" s="174"/>
      <c r="DA134" s="174"/>
      <c r="DB134" s="174"/>
      <c r="DC134" s="174"/>
      <c r="DD134" s="174"/>
      <c r="DE134" s="174"/>
      <c r="DF134" s="174"/>
      <c r="DG134" s="174"/>
      <c r="DH134" s="174"/>
    </row>
    <row r="135" spans="1:112">
      <c r="A135" s="38">
        <v>45322</v>
      </c>
      <c r="B135" s="7">
        <f t="shared" si="65"/>
        <v>1644327292.7699559</v>
      </c>
      <c r="C135" s="84">
        <f>P135+CN135+R135+AN135+AP135+AR135+AT135+AV135+AX135+AZ135+BB135+BD135+BH135+BJ135+CL135+CJ135+AJ135+V135+T135+BF135+AL135+X135+Z135</f>
        <v>6714</v>
      </c>
      <c r="D135" s="65">
        <f t="shared" si="67"/>
        <v>538300354.27999997</v>
      </c>
      <c r="E135" s="153">
        <f t="shared" si="56"/>
        <v>5</v>
      </c>
      <c r="F135" s="68">
        <f t="shared" si="70"/>
        <v>24876.84</v>
      </c>
      <c r="G135" s="170">
        <f t="shared" si="54"/>
        <v>1</v>
      </c>
      <c r="H135" s="67">
        <f t="shared" si="49"/>
        <v>170089415.34000003</v>
      </c>
      <c r="I135" s="115">
        <f t="shared" si="50"/>
        <v>2</v>
      </c>
      <c r="J135" s="73">
        <f>AM135+CQ135+AO135+DA135+U135+BE135+AQ135+W135+AU135+AW135+AY135+AS135</f>
        <v>586013946.78995621</v>
      </c>
      <c r="K135" s="99">
        <f t="shared" si="72"/>
        <v>5942</v>
      </c>
      <c r="L135" s="78">
        <f>BC135+CK135+DE135+CW135+AI135+S135+AK135+Y135+AA135+AC135+AE135+BK135+BM135+BO135+BQ135+BS135+BU135+BW135+BY135+CA135+CC135+BA135+AG135+CE135+CG135</f>
        <v>390270223.07000005</v>
      </c>
      <c r="M135" s="157">
        <f t="shared" si="69"/>
        <v>159</v>
      </c>
      <c r="O135" s="69">
        <f>SILVX!B142</f>
        <v>325904602.19</v>
      </c>
      <c r="P135" s="91">
        <f>SILVX!G142</f>
        <v>1</v>
      </c>
      <c r="Q135" s="70">
        <f>SGLIX!B87</f>
        <v>162527120.91000003</v>
      </c>
      <c r="R135" s="93">
        <f>SGLIX!G87</f>
        <v>1</v>
      </c>
      <c r="S135" s="71">
        <f>BOGIX!B36</f>
        <v>139042143.74000007</v>
      </c>
      <c r="T135" s="92">
        <f>BOGIX!G36</f>
        <v>1</v>
      </c>
      <c r="U135" s="75">
        <f>FoF!AD45</f>
        <v>7471945.049999997</v>
      </c>
      <c r="V135" s="94">
        <f>FoF!AE45</f>
        <v>2</v>
      </c>
      <c r="W135" s="75">
        <f>DYTA!J12</f>
        <v>67456898.099999994</v>
      </c>
      <c r="X135" s="94">
        <f>DYTA!K12</f>
        <v>1</v>
      </c>
      <c r="Y135" s="69">
        <f>SGLC!B12</f>
        <v>104115784.89999995</v>
      </c>
      <c r="Z135" s="91">
        <f>SGLC!G12</f>
        <v>1</v>
      </c>
      <c r="AA135" s="70"/>
      <c r="AB135" s="93"/>
      <c r="AC135" s="80"/>
      <c r="AD135" s="156"/>
      <c r="AE135" s="156"/>
      <c r="AF135" s="156"/>
      <c r="AG135" s="156"/>
      <c r="AH135" s="156"/>
      <c r="AI135" s="80">
        <f>HF!B39</f>
        <v>2842369.24</v>
      </c>
      <c r="AJ135" s="156">
        <f>HF!C39</f>
        <v>1</v>
      </c>
      <c r="AK135" s="80">
        <f>IB!S27</f>
        <v>69001664.710000008</v>
      </c>
      <c r="AL135" s="156">
        <f>IB!R27</f>
        <v>153</v>
      </c>
      <c r="AM135" s="76">
        <f>Schwab!S130</f>
        <v>179836230.49000239</v>
      </c>
      <c r="AN135" s="74">
        <f>Schwab!Q130</f>
        <v>3460</v>
      </c>
      <c r="AO135" s="75">
        <f>Fidelity!P135</f>
        <v>290329105.20995384</v>
      </c>
      <c r="AP135" s="94">
        <f>Fidelity!O135</f>
        <v>2293</v>
      </c>
      <c r="AQ135" s="75">
        <f>Empower!F25</f>
        <v>1305815.7800000007</v>
      </c>
      <c r="AR135" s="94">
        <f>Empower!E25</f>
        <v>38</v>
      </c>
      <c r="AS135" s="75">
        <v>11035197.090000013</v>
      </c>
      <c r="AT135" s="94">
        <v>605</v>
      </c>
      <c r="AU135" s="75">
        <v>4745914.7399999974</v>
      </c>
      <c r="AV135" s="94">
        <v>47</v>
      </c>
      <c r="AW135" s="75">
        <v>2563898.7399999993</v>
      </c>
      <c r="AX135" s="94">
        <v>42</v>
      </c>
      <c r="AY135" s="75">
        <v>15103020.560000001</v>
      </c>
      <c r="AZ135" s="94">
        <v>58</v>
      </c>
      <c r="BA135" s="69">
        <f>'TFA - Folio'!H140</f>
        <v>40371523.550000012</v>
      </c>
      <c r="BB135" s="40">
        <f>'TFA - Folio'!I135</f>
        <v>1</v>
      </c>
      <c r="BC135" s="80">
        <f>'TFA - Folio'!K140-('TFA - Folio'!L140+'TFA - Folio'!M140)</f>
        <v>34858011.120000005</v>
      </c>
      <c r="BD135" s="79">
        <f>'TFA - Folio'!N140</f>
        <v>1</v>
      </c>
      <c r="BE135" s="75">
        <f>'TFA - Folio'!O140-('TFA - Folio'!P140+'TFA - Folio'!Q140)</f>
        <v>6165921.0299999975</v>
      </c>
      <c r="BF135" s="94">
        <f>'TFA - Folio'!R140</f>
        <v>1</v>
      </c>
      <c r="BG135" s="69">
        <f>UNC!B98</f>
        <v>167762430.38</v>
      </c>
      <c r="BH135" s="40">
        <f>UNC!C98</f>
        <v>1</v>
      </c>
      <c r="BI135" s="69">
        <f>'Schwab LC'!D95</f>
        <v>4261798.1599999992</v>
      </c>
      <c r="BJ135" s="40">
        <f>'Schwab LC'!E95</f>
        <v>2</v>
      </c>
      <c r="CI135" s="179">
        <f>'NC State'!B68</f>
        <v>7562294.4300000006</v>
      </c>
      <c r="CJ135" s="176">
        <f>'NC State'!C68</f>
        <v>1</v>
      </c>
      <c r="CK135" s="179">
        <f>'Holiday Oil'!G73</f>
        <v>38725.810000000005</v>
      </c>
      <c r="CL135" s="176">
        <f>'Holiday Oil'!H73</f>
        <v>2</v>
      </c>
      <c r="CM135" s="179">
        <f>SCLVX!B96</f>
        <v>24876.84</v>
      </c>
      <c r="CN135" s="176">
        <f>SCLVX!G96</f>
        <v>1</v>
      </c>
    </row>
    <row r="136" spans="1:112">
      <c r="A136" s="38">
        <v>45351</v>
      </c>
      <c r="B136" s="7">
        <f t="shared" si="65"/>
        <v>1414823390.3643656</v>
      </c>
      <c r="C136" s="84">
        <f>P136+CN136+R136+AB136+AD136+AN136+AP136+AR136+AT136+AV136+AX136+AZ136+BB136+BD136+BH136+BJ136+CL136+CJ136+AJ136+V136+T136+BF136+AL136+X136+Z136</f>
        <v>6878</v>
      </c>
      <c r="D136" s="65">
        <f t="shared" si="67"/>
        <v>338279754.59000003</v>
      </c>
      <c r="E136" s="153">
        <f t="shared" si="56"/>
        <v>5</v>
      </c>
      <c r="F136" s="68">
        <f t="shared" si="70"/>
        <v>3585.81</v>
      </c>
      <c r="G136" s="170">
        <f t="shared" si="54"/>
        <v>1</v>
      </c>
      <c r="H136" s="67">
        <f t="shared" si="49"/>
        <v>166806048.96999994</v>
      </c>
      <c r="I136" s="115">
        <f t="shared" si="50"/>
        <v>2</v>
      </c>
      <c r="J136" s="73">
        <f t="shared" ref="J136:J149" si="73">AM136+CQ136+AO136+DA136+U136+BE136+AQ136+W136+AU136+AW136+AY136+AS136</f>
        <v>584173730.38436604</v>
      </c>
      <c r="K136" s="99">
        <f t="shared" si="72"/>
        <v>6048</v>
      </c>
      <c r="L136" s="78">
        <f t="shared" ref="L136:L139" si="74">BC136+CK136+DE136+CW136+AI136+S136+AK136+Y136+AA136+AC136+AE136+BK136+BM136+BO136+BQ136+BS136+BU136+BW136+BY136+CA136+CC136+BA136+AG136+CE136+CG136</f>
        <v>334393611.09000003</v>
      </c>
      <c r="M136" s="157">
        <f t="shared" si="69"/>
        <v>186</v>
      </c>
      <c r="O136" s="69">
        <f>SILVX!B143</f>
        <v>151718160.30000004</v>
      </c>
      <c r="P136" s="91">
        <f>SILVX!G143</f>
        <v>1</v>
      </c>
      <c r="Q136" s="70">
        <f>SGLIX!B88</f>
        <v>159039016.85999992</v>
      </c>
      <c r="R136" s="93">
        <f>SGLIX!G88</f>
        <v>1</v>
      </c>
      <c r="S136" s="71">
        <f>BOGIX!B37</f>
        <v>145015379.16000003</v>
      </c>
      <c r="T136" s="92">
        <f>BOGIX!G37</f>
        <v>1</v>
      </c>
      <c r="U136" s="75">
        <f>FoF!AD46</f>
        <v>7945096.7599999979</v>
      </c>
      <c r="V136" s="94">
        <f>FoF!AE46</f>
        <v>2</v>
      </c>
      <c r="W136" s="75">
        <f>DYTA!J13</f>
        <v>64448729.800000004</v>
      </c>
      <c r="X136" s="94">
        <f>DYTA!K13</f>
        <v>1</v>
      </c>
      <c r="Y136" s="69">
        <f>SGLC!B13</f>
        <v>96960235.800000012</v>
      </c>
      <c r="Z136" s="91">
        <f>SGLC!G13</f>
        <v>1</v>
      </c>
      <c r="AA136" s="70">
        <f>GINX!B2</f>
        <v>500718.35999999987</v>
      </c>
      <c r="AB136" s="93">
        <f>GINX!G2</f>
        <v>1</v>
      </c>
      <c r="AC136" s="80">
        <f>USDX!B2</f>
        <v>500000</v>
      </c>
      <c r="AD136" s="156">
        <f>USDX!G2</f>
        <v>1</v>
      </c>
      <c r="AE136" s="80"/>
      <c r="AF136" s="156"/>
      <c r="AG136" s="80"/>
      <c r="AH136" s="156"/>
      <c r="AI136" s="80">
        <f>HF!B40</f>
        <v>2882294.7</v>
      </c>
      <c r="AJ136" s="156">
        <f>HF!C40</f>
        <v>1</v>
      </c>
      <c r="AK136" s="80">
        <f>IB!S28</f>
        <v>78754489.139999986</v>
      </c>
      <c r="AL136" s="156">
        <f>IB!R28</f>
        <v>180</v>
      </c>
      <c r="AM136" s="76">
        <f>Schwab!S131</f>
        <v>177492106.06999683</v>
      </c>
      <c r="AN136" s="74">
        <f>Schwab!Q131</f>
        <v>3487</v>
      </c>
      <c r="AO136" s="75">
        <f>Fidelity!P136</f>
        <v>299475150.11436915</v>
      </c>
      <c r="AP136" s="94">
        <f>Fidelity!O136</f>
        <v>2369</v>
      </c>
      <c r="AQ136" s="75">
        <f>Empower!F26</f>
        <v>120002.5400000005</v>
      </c>
      <c r="AR136" s="94">
        <f>Empower!E26</f>
        <v>40</v>
      </c>
      <c r="AS136" s="75">
        <v>11259114.34</v>
      </c>
      <c r="AT136" s="94">
        <v>634</v>
      </c>
      <c r="AU136" s="75">
        <v>4745914.7399999974</v>
      </c>
      <c r="AV136" s="94">
        <v>47</v>
      </c>
      <c r="AW136" s="75">
        <v>2636545.0499999993</v>
      </c>
      <c r="AX136" s="94">
        <v>44</v>
      </c>
      <c r="AY136" s="75">
        <v>15826001.599999996</v>
      </c>
      <c r="AZ136" s="94">
        <v>57</v>
      </c>
      <c r="BA136" s="69">
        <f>'TFA - Folio'!H141</f>
        <v>8833340.4799999986</v>
      </c>
      <c r="BB136" s="40">
        <f>'TFA - Folio'!I136</f>
        <v>1</v>
      </c>
      <c r="BC136" s="80">
        <f>'TFA - Folio'!K141-('TFA - Folio'!L141+'TFA - Folio'!M141)</f>
        <v>946952.69000000006</v>
      </c>
      <c r="BD136" s="79">
        <f>'TFA - Folio'!N141</f>
        <v>1</v>
      </c>
      <c r="BE136" s="75">
        <f>'TFA - Folio'!O141-('TFA - Folio'!P141+'TFA - Folio'!Q141)</f>
        <v>225069.36999999988</v>
      </c>
      <c r="BF136" s="94">
        <f>'TFA - Folio'!R141</f>
        <v>1</v>
      </c>
      <c r="BG136" s="69">
        <f>UNC!B99</f>
        <v>173317135.44999999</v>
      </c>
      <c r="BH136" s="40">
        <f>UNC!C99</f>
        <v>1</v>
      </c>
      <c r="BI136" s="69">
        <f>'Schwab LC'!D96</f>
        <v>4411118.3599999994</v>
      </c>
      <c r="BJ136" s="40">
        <f>'Schwab LC'!E96</f>
        <v>2</v>
      </c>
      <c r="CI136" s="179">
        <f>'NC State'!B69</f>
        <v>7767032.1100000003</v>
      </c>
      <c r="CJ136" s="176">
        <f>'NC State'!C69</f>
        <v>1</v>
      </c>
      <c r="CK136" s="179">
        <f>'Holiday Oil'!G74</f>
        <v>200.76000000000002</v>
      </c>
      <c r="CL136" s="176">
        <f>'Holiday Oil'!H74</f>
        <v>2</v>
      </c>
      <c r="CM136" s="179">
        <f>SCLVX!B97</f>
        <v>3585.81</v>
      </c>
      <c r="CN136" s="176">
        <f>SCLVX!G97</f>
        <v>1</v>
      </c>
    </row>
    <row r="137" spans="1:112">
      <c r="A137" s="38">
        <v>45382</v>
      </c>
      <c r="B137" s="7">
        <f t="shared" si="65"/>
        <v>1429904097.2229731</v>
      </c>
      <c r="C137" s="84">
        <f>P137+CN137+R137+AB137+AD137+AN137+AP137+AR137+AT137+AV137+AX137+AZ137+BB137+BD137+BH137+BJ137+CL137+CJ137+AJ137+V137+T137+BF137+AL137+X137+Z137</f>
        <v>7085</v>
      </c>
      <c r="D137" s="65">
        <f t="shared" si="67"/>
        <v>396237883.13999987</v>
      </c>
      <c r="E137" s="153">
        <f t="shared" si="56"/>
        <v>5</v>
      </c>
      <c r="F137" s="68">
        <f t="shared" si="70"/>
        <v>3647.72</v>
      </c>
      <c r="G137" s="170">
        <f t="shared" si="54"/>
        <v>1</v>
      </c>
      <c r="H137" s="67">
        <f t="shared" si="49"/>
        <v>113891460.88000004</v>
      </c>
      <c r="I137" s="115">
        <f t="shared" si="50"/>
        <v>2</v>
      </c>
      <c r="J137" s="73">
        <f t="shared" si="73"/>
        <v>534434889.33297312</v>
      </c>
      <c r="K137" s="99">
        <f t="shared" si="72"/>
        <v>6203</v>
      </c>
      <c r="L137" s="78">
        <f t="shared" si="74"/>
        <v>385480621.52999997</v>
      </c>
      <c r="M137" s="157">
        <f t="shared" si="69"/>
        <v>194</v>
      </c>
      <c r="O137" s="69">
        <f>SILVX!B144</f>
        <v>212113501.93999997</v>
      </c>
      <c r="P137" s="91">
        <f>SILVX!G144</f>
        <v>1</v>
      </c>
      <c r="Q137" s="70">
        <f>SGLIX!B89</f>
        <v>105884485.57000004</v>
      </c>
      <c r="R137" s="93">
        <f>SGLIX!G89</f>
        <v>1</v>
      </c>
      <c r="S137" s="71">
        <f>BOGIX!B38</f>
        <v>124457301.53000002</v>
      </c>
      <c r="T137" s="92">
        <f>BOGIX!G38</f>
        <v>1</v>
      </c>
      <c r="U137" s="75">
        <f>FoF!AD47</f>
        <v>5246245.9699999839</v>
      </c>
      <c r="V137" s="94">
        <f>FoF!AE47</f>
        <v>2</v>
      </c>
      <c r="W137" s="75">
        <f>DYTA!J14</f>
        <v>38725651.279999994</v>
      </c>
      <c r="X137" s="94">
        <f>DYTA!K14</f>
        <v>1</v>
      </c>
      <c r="Y137" s="69">
        <f>SGLC!B14</f>
        <v>79820678.230000019</v>
      </c>
      <c r="Z137" s="91">
        <f>SGLC!G14</f>
        <v>1</v>
      </c>
      <c r="AA137" s="70">
        <f>GINX!B3</f>
        <v>50932807.210000001</v>
      </c>
      <c r="AB137" s="93">
        <f>GINX!G3</f>
        <v>1</v>
      </c>
      <c r="AC137" s="80">
        <f>USDX!B3</f>
        <v>45172645.07</v>
      </c>
      <c r="AD137" s="156">
        <f>USDX!G3</f>
        <v>1</v>
      </c>
      <c r="AE137" s="80"/>
      <c r="AF137" s="156"/>
      <c r="AG137" s="80"/>
      <c r="AH137" s="156"/>
      <c r="AI137" s="80">
        <f>HF!B41</f>
        <v>2948536.25</v>
      </c>
      <c r="AJ137" s="156">
        <f>HF!C41</f>
        <v>1</v>
      </c>
      <c r="AK137" s="80">
        <f>IB!S29</f>
        <v>81733897.98999998</v>
      </c>
      <c r="AL137" s="156">
        <f>IB!R29</f>
        <v>188</v>
      </c>
      <c r="AM137" s="76">
        <f>Schwab!S132</f>
        <v>161309955.63999903</v>
      </c>
      <c r="AN137" s="74">
        <f>Schwab!Q132</f>
        <v>3547</v>
      </c>
      <c r="AO137" s="75">
        <f>Fidelity!P137</f>
        <v>293705981.00297415</v>
      </c>
      <c r="AP137" s="94">
        <f>Fidelity!O137</f>
        <v>2467</v>
      </c>
      <c r="AQ137" s="75">
        <f>Empower!F27</f>
        <v>130737.71999999927</v>
      </c>
      <c r="AR137" s="94">
        <f>Empower!E27</f>
        <v>42</v>
      </c>
      <c r="AS137" s="75">
        <v>11635872.570000002</v>
      </c>
      <c r="AT137" s="94">
        <v>678</v>
      </c>
      <c r="AU137" s="75">
        <v>4745914.7399999974</v>
      </c>
      <c r="AV137" s="94">
        <v>47</v>
      </c>
      <c r="AW137" s="75">
        <v>2653020.86</v>
      </c>
      <c r="AX137" s="94">
        <v>39</v>
      </c>
      <c r="AY137" s="75">
        <v>16191343.469999997</v>
      </c>
      <c r="AZ137" s="94">
        <v>57</v>
      </c>
      <c r="BA137" s="69">
        <f>'TFA - Folio'!H142</f>
        <v>144405.38000000012</v>
      </c>
      <c r="BB137" s="40">
        <f>'TFA - Folio'!I137</f>
        <v>1</v>
      </c>
      <c r="BC137" s="80">
        <f>'TFA - Folio'!K142-('TFA - Folio'!L142+'TFA - Folio'!M142)</f>
        <v>270148.25</v>
      </c>
      <c r="BD137" s="79">
        <f>'TFA - Folio'!N142</f>
        <v>1</v>
      </c>
      <c r="BE137" s="75">
        <f>'TFA - Folio'!O142-('TFA - Folio'!P142+'TFA - Folio'!Q142)</f>
        <v>90166.079999999958</v>
      </c>
      <c r="BF137" s="94">
        <f>'TFA - Folio'!R142</f>
        <v>1</v>
      </c>
      <c r="BG137" s="69">
        <f>UNC!B100</f>
        <v>179413873.68999994</v>
      </c>
      <c r="BH137" s="40">
        <f>UNC!C100</f>
        <v>1</v>
      </c>
      <c r="BI137" s="69">
        <f>'Schwab LC'!D97</f>
        <v>4566102.13</v>
      </c>
      <c r="BJ137" s="40">
        <f>'Schwab LC'!E97</f>
        <v>2</v>
      </c>
      <c r="CI137" s="177">
        <f>'NC State'!B70</f>
        <v>8006975.3100000015</v>
      </c>
      <c r="CJ137" s="176">
        <f>'NC State'!C70</f>
        <v>1</v>
      </c>
      <c r="CK137" s="177">
        <f>'Holiday Oil'!G75</f>
        <v>201.62</v>
      </c>
      <c r="CL137" s="176">
        <f>'Holiday Oil'!H75</f>
        <v>2</v>
      </c>
      <c r="CM137" s="177">
        <f>SCLVX!B98</f>
        <v>3647.72</v>
      </c>
      <c r="CN137" s="176">
        <f>SCLVX!G98</f>
        <v>1</v>
      </c>
    </row>
    <row r="138" spans="1:112">
      <c r="A138" s="38">
        <v>45412</v>
      </c>
      <c r="B138" s="7">
        <f t="shared" si="65"/>
        <v>1408354300.5774169</v>
      </c>
      <c r="C138" s="84">
        <f>P138+CN138+R138+AB138+AD138+AN138+AP138+AR138+AT138+AV138+AX138+AZ138+BB138+BD138+BH138+BJ138+CL138+CJ138+AJ138+V138+T138+BF138+AL138+X138+Z138</f>
        <v>7282</v>
      </c>
      <c r="D138" s="65">
        <f t="shared" si="67"/>
        <v>380846292.59999996</v>
      </c>
      <c r="E138" s="153">
        <f t="shared" si="56"/>
        <v>5</v>
      </c>
      <c r="F138" s="68">
        <f t="shared" ref="F138:F149" si="75">CM138</f>
        <v>2369.46</v>
      </c>
      <c r="G138" s="170">
        <f t="shared" ref="G138:G149" si="76">CN138+CT138</f>
        <v>1</v>
      </c>
      <c r="H138" s="67">
        <f t="shared" si="49"/>
        <v>111542793.41999996</v>
      </c>
      <c r="I138" s="115">
        <f t="shared" si="50"/>
        <v>2</v>
      </c>
      <c r="J138" s="73">
        <f t="shared" si="73"/>
        <v>516688785.44741684</v>
      </c>
      <c r="K138" s="99">
        <f t="shared" si="72"/>
        <v>6374</v>
      </c>
      <c r="L138" s="78">
        <f t="shared" si="74"/>
        <v>399413553.23000002</v>
      </c>
      <c r="M138" s="157">
        <f t="shared" si="69"/>
        <v>199</v>
      </c>
      <c r="O138" s="69">
        <f>SILVX!B145</f>
        <v>204014269.30999997</v>
      </c>
      <c r="P138" s="91">
        <f>SILVX!G145</f>
        <v>1</v>
      </c>
      <c r="Q138" s="70">
        <f>SGLIX!B90</f>
        <v>103743792.28999996</v>
      </c>
      <c r="R138" s="93">
        <f>SGLIX!G90</f>
        <v>1</v>
      </c>
      <c r="S138" s="71">
        <f>BOGIX!B39</f>
        <v>116318139.89000006</v>
      </c>
      <c r="T138" s="92">
        <f>BOGIX!G39</f>
        <v>1</v>
      </c>
      <c r="U138" s="75">
        <f>FoF!AD48</f>
        <v>5177417.8400000036</v>
      </c>
      <c r="V138" s="94">
        <f>FoF!AE48</f>
        <v>2</v>
      </c>
      <c r="W138" s="75">
        <f>DYTA!J15</f>
        <v>36640439.370000005</v>
      </c>
      <c r="X138" s="94">
        <f>DYTA!K15</f>
        <v>1</v>
      </c>
      <c r="Y138" s="69">
        <f>SGLC!B15</f>
        <v>75824782.219999999</v>
      </c>
      <c r="Z138" s="91">
        <f>SGLC!G15</f>
        <v>1</v>
      </c>
      <c r="AA138" s="70">
        <f>GINX!B4</f>
        <v>52718518.43</v>
      </c>
      <c r="AB138" s="93">
        <f>GINX!G4</f>
        <v>1</v>
      </c>
      <c r="AC138" s="80">
        <f>USDX!B4</f>
        <v>78616272.760000005</v>
      </c>
      <c r="AD138" s="156">
        <f>USDX!G4</f>
        <v>1</v>
      </c>
      <c r="AE138" s="80"/>
      <c r="AF138" s="156"/>
      <c r="AG138" s="80"/>
      <c r="AH138" s="156"/>
      <c r="AI138" s="80">
        <f>HF!B42</f>
        <v>2612460.16</v>
      </c>
      <c r="AJ138" s="156">
        <f>HF!C42</f>
        <v>1</v>
      </c>
      <c r="AK138" s="80">
        <f>IB!S30</f>
        <v>72930838.24000001</v>
      </c>
      <c r="AL138" s="156">
        <f>IB!R30</f>
        <v>193</v>
      </c>
      <c r="AM138" s="76">
        <f>Schwab!S133</f>
        <v>154765632.23999965</v>
      </c>
      <c r="AN138" s="74">
        <f>Schwab!Q133</f>
        <v>3589</v>
      </c>
      <c r="AO138" s="75">
        <f>Fidelity!P138</f>
        <v>286474468.30741715</v>
      </c>
      <c r="AP138" s="94">
        <f>Fidelity!O138</f>
        <v>2594</v>
      </c>
      <c r="AQ138" s="75">
        <f>Empower!F28</f>
        <v>124204.38000000175</v>
      </c>
      <c r="AR138" s="94">
        <f>Empower!E28</f>
        <v>42</v>
      </c>
      <c r="AS138" s="75">
        <v>10261744.409999995</v>
      </c>
      <c r="AT138" s="94">
        <v>699</v>
      </c>
      <c r="AU138" s="75">
        <v>4745914.7399999974</v>
      </c>
      <c r="AV138" s="94">
        <v>47</v>
      </c>
      <c r="AW138" s="75">
        <v>2561943.2699999991</v>
      </c>
      <c r="AX138" s="94">
        <v>41</v>
      </c>
      <c r="AY138" s="75">
        <v>15859317.980000002</v>
      </c>
      <c r="AZ138" s="94">
        <v>57</v>
      </c>
      <c r="BA138" s="69">
        <f>'TFA - Folio'!H143</f>
        <v>139493.58000000007</v>
      </c>
      <c r="BB138" s="40">
        <f>'TFA - Folio'!I138</f>
        <v>1</v>
      </c>
      <c r="BC138" s="80">
        <f>'TFA - Folio'!K143-('TFA - Folio'!L143+'TFA - Folio'!M143)</f>
        <v>252845.51</v>
      </c>
      <c r="BD138" s="79">
        <f>'TFA - Folio'!N143</f>
        <v>1</v>
      </c>
      <c r="BE138" s="75">
        <f>'TFA - Folio'!O143-('TFA - Folio'!P143+'TFA - Folio'!Q143)</f>
        <v>77702.91</v>
      </c>
      <c r="BF138" s="94">
        <f>'TFA - Folio'!R143</f>
        <v>1</v>
      </c>
      <c r="BG138" s="69">
        <f>UNC!B101</f>
        <v>172318953.14999995</v>
      </c>
      <c r="BH138" s="40">
        <f>UNC!C101</f>
        <v>1</v>
      </c>
      <c r="BI138" s="69">
        <f>'Schwab LC'!D98</f>
        <v>4373576.5599999987</v>
      </c>
      <c r="BJ138" s="40">
        <f>'Schwab LC'!E98</f>
        <v>2</v>
      </c>
      <c r="CI138" s="177">
        <f>'NC State'!B71</f>
        <v>7799001.1300000008</v>
      </c>
      <c r="CJ138" s="176">
        <f>'NC State'!C71</f>
        <v>1</v>
      </c>
      <c r="CK138" s="177">
        <f>'Holiday Oil'!G76</f>
        <v>202.44</v>
      </c>
      <c r="CL138" s="176">
        <f>'Holiday Oil'!H76</f>
        <v>2</v>
      </c>
      <c r="CM138" s="177">
        <f>SCLVX!B99</f>
        <v>2369.46</v>
      </c>
      <c r="CN138" s="176">
        <f>SCLVX!G99</f>
        <v>1</v>
      </c>
    </row>
    <row r="139" spans="1:112">
      <c r="A139" s="38">
        <v>45443</v>
      </c>
      <c r="B139" s="7">
        <f t="shared" si="65"/>
        <v>1453083482.439256</v>
      </c>
      <c r="C139" s="84">
        <f>P139+CN139+R139+AB139+AD139+AN139+AP139+AR139+AT139+AV139+AX139+AZ139+BB139+BD139+BH139+BJ139+CL139+CJ139+AJ139+V139+T139+BF139+AL139+X139+Z139</f>
        <v>7506</v>
      </c>
      <c r="D139" s="65">
        <f t="shared" si="67"/>
        <v>393873468.54999995</v>
      </c>
      <c r="E139" s="153">
        <f t="shared" si="56"/>
        <v>5</v>
      </c>
      <c r="F139" s="68">
        <f t="shared" si="75"/>
        <v>-128.69</v>
      </c>
      <c r="G139" s="170">
        <f t="shared" si="76"/>
        <v>1</v>
      </c>
      <c r="H139" s="67">
        <f t="shared" si="49"/>
        <v>110651831.06000002</v>
      </c>
      <c r="I139" s="115">
        <f t="shared" si="50"/>
        <v>2</v>
      </c>
      <c r="J139" s="73">
        <f t="shared" si="73"/>
        <v>518136786.50925601</v>
      </c>
      <c r="K139" s="99">
        <f t="shared" si="72"/>
        <v>6520</v>
      </c>
      <c r="L139" s="78">
        <f t="shared" si="74"/>
        <v>430564434.02999997</v>
      </c>
      <c r="M139" s="157">
        <f t="shared" si="69"/>
        <v>199</v>
      </c>
      <c r="O139" s="69">
        <f>SILVX!B146</f>
        <v>210690035.57999995</v>
      </c>
      <c r="P139" s="91">
        <f>SILVX!G146</f>
        <v>1</v>
      </c>
      <c r="Q139" s="70">
        <f>SGLIX!B91</f>
        <v>105078720.04000002</v>
      </c>
      <c r="R139" s="93">
        <f>SGLIX!G91</f>
        <v>1</v>
      </c>
      <c r="S139" s="71">
        <f>BOGIX!B40</f>
        <v>121105132.50000001</v>
      </c>
      <c r="T139" s="92">
        <f>BOGIX!G40</f>
        <v>1</v>
      </c>
      <c r="U139" s="75">
        <f>FoF!AD49</f>
        <v>5935891.909999989</v>
      </c>
      <c r="V139" s="94">
        <f>FoF!AE49</f>
        <v>2</v>
      </c>
      <c r="W139" s="75">
        <f>DYTA!J16</f>
        <v>36641095.359999992</v>
      </c>
      <c r="X139" s="94">
        <f>DYTA!K16</f>
        <v>1</v>
      </c>
      <c r="Y139" s="69">
        <f>SGLC!B16</f>
        <v>82993981.590000018</v>
      </c>
      <c r="Z139" s="91">
        <f>SGLC!G16</f>
        <v>1</v>
      </c>
      <c r="AA139" s="70">
        <f>GINX!B5</f>
        <v>56751981.599999979</v>
      </c>
      <c r="AB139" s="93">
        <f>GINX!G5</f>
        <v>1</v>
      </c>
      <c r="AC139" s="80">
        <f>USDX!B5</f>
        <v>90769839.349999994</v>
      </c>
      <c r="AD139" s="156">
        <f>USDX!G5</f>
        <v>1</v>
      </c>
      <c r="AE139" s="80"/>
      <c r="AF139" s="156"/>
      <c r="AG139" s="80"/>
      <c r="AH139" s="156"/>
      <c r="AI139" s="80">
        <f>HF!B43</f>
        <v>2669075.1800000002</v>
      </c>
      <c r="AJ139" s="156">
        <f>HF!C43</f>
        <v>1</v>
      </c>
      <c r="AK139" s="80">
        <f>IB!S31</f>
        <v>75875682.559999943</v>
      </c>
      <c r="AL139" s="156">
        <f>IB!R31</f>
        <v>193</v>
      </c>
      <c r="AM139" s="76">
        <f>Schwab!S134</f>
        <v>151228231.60999751</v>
      </c>
      <c r="AN139" s="74">
        <f>Schwab!Q134</f>
        <v>3631</v>
      </c>
      <c r="AO139" s="75">
        <f>Fidelity!P139</f>
        <v>288427154.83439851</v>
      </c>
      <c r="AP139" s="94">
        <f>Fidelity!O139</f>
        <v>2697</v>
      </c>
      <c r="AQ139" s="75">
        <f>Empower!F29</f>
        <v>135889.96486000111</v>
      </c>
      <c r="AR139" s="94">
        <f>Empower!E29</f>
        <v>42</v>
      </c>
      <c r="AS139" s="75">
        <v>11751038.499999989</v>
      </c>
      <c r="AT139" s="94">
        <v>777</v>
      </c>
      <c r="AU139" s="75">
        <v>4745914.7399999974</v>
      </c>
      <c r="AV139" s="94">
        <v>47</v>
      </c>
      <c r="AW139" s="75">
        <v>2628993.7100000009</v>
      </c>
      <c r="AX139" s="94">
        <v>42</v>
      </c>
      <c r="AY139" s="75">
        <v>16611062.610000005</v>
      </c>
      <c r="AZ139" s="94">
        <v>57</v>
      </c>
      <c r="BA139" s="69">
        <f>'TFA - Folio'!H144</f>
        <v>142909.02000000002</v>
      </c>
      <c r="BB139" s="40">
        <f>'TFA - Folio'!I139</f>
        <v>1</v>
      </c>
      <c r="BC139" s="80">
        <f>'TFA - Folio'!K144-('TFA - Folio'!L144+'TFA - Folio'!M144)</f>
        <v>255628.93</v>
      </c>
      <c r="BD139" s="79">
        <f>'TFA - Folio'!N144</f>
        <v>1</v>
      </c>
      <c r="BE139" s="75">
        <f>'TFA - Folio'!O144-('TFA - Folio'!P144+'TFA - Folio'!Q144)</f>
        <v>31513.270000000004</v>
      </c>
      <c r="BF139" s="94">
        <f>'TFA - Folio'!R144</f>
        <v>1</v>
      </c>
      <c r="BG139" s="69">
        <f>UNC!B102</f>
        <v>178505014.97</v>
      </c>
      <c r="BH139" s="40">
        <f>UNC!C102</f>
        <v>1</v>
      </c>
      <c r="BI139" s="69">
        <f>'Schwab LC'!D99</f>
        <v>4535508.9800000004</v>
      </c>
      <c r="BJ139" s="40">
        <f>'Schwab LC'!E99</f>
        <v>2</v>
      </c>
      <c r="CI139" s="177">
        <f>'NC State'!B72</f>
        <v>5573111.0199999996</v>
      </c>
      <c r="CJ139" s="176">
        <f>'NC State'!C72</f>
        <v>1</v>
      </c>
      <c r="CK139" s="177">
        <f>'Holiday Oil'!G77</f>
        <v>203.3</v>
      </c>
      <c r="CL139" s="176">
        <f>'Holiday Oil'!H77</f>
        <v>2</v>
      </c>
      <c r="CM139" s="177">
        <f>SCLVX!B100</f>
        <v>-128.69</v>
      </c>
      <c r="CN139" s="176">
        <f>SCLVX!G100</f>
        <v>1</v>
      </c>
    </row>
    <row r="140" spans="1:112">
      <c r="A140" s="38">
        <v>45473</v>
      </c>
      <c r="B140" s="7">
        <f t="shared" si="65"/>
        <v>1431989500.0988154</v>
      </c>
      <c r="C140" s="84">
        <f>P140+R140+AB140+AD140+AN140+AP140+AR140+AT140+AV140+AX140+AZ140+BB140+BD140+BH140+BJ140+CL140+CJ140+AJ140+V140+T140+BF140+AL140+X140+Z140+AF140</f>
        <v>7793</v>
      </c>
      <c r="D140" s="65">
        <f t="shared" si="67"/>
        <v>338045389.10999995</v>
      </c>
      <c r="E140" s="153">
        <f t="shared" si="56"/>
        <v>5</v>
      </c>
      <c r="F140" s="68">
        <f t="shared" si="75"/>
        <v>0</v>
      </c>
      <c r="G140" s="170">
        <f t="shared" si="76"/>
        <v>0</v>
      </c>
      <c r="H140" s="67">
        <f t="shared" si="49"/>
        <v>111073036.52</v>
      </c>
      <c r="I140" s="115">
        <f t="shared" si="50"/>
        <v>2</v>
      </c>
      <c r="J140" s="73">
        <f t="shared" si="73"/>
        <v>539288813.45881581</v>
      </c>
      <c r="K140" s="99">
        <f t="shared" si="72"/>
        <v>6661</v>
      </c>
      <c r="L140" s="78">
        <f t="shared" ref="L140:L151" si="77">BC140+CK140+DE140+CW140+AI140+S140+AK140+Y140+AA140+AC140+AE140+BK140+BM140+BO140+BQ140+BS140+BU140+BW140+BY140+CA140+CC140+BA140+AG140+CE140+CG140</f>
        <v>443726726.47999996</v>
      </c>
      <c r="M140" s="157">
        <f t="shared" si="69"/>
        <v>201</v>
      </c>
      <c r="O140" s="69">
        <f>SILVX!B147</f>
        <v>212130364.19</v>
      </c>
      <c r="P140" s="91">
        <f>SILVX!G147</f>
        <v>1</v>
      </c>
      <c r="Q140" s="70">
        <f>SGLIX!B92</f>
        <v>105470926.98</v>
      </c>
      <c r="R140" s="93">
        <f>SGLIX!G92</f>
        <v>1</v>
      </c>
      <c r="S140" s="71">
        <f>BOGIX!B41</f>
        <v>118390787.51000001</v>
      </c>
      <c r="T140" s="92">
        <f>BOGIX!G41</f>
        <v>1</v>
      </c>
      <c r="U140" s="75">
        <f>FoF!AD50</f>
        <v>5208838.8100000024</v>
      </c>
      <c r="V140" s="94">
        <f>FoF!AE50</f>
        <v>2</v>
      </c>
      <c r="W140" s="75">
        <f>DYTA!J17</f>
        <v>32709192.300000001</v>
      </c>
      <c r="X140" s="94">
        <f>DYTA!K17</f>
        <v>1</v>
      </c>
      <c r="Y140" s="69">
        <f>SGLC!B17</f>
        <v>86253004.359999999</v>
      </c>
      <c r="Z140" s="91">
        <f>SGLC!G17</f>
        <v>1</v>
      </c>
      <c r="AA140" s="70">
        <f>GINX!B6</f>
        <v>60301102.409999989</v>
      </c>
      <c r="AB140" s="93">
        <f>GINX!G6</f>
        <v>1</v>
      </c>
      <c r="AC140" s="80">
        <f>USDX!B6</f>
        <v>96980283.330000013</v>
      </c>
      <c r="AD140" s="156">
        <f>USDX!G6</f>
        <v>1</v>
      </c>
      <c r="AE140" s="80">
        <f>QXQ!B2</f>
        <v>4785507.18</v>
      </c>
      <c r="AF140" s="156">
        <f>QXQ!G2</f>
        <v>1</v>
      </c>
      <c r="AG140" s="80"/>
      <c r="AH140" s="156"/>
      <c r="AI140" s="80">
        <f>HF!B44</f>
        <v>2164336.98</v>
      </c>
      <c r="AJ140" s="156">
        <f>HF!C44</f>
        <v>1</v>
      </c>
      <c r="AK140" s="80">
        <f>IB!S32</f>
        <v>74459847.579999954</v>
      </c>
      <c r="AL140" s="156">
        <f>IB!R32</f>
        <v>195</v>
      </c>
      <c r="AM140" s="76">
        <f>Schwab!S135</f>
        <v>159120340.55000305</v>
      </c>
      <c r="AN140" s="74">
        <f>Schwab!Q135</f>
        <v>3655</v>
      </c>
      <c r="AO140" s="75">
        <f>Fidelity!P140</f>
        <v>305979603.33881271</v>
      </c>
      <c r="AP140" s="94">
        <f>Fidelity!O140</f>
        <v>2813</v>
      </c>
      <c r="AQ140" s="75">
        <f>Empower!F30</f>
        <v>138200.52999999933</v>
      </c>
      <c r="AR140" s="94">
        <f>Empower!E30</f>
        <v>42</v>
      </c>
      <c r="AS140" s="75">
        <v>11611849.510000013</v>
      </c>
      <c r="AT140" s="94">
        <v>921</v>
      </c>
      <c r="AU140" s="75">
        <v>4745914.7399999974</v>
      </c>
      <c r="AV140" s="94">
        <v>47</v>
      </c>
      <c r="AW140" s="75">
        <v>2788068.7199999993</v>
      </c>
      <c r="AX140" s="94">
        <v>43</v>
      </c>
      <c r="AY140" s="75">
        <v>16954514.840000004</v>
      </c>
      <c r="AZ140" s="94">
        <v>57</v>
      </c>
      <c r="BA140" s="69">
        <f>'TFA - Folio'!H145</f>
        <v>144465.46999999997</v>
      </c>
      <c r="BB140" s="40">
        <f>'TFA - Folio'!I140</f>
        <v>1</v>
      </c>
      <c r="BC140" s="80">
        <f>'TFA - Folio'!K145-('TFA - Folio'!L145+'TFA - Folio'!M145)</f>
        <v>247187.53</v>
      </c>
      <c r="BD140" s="79">
        <f>'TFA - Folio'!N145</f>
        <v>1</v>
      </c>
      <c r="BE140" s="75">
        <f>'TFA - Folio'!O145-('TFA - Folio'!P145+'TFA - Folio'!Q145)</f>
        <v>32290.119999999995</v>
      </c>
      <c r="BF140" s="94">
        <f>'TFA - Folio'!R145</f>
        <v>1</v>
      </c>
      <c r="BG140" s="69">
        <f>UNC!B103</f>
        <v>121146111.05</v>
      </c>
      <c r="BH140" s="40">
        <f>UNC!C103</f>
        <v>1</v>
      </c>
      <c r="BI140" s="69">
        <f>'Schwab LC'!D100</f>
        <v>4624448.4000000004</v>
      </c>
      <c r="BJ140" s="40">
        <f>'Schwab LC'!E100</f>
        <v>2</v>
      </c>
      <c r="CI140" s="177">
        <f>'NC State'!B73</f>
        <v>5602109.5399999982</v>
      </c>
      <c r="CJ140" s="176">
        <f>'NC State'!C73</f>
        <v>1</v>
      </c>
      <c r="CK140" s="177">
        <f>'Holiday Oil'!G78</f>
        <v>204.13</v>
      </c>
      <c r="CL140" s="176">
        <f>'Holiday Oil'!H78</f>
        <v>2</v>
      </c>
      <c r="CM140" s="177">
        <v>0</v>
      </c>
    </row>
    <row r="141" spans="1:112">
      <c r="A141" s="38">
        <v>45504</v>
      </c>
      <c r="B141" s="7">
        <f t="shared" si="65"/>
        <v>1488086832.0467856</v>
      </c>
      <c r="C141" s="84">
        <f>P141+R141+AB141+AD141+AN141+AP141+AR141+AT141+AV141+AX141+AZ141+BB141+BD141+BH141+BJ141+CL141+CJ141+AJ141+V141+T141+BF141+AL141+X141+Z141+AF141</f>
        <v>8066</v>
      </c>
      <c r="D141" s="65">
        <f>O141+BG141+BI141</f>
        <v>352584226.20999992</v>
      </c>
      <c r="E141" s="153">
        <f>P141+BH141+BJ141</f>
        <v>4</v>
      </c>
      <c r="F141" s="68">
        <f t="shared" si="75"/>
        <v>0</v>
      </c>
      <c r="G141" s="170">
        <f t="shared" si="76"/>
        <v>0</v>
      </c>
      <c r="H141" s="67">
        <f t="shared" si="49"/>
        <v>110467618.74999999</v>
      </c>
      <c r="I141" s="115">
        <f t="shared" si="50"/>
        <v>2</v>
      </c>
      <c r="J141" s="73">
        <f t="shared" si="73"/>
        <v>542541095.03678632</v>
      </c>
      <c r="K141" s="99">
        <f t="shared" si="72"/>
        <v>6845</v>
      </c>
      <c r="L141" s="78">
        <f t="shared" si="77"/>
        <v>482493892.04999995</v>
      </c>
      <c r="M141" s="157">
        <f t="shared" si="69"/>
        <v>189</v>
      </c>
      <c r="O141" s="69">
        <f>SILVX!B148</f>
        <v>223204724.47999993</v>
      </c>
      <c r="P141" s="91">
        <f>SILVX!G148</f>
        <v>1</v>
      </c>
      <c r="Q141" s="70">
        <f>SGLIX!B93</f>
        <v>104721489.62999998</v>
      </c>
      <c r="R141" s="93">
        <f>SGLIX!G93</f>
        <v>1</v>
      </c>
      <c r="S141" s="71">
        <f>BOGIX!B42</f>
        <v>128413872.41999996</v>
      </c>
      <c r="T141" s="92">
        <f>BOGIX!G42</f>
        <v>1</v>
      </c>
      <c r="U141" s="75">
        <f>FoF!AD51</f>
        <v>6160925.0200000033</v>
      </c>
      <c r="V141" s="94">
        <f>FoF!AE51</f>
        <v>2</v>
      </c>
      <c r="W141" s="75">
        <f>DYTA!J18</f>
        <v>32991228.380000003</v>
      </c>
      <c r="X141" s="94">
        <f>DYTA!K18</f>
        <v>1</v>
      </c>
      <c r="Y141" s="69">
        <f>SGLC!B18</f>
        <v>90316113.62999998</v>
      </c>
      <c r="Z141" s="91">
        <f>SGLC!G18</f>
        <v>1</v>
      </c>
      <c r="AA141" s="70">
        <f>GINX!B7</f>
        <v>65974475.910000004</v>
      </c>
      <c r="AB141" s="93">
        <f>GINX!G7</f>
        <v>1</v>
      </c>
      <c r="AC141" s="80">
        <f>USDX!B7</f>
        <v>116158516.84999999</v>
      </c>
      <c r="AD141" s="156">
        <f>USDX!G7</f>
        <v>1</v>
      </c>
      <c r="AE141" s="80">
        <f>QXQ!B3</f>
        <v>9337704.7400000002</v>
      </c>
      <c r="AF141" s="156">
        <f>QXQ!G3</f>
        <v>1</v>
      </c>
      <c r="AG141" s="80"/>
      <c r="AH141" s="156"/>
      <c r="AI141" s="80">
        <f>HF!B45</f>
        <v>2196541.7999999998</v>
      </c>
      <c r="AJ141" s="156">
        <f>HF!C45</f>
        <v>1</v>
      </c>
      <c r="AK141" s="80">
        <f>IB!S33</f>
        <v>70096461.700000003</v>
      </c>
      <c r="AL141" s="156">
        <f>IB!R33</f>
        <v>183</v>
      </c>
      <c r="AM141" s="76">
        <f>Schwab!S136</f>
        <v>157049712.19000268</v>
      </c>
      <c r="AN141" s="74">
        <f>Schwab!Q136</f>
        <v>3715</v>
      </c>
      <c r="AO141" s="75">
        <f>Fidelity!P141</f>
        <v>310676844.09678358</v>
      </c>
      <c r="AP141" s="94">
        <f>Fidelity!O141</f>
        <v>2935</v>
      </c>
      <c r="AQ141" s="75">
        <f>Empower!F31</f>
        <v>138860.35999999801</v>
      </c>
      <c r="AR141" s="94">
        <f>Empower!E31</f>
        <v>44</v>
      </c>
      <c r="AS141" s="75">
        <v>10548148.290000008</v>
      </c>
      <c r="AT141" s="94">
        <v>1022</v>
      </c>
      <c r="AU141" s="75">
        <v>4745914.7399999974</v>
      </c>
      <c r="AV141" s="94">
        <v>47</v>
      </c>
      <c r="AW141" s="75">
        <v>2860838.3499999996</v>
      </c>
      <c r="AX141" s="94">
        <v>43</v>
      </c>
      <c r="AY141" s="75">
        <v>17368623.610000003</v>
      </c>
      <c r="AZ141" s="94">
        <v>57</v>
      </c>
      <c r="BA141" s="69">
        <f>'TFA - Folio'!H146</f>
        <v>0</v>
      </c>
      <c r="BB141" s="40">
        <f>'TFA - Folio'!I141</f>
        <v>1</v>
      </c>
      <c r="BC141" s="80">
        <f>'TFA - Folio'!K146-('TFA - Folio'!L146+'TFA - Folio'!M146)</f>
        <v>0</v>
      </c>
      <c r="BD141" s="79">
        <f>'TFA - Folio'!N146</f>
        <v>1</v>
      </c>
      <c r="BE141" s="75">
        <f>'TFA - Folio'!O146-('TFA - Folio'!P146+'TFA - Folio'!Q146)</f>
        <v>0</v>
      </c>
      <c r="BF141" s="94">
        <f>'TFA - Folio'!R146</f>
        <v>1</v>
      </c>
      <c r="BG141" s="69">
        <f>UNC!B104</f>
        <v>124623379.80999999</v>
      </c>
      <c r="BH141" s="40">
        <f>UNC!C104</f>
        <v>1</v>
      </c>
      <c r="BI141" s="69">
        <f>'Schwab LC'!D101</f>
        <v>4756121.92</v>
      </c>
      <c r="BJ141" s="40">
        <f>'Schwab LC'!E101</f>
        <v>2</v>
      </c>
      <c r="CI141" s="177">
        <f>'NC State'!B74</f>
        <v>5746129.1200000001</v>
      </c>
      <c r="CJ141" s="176">
        <f>'NC State'!C74</f>
        <v>1</v>
      </c>
      <c r="CK141" s="177">
        <f>'Holiday Oil'!G79</f>
        <v>205</v>
      </c>
      <c r="CL141" s="176">
        <f>'Holiday Oil'!H79</f>
        <v>2</v>
      </c>
      <c r="CM141" s="177">
        <v>0</v>
      </c>
    </row>
    <row r="142" spans="1:112">
      <c r="A142" s="38">
        <v>45535</v>
      </c>
      <c r="B142" s="7">
        <f t="shared" si="65"/>
        <v>1592234847.5684621</v>
      </c>
      <c r="C142" s="84">
        <f>P142+R142+AB142+AD142+AN142+AP142+AR142+AT142+AV142+AX142+AZ142+BB142+BD142+BH142+BJ142+CL142+CJ142+AJ142+V142+T142+BF142+AL142+X142+Z142+AF142+BL142+BN142+BP142+BR142+BT142</f>
        <v>8501</v>
      </c>
      <c r="D142" s="65">
        <f t="shared" ref="D142:D149" si="78">O142+BG142+BI142</f>
        <v>369017524.80000007</v>
      </c>
      <c r="E142" s="153">
        <f t="shared" ref="E142:E149" si="79">P142+BH142+BJ142</f>
        <v>4</v>
      </c>
      <c r="F142" s="68">
        <f t="shared" si="75"/>
        <v>0</v>
      </c>
      <c r="G142" s="170">
        <f t="shared" si="76"/>
        <v>0</v>
      </c>
      <c r="H142" s="67">
        <f t="shared" si="49"/>
        <v>114038682.05</v>
      </c>
      <c r="I142" s="115">
        <f t="shared" si="50"/>
        <v>2</v>
      </c>
      <c r="J142" s="73">
        <f t="shared" si="73"/>
        <v>542419301.62846267</v>
      </c>
      <c r="K142" s="99">
        <f t="shared" si="72"/>
        <v>6978</v>
      </c>
      <c r="L142" s="78">
        <f t="shared" si="77"/>
        <v>566759339.08999991</v>
      </c>
      <c r="M142" s="157">
        <f t="shared" si="69"/>
        <v>192</v>
      </c>
      <c r="O142" s="69">
        <f>SILVX!B149</f>
        <v>233312968.63999999</v>
      </c>
      <c r="P142" s="91">
        <f>SILVX!G149</f>
        <v>1</v>
      </c>
      <c r="Q142" s="70">
        <f>SGLIX!B94</f>
        <v>108081889.55</v>
      </c>
      <c r="R142" s="93">
        <f>SGLIX!G94</f>
        <v>1</v>
      </c>
      <c r="S142" s="71">
        <f>BOGIX!B43</f>
        <v>124782649.92999992</v>
      </c>
      <c r="T142" s="92">
        <f>BOGIX!G43</f>
        <v>1</v>
      </c>
      <c r="U142" s="75">
        <f>FoF!AD52</f>
        <v>6022274.709999986</v>
      </c>
      <c r="V142" s="94">
        <f>FoF!AE52</f>
        <v>2</v>
      </c>
      <c r="W142" s="75">
        <f>DYTA!J19</f>
        <v>33299492.180000015</v>
      </c>
      <c r="X142" s="94">
        <f>DYTA!K19</f>
        <v>1</v>
      </c>
      <c r="Y142" s="69">
        <f>SGLC!B19</f>
        <v>92267963.779999986</v>
      </c>
      <c r="Z142" s="91">
        <f>SGLC!G19</f>
        <v>1</v>
      </c>
      <c r="AA142" s="70">
        <f>GINX!B8</f>
        <v>68064874.660000011</v>
      </c>
      <c r="AB142" s="93">
        <f>GINX!G8</f>
        <v>1</v>
      </c>
      <c r="AC142" s="80">
        <f>USDX!B8</f>
        <v>128850266.07000001</v>
      </c>
      <c r="AD142" s="156">
        <f>USDX!G8</f>
        <v>1</v>
      </c>
      <c r="AE142" s="80">
        <f>QXQ!B4</f>
        <v>10528759.76</v>
      </c>
      <c r="AF142" s="156">
        <f>QXQ!G4</f>
        <v>1</v>
      </c>
      <c r="AG142" s="80"/>
      <c r="AH142" s="156"/>
      <c r="AI142" s="80">
        <f>HF!B46</f>
        <v>2109734.34</v>
      </c>
      <c r="AJ142" s="156">
        <f>HF!C46</f>
        <v>1</v>
      </c>
      <c r="AK142" s="80">
        <f>IB!S34</f>
        <v>85367877.760000035</v>
      </c>
      <c r="AL142" s="156">
        <f>IB!R34</f>
        <v>186</v>
      </c>
      <c r="AM142" s="76">
        <f>Schwab!S137</f>
        <v>159774686.07999822</v>
      </c>
      <c r="AN142" s="74">
        <f>Schwab!Q137</f>
        <v>3776</v>
      </c>
      <c r="AO142" s="75">
        <f>Fidelity!P142</f>
        <v>307672821.17846447</v>
      </c>
      <c r="AP142" s="94">
        <f>Fidelity!O142</f>
        <v>3006</v>
      </c>
      <c r="AQ142" s="75">
        <f>Empower!F32</f>
        <v>146678.23999999836</v>
      </c>
      <c r="AR142" s="94">
        <f>Empower!E32</f>
        <v>44</v>
      </c>
      <c r="AS142" s="75">
        <v>10097890.49999998</v>
      </c>
      <c r="AT142" s="94">
        <v>1058</v>
      </c>
      <c r="AU142" s="75">
        <v>4745914.7399999974</v>
      </c>
      <c r="AV142" s="94">
        <v>47</v>
      </c>
      <c r="AW142" s="75">
        <v>2962271.5799999991</v>
      </c>
      <c r="AX142" s="94">
        <v>44</v>
      </c>
      <c r="AY142" s="75">
        <v>17663967.549999993</v>
      </c>
      <c r="AZ142" s="94">
        <v>57</v>
      </c>
      <c r="BA142" s="196">
        <v>29117.14</v>
      </c>
      <c r="BB142" s="40">
        <f>'TFA - Folio'!I142</f>
        <v>1</v>
      </c>
      <c r="BC142" s="195">
        <v>243060.93</v>
      </c>
      <c r="BD142" s="79">
        <f>'TFA - Folio'!N147</f>
        <v>1</v>
      </c>
      <c r="BE142" s="194">
        <v>33304.870000000003</v>
      </c>
      <c r="BF142" s="94">
        <f>'TFA - Folio'!R147</f>
        <v>1</v>
      </c>
      <c r="BG142" s="69">
        <f>UNC!B105</f>
        <v>130759595.06000005</v>
      </c>
      <c r="BH142" s="40">
        <f>UNC!C105</f>
        <v>1</v>
      </c>
      <c r="BI142" s="69">
        <f>'Schwab LC'!D102</f>
        <v>4944961.0999999996</v>
      </c>
      <c r="BJ142" s="40">
        <f>'Schwab LC'!E102</f>
        <v>2</v>
      </c>
      <c r="BK142" s="200">
        <v>21061313.209999997</v>
      </c>
      <c r="BL142" s="199">
        <v>242</v>
      </c>
      <c r="BM142" s="200">
        <v>10429101.359999999</v>
      </c>
      <c r="BN142" s="199">
        <v>6</v>
      </c>
      <c r="BO142" s="200">
        <v>755443.33000000007</v>
      </c>
      <c r="BP142" s="199">
        <v>4</v>
      </c>
      <c r="BQ142" s="200">
        <v>306738.31</v>
      </c>
      <c r="BR142" s="199">
        <v>1</v>
      </c>
      <c r="BS142" s="200">
        <v>21962232.640000001</v>
      </c>
      <c r="BT142" s="199">
        <v>10</v>
      </c>
      <c r="BU142" s="200"/>
      <c r="BW142" s="200"/>
      <c r="BY142" s="200"/>
      <c r="CA142" s="200"/>
      <c r="CC142" s="200"/>
      <c r="CI142" s="177">
        <f>'NC State'!B75</f>
        <v>5956792.5</v>
      </c>
      <c r="CJ142" s="176">
        <f>'NC State'!C75</f>
        <v>1</v>
      </c>
      <c r="CK142" s="177">
        <f>'Holiday Oil'!G80</f>
        <v>205.87</v>
      </c>
      <c r="CL142" s="176">
        <f>'Holiday Oil'!H80</f>
        <v>2</v>
      </c>
      <c r="CM142" s="177">
        <v>0</v>
      </c>
    </row>
    <row r="143" spans="1:112">
      <c r="A143" s="38">
        <v>45565</v>
      </c>
      <c r="B143" s="7">
        <f t="shared" si="65"/>
        <v>1553038611.1328011</v>
      </c>
      <c r="C143" s="84">
        <f>P143+R143+AB143+AD143+AN143+AP143+AR143+AT143+AV143+AX143+AZ143+BB143+BD143+BH143+BJ143+CL143+AJ143+V143+T143+BF143+AL143+X143+Z143+AF143</f>
        <v>8394</v>
      </c>
      <c r="D143" s="65">
        <f t="shared" si="78"/>
        <v>369459136.29999977</v>
      </c>
      <c r="E143" s="153">
        <f t="shared" si="79"/>
        <v>4</v>
      </c>
      <c r="F143" s="68">
        <f t="shared" si="75"/>
        <v>0</v>
      </c>
      <c r="G143" s="170">
        <f t="shared" si="76"/>
        <v>0</v>
      </c>
      <c r="H143" s="67">
        <f t="shared" si="49"/>
        <v>107700624.52999997</v>
      </c>
      <c r="I143" s="115">
        <f t="shared" si="50"/>
        <v>1</v>
      </c>
      <c r="J143" s="73">
        <f t="shared" si="73"/>
        <v>546345349.83280134</v>
      </c>
      <c r="K143" s="99">
        <f t="shared" si="72"/>
        <v>7082</v>
      </c>
      <c r="L143" s="78">
        <f t="shared" si="77"/>
        <v>529533500.46999985</v>
      </c>
      <c r="M143" s="157">
        <f t="shared" si="69"/>
        <v>195</v>
      </c>
      <c r="O143" s="69">
        <f>SILVX!B150</f>
        <v>233168807.96999982</v>
      </c>
      <c r="P143" s="91">
        <f>SILVX!G150</f>
        <v>1</v>
      </c>
      <c r="Q143" s="70">
        <f>SGLIX!B95</f>
        <v>107700624.52999997</v>
      </c>
      <c r="R143" s="93">
        <f>SGLIX!G95</f>
        <v>1</v>
      </c>
      <c r="S143" s="71">
        <f>BOGIX!B44</f>
        <v>126291123.71999994</v>
      </c>
      <c r="T143" s="92">
        <f>BOGIX!G44</f>
        <v>1</v>
      </c>
      <c r="U143" s="75">
        <f>FoF!AD53</f>
        <v>5945042.5200000107</v>
      </c>
      <c r="V143" s="94">
        <f>FoF!AE53</f>
        <v>2</v>
      </c>
      <c r="W143" s="75">
        <f>DYTA!J20</f>
        <v>33403647.099999994</v>
      </c>
      <c r="X143" s="94">
        <f>DYTA!K20</f>
        <v>1</v>
      </c>
      <c r="Y143" s="69">
        <f>SGLC!B20</f>
        <v>99056140.649999976</v>
      </c>
      <c r="Z143" s="91">
        <f>SGLC!G20</f>
        <v>1</v>
      </c>
      <c r="AA143" s="70">
        <f>GINX!B9</f>
        <v>70351254.430000007</v>
      </c>
      <c r="AB143" s="93">
        <f>GINX!G9</f>
        <v>1</v>
      </c>
      <c r="AC143" s="80">
        <f>USDX!B9</f>
        <v>136855364.25999999</v>
      </c>
      <c r="AD143" s="156">
        <f>USDX!G9</f>
        <v>1</v>
      </c>
      <c r="AE143" s="80">
        <f>QXQ!B5</f>
        <v>12255220.24</v>
      </c>
      <c r="AF143" s="156">
        <f>QXQ!G5</f>
        <v>1</v>
      </c>
      <c r="AG143" s="80"/>
      <c r="AH143" s="156"/>
      <c r="AI143" s="80">
        <f>HF!B47</f>
        <v>2132212.34</v>
      </c>
      <c r="AJ143" s="156">
        <f>HF!C47</f>
        <v>1</v>
      </c>
      <c r="AK143" s="80">
        <f>IB!S35</f>
        <v>82319800.069999978</v>
      </c>
      <c r="AL143" s="156">
        <f>IB!R35</f>
        <v>189</v>
      </c>
      <c r="AM143" s="76">
        <f>Schwab!S138</f>
        <v>159577271.49999768</v>
      </c>
      <c r="AN143" s="74">
        <f>Schwab!Q138</f>
        <v>3812</v>
      </c>
      <c r="AO143" s="75">
        <f>Fidelity!P143</f>
        <v>312415907.12280375</v>
      </c>
      <c r="AP143" s="94">
        <f>Fidelity!O143</f>
        <v>3073</v>
      </c>
      <c r="AQ143" s="75">
        <f>Empower!F33</f>
        <v>154018.03000000259</v>
      </c>
      <c r="AR143" s="94">
        <f>Empower!E33</f>
        <v>44</v>
      </c>
      <c r="AS143" s="75">
        <v>8689220.8099999987</v>
      </c>
      <c r="AT143" s="94">
        <v>1108</v>
      </c>
      <c r="AU143" s="75">
        <v>4745914.7399999974</v>
      </c>
      <c r="AV143" s="94">
        <v>47</v>
      </c>
      <c r="AW143" s="75">
        <v>2994056.6800000006</v>
      </c>
      <c r="AX143" s="94">
        <v>44</v>
      </c>
      <c r="AY143" s="75">
        <v>18386966.460000005</v>
      </c>
      <c r="AZ143" s="94">
        <v>58</v>
      </c>
      <c r="BA143" s="69">
        <f>'TFA - Folio'!H148</f>
        <v>29117.139999999898</v>
      </c>
      <c r="BB143" s="40">
        <f>'TFA - Folio'!I143</f>
        <v>1</v>
      </c>
      <c r="BC143" s="80">
        <f>'TFA - Folio'!K148-('TFA - Folio'!L148+'TFA - Folio'!M148)</f>
        <v>243060.93</v>
      </c>
      <c r="BD143" s="79">
        <f>'TFA - Folio'!N148</f>
        <v>1</v>
      </c>
      <c r="BE143" s="75">
        <f>'TFA - Folio'!O148-('TFA - Folio'!P148+'TFA - Folio'!Q148)</f>
        <v>33304.87000000001</v>
      </c>
      <c r="BF143" s="94">
        <f>'TFA - Folio'!R148</f>
        <v>1</v>
      </c>
      <c r="BG143" s="69">
        <f>UNC!B106</f>
        <v>131342775.61999996</v>
      </c>
      <c r="BH143" s="40">
        <f>UNC!C106</f>
        <v>1</v>
      </c>
      <c r="BI143" s="69">
        <f>'Schwab LC'!D103</f>
        <v>4947552.71</v>
      </c>
      <c r="BJ143" s="40">
        <f>'Schwab LC'!E103</f>
        <v>2</v>
      </c>
      <c r="BK143" s="200"/>
      <c r="BM143" s="200"/>
      <c r="BO143" s="200"/>
      <c r="BQ143" s="200"/>
      <c r="BS143" s="200"/>
      <c r="BU143" s="200"/>
      <c r="BW143" s="200"/>
      <c r="BY143" s="200"/>
      <c r="CA143" s="200"/>
      <c r="CC143" s="200"/>
      <c r="CK143" s="179">
        <f>'Holiday Oil'!G81</f>
        <v>206.69</v>
      </c>
      <c r="CL143" s="176">
        <f>'Holiday Oil'!H81</f>
        <v>2</v>
      </c>
      <c r="CM143" s="177">
        <v>0</v>
      </c>
    </row>
    <row r="144" spans="1:112">
      <c r="A144" s="38">
        <v>45596</v>
      </c>
      <c r="B144" s="7">
        <f t="shared" si="65"/>
        <v>1613705823.3563561</v>
      </c>
      <c r="C144" s="84">
        <f>P144+R144+AB144+AD144+AN144+AP144+AR144+AT144+AV144+AX144+AZ144+BB144+BD144+BH144+BJ144+CL144+AJ144+V144+T144+BF144+AL144+X144+Z144+AF144</f>
        <v>8556</v>
      </c>
      <c r="D144" s="65">
        <f t="shared" si="78"/>
        <v>357784079.2700001</v>
      </c>
      <c r="E144" s="153">
        <f t="shared" si="79"/>
        <v>4</v>
      </c>
      <c r="F144" s="68">
        <f t="shared" si="75"/>
        <v>0</v>
      </c>
      <c r="G144" s="170">
        <f t="shared" si="76"/>
        <v>0</v>
      </c>
      <c r="H144" s="67">
        <f t="shared" si="49"/>
        <v>104030136.49000001</v>
      </c>
      <c r="I144" s="115">
        <f t="shared" si="50"/>
        <v>1</v>
      </c>
      <c r="J144" s="73">
        <f t="shared" si="73"/>
        <v>515878131.0763557</v>
      </c>
      <c r="K144" s="99">
        <f t="shared" si="72"/>
        <v>7187</v>
      </c>
      <c r="L144" s="78">
        <f t="shared" si="77"/>
        <v>636013476.51999998</v>
      </c>
      <c r="M144" s="157">
        <f t="shared" si="69"/>
        <v>202</v>
      </c>
      <c r="O144" s="69">
        <f>SILVX!B151</f>
        <v>225534728.34000006</v>
      </c>
      <c r="P144" s="91">
        <f>SILVX!G151</f>
        <v>1</v>
      </c>
      <c r="Q144" s="70">
        <f>SGLIX!B96</f>
        <v>104030136.49000001</v>
      </c>
      <c r="R144" s="93">
        <f>SGLIX!G96</f>
        <v>1</v>
      </c>
      <c r="S144" s="71">
        <f>BOGIX!B45</f>
        <v>122800758.47000003</v>
      </c>
      <c r="T144" s="92">
        <f>BOGIX!G45</f>
        <v>1</v>
      </c>
      <c r="U144" s="75">
        <f>FoF!AD54</f>
        <v>5999052.9200000018</v>
      </c>
      <c r="V144" s="94">
        <f>FoF!AE54</f>
        <v>2</v>
      </c>
      <c r="W144" s="75">
        <f>DYTA!J21</f>
        <v>32878722.519999988</v>
      </c>
      <c r="X144" s="94">
        <f>DYTA!K21</f>
        <v>1</v>
      </c>
      <c r="Y144" s="69">
        <f>SGLC!B21</f>
        <v>92763854.740000024</v>
      </c>
      <c r="Z144" s="91">
        <f>SGLC!G21</f>
        <v>1</v>
      </c>
      <c r="AA144" s="70">
        <f>GINX!B10</f>
        <v>69154544.439999983</v>
      </c>
      <c r="AB144" s="93">
        <f>GINX!G10</f>
        <v>1</v>
      </c>
      <c r="AC144" s="80">
        <f>USDX!B10</f>
        <v>152078985.91999999</v>
      </c>
      <c r="AD144" s="156">
        <f>USDX!G10</f>
        <v>1</v>
      </c>
      <c r="AE144" s="80">
        <f>QXQ!B6</f>
        <v>13748972.100000001</v>
      </c>
      <c r="AF144" s="156">
        <f>QXQ!G6</f>
        <v>1</v>
      </c>
      <c r="AG144" s="80"/>
      <c r="AH144" s="156"/>
      <c r="AI144" s="80">
        <f>HF!B48</f>
        <v>1874852.07</v>
      </c>
      <c r="AJ144" s="156">
        <f>HF!C48</f>
        <v>1</v>
      </c>
      <c r="AK144" s="80">
        <f>IB!S36</f>
        <v>75673338.000000015</v>
      </c>
      <c r="AL144" s="156">
        <f>IB!R36</f>
        <v>196</v>
      </c>
      <c r="AM144" s="76">
        <f>Schwab!S139</f>
        <v>156219899.85999864</v>
      </c>
      <c r="AN144" s="74">
        <f>Schwab!Q139</f>
        <v>3865</v>
      </c>
      <c r="AO144" s="75">
        <f>Fidelity!P144</f>
        <v>286085819.64635706</v>
      </c>
      <c r="AP144" s="94">
        <f>Fidelity!O144</f>
        <v>3125</v>
      </c>
      <c r="AQ144" s="75">
        <f>Empower!F34</f>
        <v>144616.74</v>
      </c>
      <c r="AR144" s="94">
        <f>Empower!E34</f>
        <v>45</v>
      </c>
      <c r="AS144" s="75">
        <v>8253066.8999999994</v>
      </c>
      <c r="AT144" s="94">
        <v>1158</v>
      </c>
      <c r="AU144" s="75">
        <v>4745914.7399999974</v>
      </c>
      <c r="AV144" s="94">
        <v>47</v>
      </c>
      <c r="AW144" s="75">
        <v>3053360.3</v>
      </c>
      <c r="AX144" s="94">
        <v>43</v>
      </c>
      <c r="AY144" s="75">
        <v>18464372.580000002</v>
      </c>
      <c r="AZ144" s="94">
        <v>58</v>
      </c>
      <c r="BA144" s="69">
        <f>'TFA - Folio'!H149</f>
        <v>0</v>
      </c>
      <c r="BB144" s="40">
        <f>'TFA - Folio'!I144</f>
        <v>1</v>
      </c>
      <c r="BC144" s="80">
        <f>'TFA - Folio'!K149-('TFA - Folio'!L149+'TFA - Folio'!M149)</f>
        <v>243060.93</v>
      </c>
      <c r="BD144" s="79">
        <f>'TFA - Folio'!N149</f>
        <v>1</v>
      </c>
      <c r="BE144" s="75">
        <f>'TFA - Folio'!O149-('TFA - Folio'!P149+'TFA - Folio'!Q149)</f>
        <v>33304.87000000001</v>
      </c>
      <c r="BF144" s="94">
        <f>'TFA - Folio'!R149</f>
        <v>1</v>
      </c>
      <c r="BG144" s="69">
        <f>UNC!B107</f>
        <v>127550011.19</v>
      </c>
      <c r="BH144" s="40">
        <f>UNC!C107</f>
        <v>1</v>
      </c>
      <c r="BI144" s="69">
        <f>'Schwab LC'!D104</f>
        <v>4699339.74</v>
      </c>
      <c r="BJ144" s="40">
        <f>'Schwab LC'!E104</f>
        <v>2</v>
      </c>
      <c r="BK144" s="200">
        <v>20474658.709999971</v>
      </c>
      <c r="BL144" s="199">
        <v>240</v>
      </c>
      <c r="BM144" s="200">
        <v>10520749.41</v>
      </c>
      <c r="BN144" s="199">
        <v>6</v>
      </c>
      <c r="BO144" s="200">
        <v>456051.42</v>
      </c>
      <c r="BP144" s="199">
        <v>2</v>
      </c>
      <c r="BQ144" s="200">
        <v>315448.25</v>
      </c>
      <c r="BR144" s="199">
        <v>1</v>
      </c>
      <c r="BS144" s="200">
        <v>27928994.870000005</v>
      </c>
      <c r="BT144" s="199">
        <v>12</v>
      </c>
      <c r="BU144" s="200"/>
      <c r="BW144" s="200">
        <v>47979207.190000005</v>
      </c>
      <c r="BX144" s="199">
        <v>6</v>
      </c>
      <c r="BY144" s="200"/>
      <c r="CA144" s="200"/>
      <c r="CC144" s="200"/>
      <c r="CK144" s="179">
        <f>'Holiday Oil'!G82</f>
        <v>0</v>
      </c>
      <c r="CL144" s="176">
        <f>'Holiday Oil'!H82</f>
        <v>2</v>
      </c>
      <c r="CM144" s="177">
        <v>0</v>
      </c>
    </row>
    <row r="145" spans="1:112">
      <c r="A145" s="38">
        <v>45626</v>
      </c>
      <c r="B145" s="7">
        <f t="shared" si="65"/>
        <v>1721706917.3047485</v>
      </c>
      <c r="C145" s="84">
        <f>P145+R145+AB145+AD145+AN145+AP145+AR145+AT145+AV145+AX145+AZ145+BB145+BD145+BH145+BJ145+CL145+AJ145+V145+T145+BF145+AL145+X145+Z145+AF145</f>
        <v>8719</v>
      </c>
      <c r="D145" s="65">
        <f t="shared" si="78"/>
        <v>383597868.22000003</v>
      </c>
      <c r="E145" s="153">
        <f t="shared" si="79"/>
        <v>4</v>
      </c>
      <c r="F145" s="68">
        <f t="shared" si="75"/>
        <v>0</v>
      </c>
      <c r="G145" s="170">
        <f t="shared" si="76"/>
        <v>0</v>
      </c>
      <c r="H145" s="67">
        <f t="shared" si="49"/>
        <v>108499335.91000003</v>
      </c>
      <c r="I145" s="115">
        <f t="shared" si="50"/>
        <v>1</v>
      </c>
      <c r="J145" s="73">
        <f t="shared" si="73"/>
        <v>542791286.58474851</v>
      </c>
      <c r="K145" s="99">
        <f t="shared" si="72"/>
        <v>7291</v>
      </c>
      <c r="L145" s="78">
        <f t="shared" si="77"/>
        <v>686818426.58999991</v>
      </c>
      <c r="M145" s="157">
        <f t="shared" si="69"/>
        <v>194</v>
      </c>
      <c r="O145" s="69">
        <f>SILVX!B152</f>
        <v>242016458.05000004</v>
      </c>
      <c r="P145" s="91">
        <f>SILVX!G152</f>
        <v>1</v>
      </c>
      <c r="Q145" s="70">
        <f>SGLIX!B97</f>
        <v>108499335.91000003</v>
      </c>
      <c r="R145" s="93">
        <f>SGLIX!G97</f>
        <v>1</v>
      </c>
      <c r="S145" s="71">
        <f>BOGIX!B46</f>
        <v>133754741.04000001</v>
      </c>
      <c r="T145" s="92">
        <f>BOGIX!G46</f>
        <v>1</v>
      </c>
      <c r="U145" s="75">
        <f>FoF!AD55</f>
        <v>6744937.3200000077</v>
      </c>
      <c r="V145" s="94">
        <f>FoF!AE55</f>
        <v>2</v>
      </c>
      <c r="W145" s="75">
        <f>DYTA!J22</f>
        <v>31747739.880000003</v>
      </c>
      <c r="X145" s="94">
        <f>DYTA!K22</f>
        <v>1</v>
      </c>
      <c r="Y145" s="69">
        <f>SGLC!B22</f>
        <v>98228609.310000017</v>
      </c>
      <c r="Z145" s="91">
        <f>SGLC!G22</f>
        <v>1</v>
      </c>
      <c r="AA145" s="70">
        <f>GINX!B11</f>
        <v>72806721.349999994</v>
      </c>
      <c r="AB145" s="93">
        <f>GINX!G11</f>
        <v>1</v>
      </c>
      <c r="AC145" s="80">
        <f>USDX!B11</f>
        <v>165396274.81999999</v>
      </c>
      <c r="AD145" s="156">
        <f>USDX!G11</f>
        <v>1</v>
      </c>
      <c r="AE145" s="80">
        <f>QXQ!B7</f>
        <v>18077569.77</v>
      </c>
      <c r="AF145" s="156">
        <f>QXQ!G7</f>
        <v>1</v>
      </c>
      <c r="AG145" s="80"/>
      <c r="AH145" s="156"/>
      <c r="AI145" s="80">
        <f>HF!B49</f>
        <v>1889188.8</v>
      </c>
      <c r="AJ145" s="156">
        <f>HF!C49</f>
        <v>1</v>
      </c>
      <c r="AK145" s="80">
        <f>IB!S37</f>
        <v>86060931.530000001</v>
      </c>
      <c r="AL145" s="156">
        <f>IB!R37</f>
        <v>188</v>
      </c>
      <c r="AM145" s="76">
        <f>Schwab!S140</f>
        <v>166088661.53000265</v>
      </c>
      <c r="AN145" s="74">
        <f>Schwab!Q140</f>
        <v>3926</v>
      </c>
      <c r="AO145" s="75">
        <f>Fidelity!P145</f>
        <v>302518434.1947459</v>
      </c>
      <c r="AP145" s="94">
        <f>Fidelity!O145</f>
        <v>3166</v>
      </c>
      <c r="AQ145" s="75">
        <f>Empower!F35</f>
        <v>164902.15</v>
      </c>
      <c r="AR145" s="94">
        <f>Empower!E35</f>
        <v>47</v>
      </c>
      <c r="AS145" s="75">
        <v>8360645.0900000026</v>
      </c>
      <c r="AT145" s="94">
        <v>1225</v>
      </c>
      <c r="AU145" s="75">
        <v>4745914.7399999974</v>
      </c>
      <c r="AV145" s="94">
        <v>47</v>
      </c>
      <c r="AW145" s="75">
        <v>3007487.3700000006</v>
      </c>
      <c r="AX145" s="94">
        <v>43</v>
      </c>
      <c r="AY145" s="75">
        <v>19412564.309999995</v>
      </c>
      <c r="AZ145" s="94">
        <v>58</v>
      </c>
      <c r="BA145" s="69">
        <f>'TFA - Folio'!H150</f>
        <v>0</v>
      </c>
      <c r="BB145" s="40">
        <f>'TFA - Folio'!I145</f>
        <v>1</v>
      </c>
      <c r="BC145" s="80">
        <f>'TFA - Folio'!K150-('TFA - Folio'!L150+'TFA - Folio'!M150)</f>
        <v>0</v>
      </c>
      <c r="BD145" s="79">
        <f>'TFA - Folio'!N150</f>
        <v>1</v>
      </c>
      <c r="BE145" s="75">
        <f>'TFA - Folio'!O150-('TFA - Folio'!P150+'TFA - Folio'!Q150)</f>
        <v>0</v>
      </c>
      <c r="BF145" s="94">
        <f>'TFA - Folio'!R150</f>
        <v>1</v>
      </c>
      <c r="BG145" s="69">
        <f>UNC!B108</f>
        <v>136563843.64999998</v>
      </c>
      <c r="BH145" s="40">
        <f>UNC!C108</f>
        <v>1</v>
      </c>
      <c r="BI145" s="69">
        <f>'Schwab LC'!D105</f>
        <v>5017566.5199999996</v>
      </c>
      <c r="BJ145" s="40">
        <f>'Schwab LC'!E105</f>
        <v>2</v>
      </c>
      <c r="BK145" s="200">
        <v>20417698.719999973</v>
      </c>
      <c r="BL145" s="199">
        <v>239</v>
      </c>
      <c r="BM145" s="200">
        <v>10676006.41</v>
      </c>
      <c r="BN145" s="199">
        <v>6</v>
      </c>
      <c r="BO145" s="200">
        <v>530571.13</v>
      </c>
      <c r="BP145" s="199">
        <v>2</v>
      </c>
      <c r="BQ145" s="200">
        <v>315448.25</v>
      </c>
      <c r="BR145" s="199">
        <v>1</v>
      </c>
      <c r="BS145" s="200">
        <v>27928994.870000005</v>
      </c>
      <c r="BT145" s="199">
        <v>12</v>
      </c>
      <c r="BU145" s="200">
        <v>2756463.4000000004</v>
      </c>
      <c r="BV145" s="199">
        <v>6</v>
      </c>
      <c r="BW145" s="200">
        <v>47979207.190000005</v>
      </c>
      <c r="BX145" s="199">
        <v>6</v>
      </c>
      <c r="BY145" s="200"/>
      <c r="CA145" s="200"/>
      <c r="CC145" s="200"/>
      <c r="CK145" s="179">
        <f>'Holiday Oil'!G83</f>
        <v>0</v>
      </c>
      <c r="CL145" s="176">
        <f>'Holiday Oil'!H83</f>
        <v>2</v>
      </c>
      <c r="CM145" s="177">
        <v>0</v>
      </c>
    </row>
    <row r="146" spans="1:112" s="140" customFormat="1">
      <c r="A146" s="116">
        <v>45657</v>
      </c>
      <c r="B146" s="117">
        <f t="shared" ref="B146:B152" si="80">O146+Q146+S146+U146+W146+Y146+AA146+AC146+AE146+AG146+AI146+AK146+AM146+AO146+AQ146+AS146+AU146+AW146+AY146+BA146+BC146+BE146+BG146+BI146+BK146+BM146+BO146+BQ146+BS146+BU146+BW146+BY146+CA146+CC146+CE146+CG146+CI146+CK146+CM146+CO146+CQ146+CS146+CU146+CW146+CY146+DA146+DC146+DE146+DG146</f>
        <v>1683003415.6515696</v>
      </c>
      <c r="C146" s="118">
        <f>P146+R146+AB146+AD146+AN146+AP146+AR146+AT146+AV146+AX146+AZ146+BB146+BD146+BH146+BJ146+CL146+AJ146+V146+T146+BF146+AL146+X146+Z146+AF146+BL146+BN146+BP146+BR146+BT146+BV146+BX146+BZ146+CB146+CD146</f>
        <v>9448</v>
      </c>
      <c r="D146" s="119">
        <f t="shared" si="78"/>
        <v>361056955.63999993</v>
      </c>
      <c r="E146" s="154">
        <f t="shared" si="79"/>
        <v>3</v>
      </c>
      <c r="F146" s="121">
        <f t="shared" si="75"/>
        <v>0</v>
      </c>
      <c r="G146" s="184">
        <f t="shared" si="76"/>
        <v>0</v>
      </c>
      <c r="H146" s="123">
        <f t="shared" si="49"/>
        <v>103893919.96000001</v>
      </c>
      <c r="I146" s="149">
        <f t="shared" si="50"/>
        <v>1</v>
      </c>
      <c r="J146" s="125">
        <f t="shared" si="73"/>
        <v>532216809.61156923</v>
      </c>
      <c r="K146" s="126">
        <f t="shared" si="72"/>
        <v>7696</v>
      </c>
      <c r="L146" s="127">
        <f t="shared" si="77"/>
        <v>685835730.44000006</v>
      </c>
      <c r="M146" s="185">
        <f t="shared" si="69"/>
        <v>191</v>
      </c>
      <c r="N146" s="83"/>
      <c r="O146" s="129">
        <f>SILVX!B153</f>
        <v>230231580.71999991</v>
      </c>
      <c r="P146" s="130">
        <f>SILVX!G153</f>
        <v>1</v>
      </c>
      <c r="Q146" s="147">
        <f>SGLIX!B98</f>
        <v>103893919.96000001</v>
      </c>
      <c r="R146" s="148">
        <f>SGLIX!G98</f>
        <v>1</v>
      </c>
      <c r="S146" s="142">
        <f>BOGIX!B47</f>
        <v>122301213.79999998</v>
      </c>
      <c r="T146" s="132">
        <f>BOGIX!G47</f>
        <v>1</v>
      </c>
      <c r="U146" s="135">
        <f>FoF!AD56</f>
        <v>6426301.2700000182</v>
      </c>
      <c r="V146" s="136">
        <f>FoF!AE56</f>
        <v>2</v>
      </c>
      <c r="W146" s="135">
        <f>DYTA!J23</f>
        <v>29959595.709999997</v>
      </c>
      <c r="X146" s="136">
        <f>DYTA!K23</f>
        <v>1</v>
      </c>
      <c r="Y146" s="129">
        <f>SGLC!B23</f>
        <v>96361634.180000007</v>
      </c>
      <c r="Z146" s="130">
        <f>SGLC!G23</f>
        <v>1</v>
      </c>
      <c r="AA146" s="147">
        <f>GINX!B12</f>
        <v>73276329.779999971</v>
      </c>
      <c r="AB146" s="148">
        <f>GINX!G12</f>
        <v>1</v>
      </c>
      <c r="AC146" s="138">
        <f>USDX!B12</f>
        <v>156359182.88999999</v>
      </c>
      <c r="AD146" s="183">
        <f>USDX!G12</f>
        <v>1</v>
      </c>
      <c r="AE146" s="138">
        <f>QXQ!B8</f>
        <v>19339245.149999999</v>
      </c>
      <c r="AF146" s="183">
        <f>QXQ!G8</f>
        <v>1</v>
      </c>
      <c r="AG146" s="138"/>
      <c r="AH146" s="183"/>
      <c r="AI146" s="138">
        <f>HF!B50</f>
        <v>1905246.58</v>
      </c>
      <c r="AJ146" s="183">
        <f>HF!C50</f>
        <v>1</v>
      </c>
      <c r="AK146" s="138">
        <f>IB!S38</f>
        <v>86480891.37000002</v>
      </c>
      <c r="AL146" s="183">
        <f>IB!R38</f>
        <v>185</v>
      </c>
      <c r="AM146" s="141">
        <f>Schwab!S141</f>
        <v>197032973.36000001</v>
      </c>
      <c r="AN146" s="134">
        <f>Schwab!Q141</f>
        <v>4181</v>
      </c>
      <c r="AO146" s="135">
        <f>Fidelity!P146</f>
        <v>263727926.35156918</v>
      </c>
      <c r="AP146" s="136">
        <f>Fidelity!O146</f>
        <v>3315</v>
      </c>
      <c r="AQ146" s="135">
        <f>Empower!F36</f>
        <v>174745.63</v>
      </c>
      <c r="AR146" s="136">
        <f>Empower!E36</f>
        <v>48</v>
      </c>
      <c r="AS146" s="135">
        <v>8009644.8000000054</v>
      </c>
      <c r="AT146" s="136">
        <v>1275</v>
      </c>
      <c r="AU146" s="135">
        <v>4745914.7399999974</v>
      </c>
      <c r="AV146" s="136">
        <v>47</v>
      </c>
      <c r="AW146" s="135">
        <v>3210552.1599999992</v>
      </c>
      <c r="AX146" s="136">
        <v>43</v>
      </c>
      <c r="AY146" s="135">
        <v>18913039.380000003</v>
      </c>
      <c r="AZ146" s="136">
        <v>58</v>
      </c>
      <c r="BA146" s="129">
        <f>'TFA - Folio'!H151</f>
        <v>28579.25</v>
      </c>
      <c r="BB146" s="137">
        <f>'TFA - Folio'!I146</f>
        <v>1</v>
      </c>
      <c r="BC146" s="138">
        <f>'TFA - Folio'!K151-('TFA - Folio'!L151+'TFA - Folio'!M151)</f>
        <v>180842.75</v>
      </c>
      <c r="BD146" s="139">
        <f>'TFA - Folio'!N151</f>
        <v>1</v>
      </c>
      <c r="BE146" s="135">
        <f>'TFA - Folio'!O151-('TFA - Folio'!P151+'TFA - Folio'!Q151)</f>
        <v>16116.21</v>
      </c>
      <c r="BF146" s="136">
        <f>'TFA - Folio'!R151</f>
        <v>1</v>
      </c>
      <c r="BG146" s="129">
        <f>UNC!B109</f>
        <v>130198016.45</v>
      </c>
      <c r="BH146" s="137">
        <f>UNC!C109</f>
        <v>1</v>
      </c>
      <c r="BI146" s="129">
        <f>'Schwab LC'!D106</f>
        <v>627358.47000000009</v>
      </c>
      <c r="BJ146" s="137">
        <f>'Schwab LC'!E106</f>
        <v>1</v>
      </c>
      <c r="BK146" s="201">
        <v>21394572.850000009</v>
      </c>
      <c r="BL146" s="198">
        <v>239</v>
      </c>
      <c r="BM146" s="201">
        <v>10699842.93</v>
      </c>
      <c r="BN146" s="198">
        <v>6</v>
      </c>
      <c r="BO146" s="201">
        <v>542358.56999999995</v>
      </c>
      <c r="BP146" s="198">
        <v>3</v>
      </c>
      <c r="BQ146" s="201">
        <v>315448.25</v>
      </c>
      <c r="BR146" s="198">
        <v>1</v>
      </c>
      <c r="BS146" s="201">
        <v>27928994.870000005</v>
      </c>
      <c r="BT146" s="198">
        <v>12</v>
      </c>
      <c r="BU146" s="201">
        <v>2756463.4000000004</v>
      </c>
      <c r="BV146" s="198">
        <v>6</v>
      </c>
      <c r="BW146" s="201">
        <v>47979207.189999998</v>
      </c>
      <c r="BX146" s="198">
        <v>6</v>
      </c>
      <c r="BY146" s="201">
        <v>5707978.8399999999</v>
      </c>
      <c r="BZ146" s="198">
        <v>2</v>
      </c>
      <c r="CA146" s="201">
        <v>8233675.96</v>
      </c>
      <c r="CB146" s="198">
        <v>2</v>
      </c>
      <c r="CC146" s="201">
        <v>4043812.85</v>
      </c>
      <c r="CD146" s="198">
        <v>1</v>
      </c>
      <c r="CE146" s="198"/>
      <c r="CF146" s="198"/>
      <c r="CG146" s="198"/>
      <c r="CH146" s="198"/>
      <c r="CI146" s="174"/>
      <c r="CJ146" s="174"/>
      <c r="CK146" s="180">
        <f>'Holiday Oil'!G84</f>
        <v>208.98</v>
      </c>
      <c r="CL146" s="174">
        <f>'Holiday Oil'!H84</f>
        <v>2</v>
      </c>
      <c r="CM146" s="180">
        <v>0</v>
      </c>
      <c r="CN146" s="174"/>
      <c r="CO146" s="174"/>
      <c r="CP146" s="174"/>
      <c r="CQ146" s="174"/>
      <c r="CR146" s="174"/>
      <c r="CS146" s="174"/>
      <c r="CT146" s="174"/>
      <c r="CU146" s="174"/>
      <c r="CV146" s="174"/>
      <c r="CW146" s="174"/>
      <c r="CX146" s="174"/>
      <c r="CY146" s="174"/>
      <c r="CZ146" s="174"/>
      <c r="DA146" s="174"/>
      <c r="DB146" s="174"/>
      <c r="DC146" s="174"/>
      <c r="DD146" s="174"/>
      <c r="DE146" s="174"/>
      <c r="DF146" s="174"/>
      <c r="DG146" s="174"/>
      <c r="DH146" s="174"/>
    </row>
    <row r="147" spans="1:112">
      <c r="A147" s="38">
        <v>45688</v>
      </c>
      <c r="B147" s="7">
        <f t="shared" si="80"/>
        <v>1720433225.139287</v>
      </c>
      <c r="C147" s="84">
        <f>P147+R147+AB147+AD147+AN147+AP147+AR147+AT147+AV147+AX147+AZ147+BB147+BD147+BH147+BJ147+CL147+AJ147+V147+T147+BF147+AL147+X147+Z147+AF147+BL147+BN147+BP147+BR147+BT147+BV147</f>
        <v>9592</v>
      </c>
      <c r="D147" s="65">
        <f t="shared" si="78"/>
        <v>371609907.13</v>
      </c>
      <c r="E147" s="153">
        <f t="shared" si="79"/>
        <v>3</v>
      </c>
      <c r="F147" s="71">
        <f t="shared" si="75"/>
        <v>0</v>
      </c>
      <c r="G147" s="170">
        <f t="shared" si="76"/>
        <v>0</v>
      </c>
      <c r="H147" s="202">
        <f t="shared" si="49"/>
        <v>102543070.85000002</v>
      </c>
      <c r="I147" s="203">
        <f t="shared" si="50"/>
        <v>1</v>
      </c>
      <c r="J147" s="73">
        <f t="shared" si="73"/>
        <v>458635932.63928723</v>
      </c>
      <c r="K147" s="99">
        <f t="shared" si="72"/>
        <v>7795</v>
      </c>
      <c r="L147" s="78">
        <f t="shared" si="77"/>
        <v>787644314.51999998</v>
      </c>
      <c r="M147" s="185">
        <f t="shared" ref="M147:M149" si="81">BD147+CL147+DF147+CX147+AJ147+T147+AL147+Z147</f>
        <v>189</v>
      </c>
      <c r="O147" s="69">
        <f>SILVX!B154</f>
        <v>235095263.98000002</v>
      </c>
      <c r="P147" s="91">
        <f>SILVX!G154</f>
        <v>1</v>
      </c>
      <c r="Q147" s="70">
        <f>SGLIX!B99</f>
        <v>102543070.85000002</v>
      </c>
      <c r="R147" s="93">
        <f>SGLIX!G99</f>
        <v>1</v>
      </c>
      <c r="S147" s="71">
        <f>BOGIX!B48</f>
        <v>127483071.53999999</v>
      </c>
      <c r="T147" s="92">
        <f>BOGIX!G48</f>
        <v>1</v>
      </c>
      <c r="U147" s="75">
        <f>FoF!AD57</f>
        <v>18328829.680000007</v>
      </c>
      <c r="V147" s="94">
        <f>FoF!AE57</f>
        <v>2</v>
      </c>
      <c r="W147" s="75">
        <f>DYTA!J24</f>
        <v>28715795.789999999</v>
      </c>
      <c r="X147" s="94">
        <f>DYTA!K24</f>
        <v>1</v>
      </c>
      <c r="Y147" s="69">
        <f>SGLC!B24</f>
        <v>106369053.96999997</v>
      </c>
      <c r="Z147" s="91">
        <f>SGLC!G24</f>
        <v>1</v>
      </c>
      <c r="AA147" s="70">
        <f>GINX!B13</f>
        <v>81064824.940000013</v>
      </c>
      <c r="AB147" s="93">
        <f>GINX!G13</f>
        <v>1</v>
      </c>
      <c r="AC147" s="80">
        <f>USDX!B13</f>
        <v>235500402.43000001</v>
      </c>
      <c r="AD147" s="156">
        <f>USDX!G13</f>
        <v>1</v>
      </c>
      <c r="AE147" s="80">
        <f>QXQ!B9</f>
        <v>24573515.140000001</v>
      </c>
      <c r="AF147" s="156">
        <f>QXQ!G9</f>
        <v>1</v>
      </c>
      <c r="AG147" s="80"/>
      <c r="AH147" s="156"/>
      <c r="AI147" s="80">
        <f>HF!B51</f>
        <v>1919378.67</v>
      </c>
      <c r="AJ147" s="156">
        <f>HF!C51</f>
        <v>1</v>
      </c>
      <c r="AK147" s="80">
        <f>IB!S39</f>
        <v>80444948.369999975</v>
      </c>
      <c r="AL147" s="156">
        <f>IB!R39</f>
        <v>185</v>
      </c>
      <c r="AM147" s="76">
        <f>Schwab!S142</f>
        <v>174020260.27999878</v>
      </c>
      <c r="AN147" s="74">
        <f>Schwab!Q142</f>
        <v>4266</v>
      </c>
      <c r="AO147" s="75">
        <f>Fidelity!P147</f>
        <v>201958916.29928839</v>
      </c>
      <c r="AP147" s="94">
        <f>Fidelity!O147</f>
        <v>3327</v>
      </c>
      <c r="AQ147" s="75">
        <f>Empower!F37</f>
        <v>188048.77999999997</v>
      </c>
      <c r="AR147" s="94">
        <f>Empower!E37</f>
        <v>49</v>
      </c>
      <c r="AS147" s="75">
        <v>8067393.3700000029</v>
      </c>
      <c r="AT147" s="94">
        <v>1329</v>
      </c>
      <c r="AU147" s="75">
        <v>4745914.7399999974</v>
      </c>
      <c r="AV147" s="94">
        <v>47</v>
      </c>
      <c r="AW147" s="75">
        <v>3215061.6199999992</v>
      </c>
      <c r="AX147" s="94">
        <v>44</v>
      </c>
      <c r="AY147" s="75">
        <v>19379244.540000003</v>
      </c>
      <c r="AZ147" s="94">
        <v>58</v>
      </c>
      <c r="BA147" s="69">
        <f>'TFA - Folio'!H152</f>
        <v>29152.719999999972</v>
      </c>
      <c r="BB147" s="40">
        <f>'TFA - Folio'!I147</f>
        <v>1</v>
      </c>
      <c r="BC147" s="80">
        <f>'TFA - Folio'!K152-('TFA - Folio'!L152+'TFA - Folio'!M152)</f>
        <v>182533.23</v>
      </c>
      <c r="BD147" s="79">
        <f>'TFA - Folio'!N152</f>
        <v>1</v>
      </c>
      <c r="BE147" s="75">
        <f>'TFA - Folio'!O152-('TFA - Folio'!P152+'TFA - Folio'!Q152)</f>
        <v>16467.54</v>
      </c>
      <c r="BF147" s="94">
        <f>'TFA - Folio'!R152</f>
        <v>1</v>
      </c>
      <c r="BG147" s="69">
        <f>UNC!B110</f>
        <v>135860299.88</v>
      </c>
      <c r="BH147" s="40">
        <f>UNC!C110</f>
        <v>1</v>
      </c>
      <c r="BI147" s="69">
        <f>'Schwab LC'!D107</f>
        <v>654343.27</v>
      </c>
      <c r="BJ147" s="40">
        <f>'Schwab LC'!E107</f>
        <v>1</v>
      </c>
      <c r="BK147" s="200">
        <v>21396436.210000008</v>
      </c>
      <c r="BL147" s="199">
        <v>242</v>
      </c>
      <c r="BM147" s="200">
        <v>10699842.93</v>
      </c>
      <c r="BN147" s="199">
        <v>6</v>
      </c>
      <c r="BO147" s="200">
        <v>994697.42999999993</v>
      </c>
      <c r="BP147" s="199">
        <v>4</v>
      </c>
      <c r="BQ147" s="200">
        <v>315448.25</v>
      </c>
      <c r="BR147" s="199">
        <v>1</v>
      </c>
      <c r="BS147" s="200">
        <v>27928994.870000005</v>
      </c>
      <c r="BT147" s="199">
        <v>12</v>
      </c>
      <c r="BU147" s="200">
        <v>2756463.4000000004</v>
      </c>
      <c r="BV147" s="199">
        <v>6</v>
      </c>
      <c r="BW147" s="200">
        <v>47979207.190000005</v>
      </c>
      <c r="BX147" s="199">
        <v>6</v>
      </c>
      <c r="BY147" s="200">
        <v>5707978.8399999999</v>
      </c>
      <c r="BZ147" s="199">
        <v>2</v>
      </c>
      <c r="CA147" s="200">
        <v>8233675.96</v>
      </c>
      <c r="CB147" s="199">
        <v>2</v>
      </c>
      <c r="CC147" s="200">
        <v>4064688.43</v>
      </c>
      <c r="CD147" s="199">
        <v>1</v>
      </c>
      <c r="CE147" s="205"/>
      <c r="CM147" s="177">
        <v>0</v>
      </c>
    </row>
    <row r="148" spans="1:112">
      <c r="A148" s="38">
        <v>45716</v>
      </c>
      <c r="B148" s="7">
        <f t="shared" si="80"/>
        <v>1681939648.9360356</v>
      </c>
      <c r="C148" s="84">
        <f>P148+R148+AB148+AD148+AN148+AP148+AR148+AT148+AV148+AX148+AZ148+BB148+BD148+BH148+BJ148+CL148+AJ148+V148+T148+BF148+AL148+X148+Z148+AF148+BL148+BN148+BP148+BR148+BT148+BV148</f>
        <v>9756</v>
      </c>
      <c r="D148" s="65">
        <f>O148+BG148+BI148</f>
        <v>356338363.1699999</v>
      </c>
      <c r="E148" s="153">
        <f t="shared" si="79"/>
        <v>3</v>
      </c>
      <c r="F148" s="71">
        <f t="shared" si="75"/>
        <v>0</v>
      </c>
      <c r="G148" s="170">
        <f t="shared" si="76"/>
        <v>0</v>
      </c>
      <c r="H148" s="202">
        <f t="shared" si="49"/>
        <v>109010114.29000004</v>
      </c>
      <c r="I148" s="203">
        <f t="shared" si="50"/>
        <v>1</v>
      </c>
      <c r="J148" s="73">
        <f t="shared" si="73"/>
        <v>455364600.73603565</v>
      </c>
      <c r="K148" s="99">
        <f t="shared" si="72"/>
        <v>7928</v>
      </c>
      <c r="L148" s="78">
        <f t="shared" si="77"/>
        <v>761226570.74000049</v>
      </c>
      <c r="M148" s="185">
        <f t="shared" si="81"/>
        <v>190</v>
      </c>
      <c r="O148" s="69">
        <f>SILVX!B155</f>
        <v>221104221.31999996</v>
      </c>
      <c r="P148" s="91">
        <f>SILVX!G155</f>
        <v>1</v>
      </c>
      <c r="Q148" s="70">
        <f>SGLIX!B100</f>
        <v>109010114.29000004</v>
      </c>
      <c r="R148" s="93">
        <f>SGLIX!G100</f>
        <v>1</v>
      </c>
      <c r="S148" s="71">
        <f>BOGIX!B49</f>
        <v>115161444.16000012</v>
      </c>
      <c r="T148" s="92">
        <f>BOGIX!G49</f>
        <v>1</v>
      </c>
      <c r="U148" s="75">
        <f>FoF!AD58</f>
        <v>18183685.849999987</v>
      </c>
      <c r="V148" s="94">
        <f>FoF!AE58</f>
        <v>2</v>
      </c>
      <c r="W148" s="75">
        <f>DYTA!J25</f>
        <v>31357822.000000007</v>
      </c>
      <c r="X148" s="94">
        <f>DYTA!K25</f>
        <v>1</v>
      </c>
      <c r="Y148" s="69">
        <f>SGLC!B25</f>
        <v>94308484.320000008</v>
      </c>
      <c r="Z148" s="91">
        <f>SGLC!G25</f>
        <v>1</v>
      </c>
      <c r="AA148" s="70">
        <f>GINX!B14</f>
        <v>83210581.570000008</v>
      </c>
      <c r="AB148" s="93">
        <f>GINX!G14</f>
        <v>1</v>
      </c>
      <c r="AC148" s="80">
        <f>USDX!B14</f>
        <v>272734586.55000007</v>
      </c>
      <c r="AD148" s="156">
        <f>USDX!G14</f>
        <v>1</v>
      </c>
      <c r="AE148" s="80">
        <f>QXQ!B10</f>
        <v>30296000.140000001</v>
      </c>
      <c r="AF148" s="156">
        <f>QXQ!G10</f>
        <v>1</v>
      </c>
      <c r="AG148" s="80"/>
      <c r="AH148" s="156"/>
      <c r="AI148" s="80">
        <f>HF!B52</f>
        <v>1942699.92</v>
      </c>
      <c r="AJ148" s="156">
        <f>HF!C52</f>
        <v>1</v>
      </c>
      <c r="AK148" s="80">
        <f>IB!S40</f>
        <v>75620482.219999999</v>
      </c>
      <c r="AL148" s="156">
        <f>IB!R40</f>
        <v>187</v>
      </c>
      <c r="AM148" s="76">
        <f>Schwab!S143</f>
        <v>178726388.83999842</v>
      </c>
      <c r="AN148" s="74">
        <f>Schwab!Q143</f>
        <v>4354</v>
      </c>
      <c r="AO148" s="75">
        <f>Fidelity!P148</f>
        <v>191410286.66603726</v>
      </c>
      <c r="AP148" s="94">
        <f>Fidelity!O148</f>
        <v>3369</v>
      </c>
      <c r="AQ148" s="75">
        <f>Empower!F38</f>
        <v>172168.67000000004</v>
      </c>
      <c r="AR148" s="94">
        <f>Empower!E38</f>
        <v>50</v>
      </c>
      <c r="AS148" s="75">
        <v>8126374.6999999927</v>
      </c>
      <c r="AT148" s="94">
        <v>1367</v>
      </c>
      <c r="AU148" s="75">
        <v>4745914.7399999974</v>
      </c>
      <c r="AV148" s="94">
        <v>47</v>
      </c>
      <c r="AW148" s="75">
        <v>3099376.68</v>
      </c>
      <c r="AX148" s="94">
        <v>44</v>
      </c>
      <c r="AY148" s="75">
        <v>19542582.590000004</v>
      </c>
      <c r="AZ148" s="94">
        <v>61</v>
      </c>
      <c r="BA148" s="69">
        <f>'TFA - Folio'!H153</f>
        <v>0</v>
      </c>
      <c r="BB148" s="40">
        <f>'TFA - Folio'!I148</f>
        <v>1</v>
      </c>
      <c r="BC148" s="80">
        <f>'TFA - Folio'!K153-('TFA - Folio'!L153+'TFA - Folio'!M153)</f>
        <v>0</v>
      </c>
      <c r="BD148" s="79">
        <f>'TFA - Folio'!N153</f>
        <v>0</v>
      </c>
      <c r="BE148" s="75">
        <f>'TFA - Folio'!O153-('TFA - Folio'!P153+'TFA - Folio'!Q153)</f>
        <v>0</v>
      </c>
      <c r="BF148" s="94">
        <f>'TFA - Folio'!R153</f>
        <v>0</v>
      </c>
      <c r="BG148" s="69">
        <f>UNC!B111</f>
        <v>134586070.07999995</v>
      </c>
      <c r="BH148" s="40">
        <f>UNC!C111</f>
        <v>1</v>
      </c>
      <c r="BI148" s="69">
        <f>'Schwab LC'!D108</f>
        <v>648071.77</v>
      </c>
      <c r="BJ148" s="40">
        <f>'Schwab LC'!E108</f>
        <v>1</v>
      </c>
      <c r="BK148" s="200">
        <v>21146852.190000016</v>
      </c>
      <c r="BL148" s="199">
        <v>236</v>
      </c>
      <c r="BM148" s="200">
        <v>15178684.490000002</v>
      </c>
      <c r="BN148" s="199">
        <v>7</v>
      </c>
      <c r="BO148" s="200">
        <v>611149.1</v>
      </c>
      <c r="BP148" s="199">
        <v>2</v>
      </c>
      <c r="BQ148" s="200">
        <v>344573.72</v>
      </c>
      <c r="BR148" s="199">
        <v>1</v>
      </c>
      <c r="BS148" s="200">
        <v>25621480.09</v>
      </c>
      <c r="BT148" s="199">
        <v>12</v>
      </c>
      <c r="BU148" s="200">
        <v>2723867.6100000003</v>
      </c>
      <c r="BV148" s="199">
        <v>5</v>
      </c>
      <c r="BW148" s="200">
        <v>4001228.12</v>
      </c>
      <c r="BX148" s="199">
        <v>4</v>
      </c>
      <c r="BY148" s="200">
        <v>5942211.1200000001</v>
      </c>
      <c r="BZ148" s="199">
        <v>2</v>
      </c>
      <c r="CA148" s="200">
        <v>8233675.96</v>
      </c>
      <c r="CB148" s="199">
        <v>2</v>
      </c>
      <c r="CC148" s="200">
        <v>4148569.46</v>
      </c>
      <c r="CD148" s="199">
        <v>1</v>
      </c>
      <c r="CE148" s="205"/>
      <c r="CM148" s="177"/>
    </row>
    <row r="149" spans="1:112">
      <c r="A149" s="38">
        <v>45747</v>
      </c>
      <c r="B149" s="7">
        <f t="shared" si="80"/>
        <v>1858732595.7604098</v>
      </c>
      <c r="C149" s="84">
        <f>P149+R149+AB149+AD149+AN149+AP149+AR149+AT149+AV149+AX149+AZ149+BB149+BD149+BH149+BJ149+CL149+AJ149+V149+T149+BF149+AL149+X149+Z149+AF149+BL149+BN149+BP149+BR149+BT149+BV149</f>
        <v>9942</v>
      </c>
      <c r="D149" s="65">
        <f t="shared" si="78"/>
        <v>359404269.97999996</v>
      </c>
      <c r="E149" s="153">
        <f t="shared" si="79"/>
        <v>3</v>
      </c>
      <c r="F149" s="71">
        <f t="shared" si="75"/>
        <v>0</v>
      </c>
      <c r="G149" s="170">
        <f t="shared" si="76"/>
        <v>0</v>
      </c>
      <c r="H149" s="202">
        <f t="shared" si="49"/>
        <v>93344477.769999996</v>
      </c>
      <c r="I149" s="203">
        <f t="shared" si="50"/>
        <v>1</v>
      </c>
      <c r="J149" s="73">
        <f t="shared" si="73"/>
        <v>646696569.58041024</v>
      </c>
      <c r="K149" s="99">
        <f t="shared" si="72"/>
        <v>8053</v>
      </c>
      <c r="L149" s="78">
        <f t="shared" si="77"/>
        <v>759287278.43000031</v>
      </c>
      <c r="M149" s="185">
        <f t="shared" si="81"/>
        <v>190</v>
      </c>
      <c r="O149" s="69">
        <f>SILVX!B156</f>
        <v>226439455.15000001</v>
      </c>
      <c r="P149" s="91">
        <f>SILVX!G156</f>
        <v>1</v>
      </c>
      <c r="Q149" s="70">
        <f>SGLIX!B101</f>
        <v>93344477.769999996</v>
      </c>
      <c r="R149" s="93">
        <f>SGLIX!G101</f>
        <v>1</v>
      </c>
      <c r="S149" s="71">
        <f>BOGIX!B50</f>
        <v>105065269.78</v>
      </c>
      <c r="T149" s="92">
        <f>BOGIX!G50</f>
        <v>1</v>
      </c>
      <c r="U149" s="75">
        <f>FoF!AD59</f>
        <v>20353783.249999993</v>
      </c>
      <c r="V149" s="94">
        <f>FoF!AE59</f>
        <v>2</v>
      </c>
      <c r="W149" s="75">
        <f>DYTA!J26</f>
        <v>35285403.459999993</v>
      </c>
      <c r="X149" s="94">
        <f>DYTA!K26</f>
        <v>1</v>
      </c>
      <c r="Y149" s="69">
        <f>SGLC!B26</f>
        <v>79836311.020000026</v>
      </c>
      <c r="Z149" s="91">
        <f>SGLC!G26</f>
        <v>1</v>
      </c>
      <c r="AA149" s="70">
        <f>GINX!B15</f>
        <v>77606548.179999992</v>
      </c>
      <c r="AB149" s="93">
        <f>GINX!G15</f>
        <v>1</v>
      </c>
      <c r="AC149" s="80">
        <f>USDX!B15</f>
        <v>312874610.13</v>
      </c>
      <c r="AD149" s="156">
        <f>USDX!G15</f>
        <v>1</v>
      </c>
      <c r="AE149" s="80">
        <f>QXQ!B11</f>
        <v>30457647.600000001</v>
      </c>
      <c r="AF149" s="156">
        <f>QXQ!G11</f>
        <v>1</v>
      </c>
      <c r="AG149" s="80"/>
      <c r="AH149" s="156"/>
      <c r="AI149" s="80">
        <f>HF!B53</f>
        <v>1965625.76</v>
      </c>
      <c r="AJ149" s="156">
        <f>HF!C53</f>
        <v>1</v>
      </c>
      <c r="AK149" s="80">
        <f>IB!S41</f>
        <v>62208748.199999988</v>
      </c>
      <c r="AL149" s="156">
        <f>IB!R41</f>
        <v>186</v>
      </c>
      <c r="AM149" s="76">
        <f>Schwab!S144</f>
        <v>170545897.19000036</v>
      </c>
      <c r="AN149" s="74">
        <f>Schwab!Q144</f>
        <v>4384</v>
      </c>
      <c r="AO149" s="75">
        <f>Fidelity!P149</f>
        <v>386205663.59040964</v>
      </c>
      <c r="AP149" s="94">
        <f>Fidelity!O149</f>
        <v>3461</v>
      </c>
      <c r="AQ149" s="75">
        <f>Empower!F39</f>
        <v>168410.94</v>
      </c>
      <c r="AR149" s="94">
        <f>Empower!E39</f>
        <v>54</v>
      </c>
      <c r="AS149" s="75">
        <v>7838476.5700000003</v>
      </c>
      <c r="AT149" s="94">
        <v>1429</v>
      </c>
      <c r="AU149" s="75">
        <v>4745914.7399999974</v>
      </c>
      <c r="AV149" s="94">
        <v>47</v>
      </c>
      <c r="AW149" s="75">
        <v>3020924.46</v>
      </c>
      <c r="AX149" s="94">
        <v>42</v>
      </c>
      <c r="AY149" s="75">
        <v>18516374.129999995</v>
      </c>
      <c r="AZ149" s="94">
        <v>61</v>
      </c>
      <c r="BA149" s="69">
        <f>'TFA - Folio'!H154</f>
        <v>29207.210000000079</v>
      </c>
      <c r="BB149" s="40">
        <f>'TFA - Folio'!I149</f>
        <v>1</v>
      </c>
      <c r="BC149" s="80">
        <f>'TFA - Folio'!K154-('TFA - Folio'!L154+'TFA - Folio'!M154)</f>
        <v>173652.57</v>
      </c>
      <c r="BD149" s="79">
        <f>'TFA - Folio'!N154</f>
        <v>1</v>
      </c>
      <c r="BE149" s="75">
        <f>'TFA - Folio'!O154-('TFA - Folio'!P154+'TFA - Folio'!Q154)</f>
        <v>15721.25</v>
      </c>
      <c r="BF149" s="94">
        <f>'TFA - Folio'!R154</f>
        <v>1</v>
      </c>
      <c r="BG149" s="69">
        <f>UNC!B112</f>
        <v>132327130.79999998</v>
      </c>
      <c r="BH149" s="40">
        <f>UNC!C112</f>
        <v>1</v>
      </c>
      <c r="BI149" s="69">
        <f>'Schwab LC'!D109</f>
        <v>637684.03</v>
      </c>
      <c r="BJ149" s="40">
        <f>'Schwab LC'!E109</f>
        <v>1</v>
      </c>
      <c r="BK149" s="200">
        <v>21146852.190000016</v>
      </c>
      <c r="BL149" s="199">
        <v>235</v>
      </c>
      <c r="BM149" s="200">
        <v>15178684.490000002</v>
      </c>
      <c r="BN149" s="199">
        <v>7</v>
      </c>
      <c r="BO149" s="200">
        <v>611149.1</v>
      </c>
      <c r="BP149" s="199">
        <v>2</v>
      </c>
      <c r="BQ149" s="200">
        <v>347343.75</v>
      </c>
      <c r="BR149" s="199">
        <v>1</v>
      </c>
      <c r="BS149" s="200">
        <v>25621480.09</v>
      </c>
      <c r="BT149" s="199">
        <v>12</v>
      </c>
      <c r="BU149" s="200">
        <v>2723867.6100000003</v>
      </c>
      <c r="BV149" s="199">
        <v>5</v>
      </c>
      <c r="BW149" s="200">
        <v>4001228.12</v>
      </c>
      <c r="BX149" s="199">
        <v>4</v>
      </c>
      <c r="BY149" s="200">
        <v>6061143.4100000001</v>
      </c>
      <c r="BZ149" s="199">
        <v>2</v>
      </c>
      <c r="CA149" s="200">
        <v>9329581.4600000009</v>
      </c>
      <c r="CB149" s="199">
        <v>2</v>
      </c>
      <c r="CC149" s="200">
        <v>4048327.76</v>
      </c>
      <c r="CD149" s="199">
        <v>1</v>
      </c>
      <c r="CE149" s="205"/>
      <c r="CM149" s="177"/>
    </row>
    <row r="150" spans="1:112">
      <c r="A150" s="38">
        <v>45777</v>
      </c>
      <c r="B150" s="7">
        <f t="shared" si="80"/>
        <v>2047171572.7968516</v>
      </c>
      <c r="C150" s="84">
        <f t="shared" ref="C150:C151" si="82">P150+R150+AB150+AD150+AN150+AP150+AR150+AT150+AV150+AX150+AZ150+BB150+BD150+BH150+BJ150+CL150+AJ150+V150+T150+BF150+AL150+X150+Z150+AF150+BL150+BN150+BP150+BR150+BT150+BV150</f>
        <v>10184</v>
      </c>
      <c r="D150" s="65">
        <f t="shared" ref="D150" si="83">O150+BG150+BI150</f>
        <v>351807959.5</v>
      </c>
      <c r="E150" s="153">
        <f t="shared" ref="E150" si="84">P150+BH150+BJ150</f>
        <v>3</v>
      </c>
      <c r="F150" s="71">
        <f t="shared" ref="F150:F152" si="85">CM150</f>
        <v>0</v>
      </c>
      <c r="G150" s="170">
        <f t="shared" ref="G150:G152" si="86">CN150+CT150</f>
        <v>0</v>
      </c>
      <c r="H150" s="202">
        <f t="shared" ref="H150:H151" si="87">Q150+CI150</f>
        <v>93009003.269999996</v>
      </c>
      <c r="I150" s="203">
        <f t="shared" ref="I150:I151" si="88">R150+CZ150+CJ150</f>
        <v>1</v>
      </c>
      <c r="J150" s="73">
        <f t="shared" ref="J150:J152" si="89">AM150+CQ150+AO150+DA150+U150+BE150+AQ150+W150+AU150+AW150+AY150+AS150</f>
        <v>546402683.7568512</v>
      </c>
      <c r="K150" s="99">
        <f t="shared" ref="K150:K152" si="90">AN150+CR150+AP150+DB150+V150+BF150+AR150+X150+AV150+AX150+AZ150</f>
        <v>8265</v>
      </c>
      <c r="L150" s="78">
        <f t="shared" si="77"/>
        <v>1055951926.2700002</v>
      </c>
      <c r="M150" s="185">
        <f t="shared" ref="M150:M152" si="91">BD150+CL150+DF150+CX150+AJ150+T150+AL150+Z150</f>
        <v>185</v>
      </c>
      <c r="O150" s="69">
        <f>SILVX!B157</f>
        <v>221181912.50999999</v>
      </c>
      <c r="P150" s="91">
        <f>SILVX!G157</f>
        <v>1</v>
      </c>
      <c r="Q150" s="70">
        <f>SGLIX!B102</f>
        <v>93009003.269999996</v>
      </c>
      <c r="R150" s="93">
        <f>SGLIX!G102</f>
        <v>1</v>
      </c>
      <c r="S150" s="71">
        <f>BOGIX!B51</f>
        <v>102119338.93999991</v>
      </c>
      <c r="T150" s="92">
        <f>BOGIX!G51</f>
        <v>1</v>
      </c>
      <c r="U150" s="75">
        <f>FoF!AD60</f>
        <v>20848053.049999997</v>
      </c>
      <c r="V150" s="94">
        <f>FoF!AE60</f>
        <v>2</v>
      </c>
      <c r="W150" s="75">
        <f>DYTA!J27</f>
        <v>33772270.210000008</v>
      </c>
      <c r="X150" s="94">
        <f>DYTA!K27</f>
        <v>1</v>
      </c>
      <c r="Y150" s="69">
        <f>SGLC!B27</f>
        <v>78783975.039999992</v>
      </c>
      <c r="Z150" s="91">
        <f>SGLC!G27</f>
        <v>1</v>
      </c>
      <c r="AA150" s="70">
        <f>GINX!B16</f>
        <v>77143137.909999996</v>
      </c>
      <c r="AB150" s="93">
        <f>GINX!G16</f>
        <v>1</v>
      </c>
      <c r="AC150" s="80">
        <f>USDX!B16</f>
        <v>466030551.80000007</v>
      </c>
      <c r="AD150" s="156">
        <f>USDX!G16</f>
        <v>1</v>
      </c>
      <c r="AE150" s="80">
        <f>QXQ!B12</f>
        <v>28489364.940000001</v>
      </c>
      <c r="AF150" s="156">
        <f>QXQ!G12</f>
        <v>1</v>
      </c>
      <c r="AG150" s="80">
        <f>LDRX!B2</f>
        <v>163452853.96000001</v>
      </c>
      <c r="AH150" s="156">
        <f>LDRX!G2</f>
        <v>1</v>
      </c>
      <c r="AI150" s="80">
        <f>HF!B54</f>
        <v>1913919.14</v>
      </c>
      <c r="AJ150" s="156">
        <f>HF!C54</f>
        <v>1</v>
      </c>
      <c r="AK150" s="80">
        <f>IB!S42</f>
        <v>60853269.400000006</v>
      </c>
      <c r="AL150" s="156">
        <f>IB!R42</f>
        <v>182</v>
      </c>
      <c r="AM150" s="76">
        <f>Schwab!S145</f>
        <v>170705420.74000365</v>
      </c>
      <c r="AN150" s="74">
        <f>Schwab!Q145</f>
        <v>4465</v>
      </c>
      <c r="AO150" s="75">
        <f>Fidelity!P150</f>
        <v>285367039.48684746</v>
      </c>
      <c r="AP150" s="94">
        <f>Fidelity!O150</f>
        <v>3593</v>
      </c>
      <c r="AQ150" s="75">
        <f>Empower!F40</f>
        <v>179094.38</v>
      </c>
      <c r="AR150" s="94">
        <f>Empower!E40</f>
        <v>54</v>
      </c>
      <c r="AS150" s="75">
        <v>7596113.950000002</v>
      </c>
      <c r="AT150" s="94">
        <v>1469</v>
      </c>
      <c r="AU150" s="75">
        <v>4745914.7399999974</v>
      </c>
      <c r="AV150" s="94">
        <v>47</v>
      </c>
      <c r="AW150" s="75">
        <v>3056546.1599999992</v>
      </c>
      <c r="AX150" s="94">
        <v>42</v>
      </c>
      <c r="AY150" s="75">
        <v>20132231.039999995</v>
      </c>
      <c r="AZ150" s="94">
        <v>61</v>
      </c>
      <c r="BA150" s="69">
        <f>'TFA - Folio'!H155</f>
        <v>0</v>
      </c>
      <c r="BB150" s="40">
        <f>'TFA - Folio'!I150</f>
        <v>1</v>
      </c>
      <c r="BC150" s="80">
        <f>'TFA - Folio'!K155-('TFA - Folio'!L155+'TFA - Folio'!M155)</f>
        <v>0</v>
      </c>
      <c r="BD150" s="79">
        <f>'TFA - Folio'!N155</f>
        <v>0</v>
      </c>
      <c r="BE150" s="75">
        <f>'TFA - Folio'!O155-('TFA - Folio'!P155+'TFA - Folio'!Q155)</f>
        <v>0</v>
      </c>
      <c r="BF150" s="94">
        <f>'TFA - Folio'!R155</f>
        <v>0</v>
      </c>
      <c r="BG150" s="69">
        <f>UNC!B113</f>
        <v>129999649.18000001</v>
      </c>
      <c r="BH150" s="40">
        <f>UNC!C113</f>
        <v>1</v>
      </c>
      <c r="BI150" s="69">
        <f>'Schwab LC'!D110</f>
        <v>626397.81000000006</v>
      </c>
      <c r="BJ150" s="40">
        <f>'Schwab LC'!E110</f>
        <v>1</v>
      </c>
      <c r="BK150" s="200">
        <v>21300374.73</v>
      </c>
      <c r="BL150" s="199">
        <v>230</v>
      </c>
      <c r="BM150" s="200">
        <v>14724199.440000001</v>
      </c>
      <c r="BN150" s="199">
        <v>7</v>
      </c>
      <c r="BO150" s="200">
        <v>611149.1</v>
      </c>
      <c r="BP150" s="199">
        <v>2</v>
      </c>
      <c r="BQ150" s="200">
        <v>347343.75</v>
      </c>
      <c r="BR150" s="199">
        <v>1</v>
      </c>
      <c r="BS150" s="200">
        <v>24762501.75</v>
      </c>
      <c r="BT150" s="199">
        <v>12</v>
      </c>
      <c r="BU150" s="200">
        <v>1196235.48</v>
      </c>
      <c r="BV150" s="199">
        <v>5</v>
      </c>
      <c r="BW150" s="200">
        <v>3786793.1300000004</v>
      </c>
      <c r="BX150" s="199">
        <v>3</v>
      </c>
      <c r="BY150" s="200">
        <v>6061143.4100000001</v>
      </c>
      <c r="BZ150" s="199">
        <v>2</v>
      </c>
      <c r="CA150" s="200">
        <v>0</v>
      </c>
      <c r="CB150" s="199">
        <v>0</v>
      </c>
      <c r="CC150" s="200">
        <v>4148569.48</v>
      </c>
      <c r="CD150" s="199">
        <v>1</v>
      </c>
      <c r="CE150" s="205">
        <v>227204.87</v>
      </c>
      <c r="CF150" s="199">
        <v>1</v>
      </c>
    </row>
    <row r="151" spans="1:112">
      <c r="A151" s="38">
        <v>45808</v>
      </c>
      <c r="B151" s="7">
        <f t="shared" si="80"/>
        <v>2133464963.3391433</v>
      </c>
      <c r="C151" s="84">
        <f t="shared" si="82"/>
        <v>10341</v>
      </c>
      <c r="D151" s="65">
        <f t="shared" ref="D151" si="92">O151+BG151+BI151</f>
        <v>360177395.18000013</v>
      </c>
      <c r="E151" s="153">
        <f t="shared" ref="E151" si="93">P151+BH151+BJ151</f>
        <v>4</v>
      </c>
      <c r="F151" s="71">
        <f t="shared" si="85"/>
        <v>0</v>
      </c>
      <c r="G151" s="170">
        <f t="shared" si="86"/>
        <v>0</v>
      </c>
      <c r="H151" s="202">
        <f t="shared" si="87"/>
        <v>95060031.450000003</v>
      </c>
      <c r="I151" s="203">
        <f t="shared" si="88"/>
        <v>1</v>
      </c>
      <c r="J151" s="73">
        <f t="shared" si="89"/>
        <v>570902758.52914274</v>
      </c>
      <c r="K151" s="99">
        <f t="shared" si="90"/>
        <v>8389</v>
      </c>
      <c r="L151" s="78">
        <f t="shared" si="77"/>
        <v>1107324778.1800001</v>
      </c>
      <c r="M151" s="185">
        <f t="shared" si="91"/>
        <v>181</v>
      </c>
      <c r="O151" s="69">
        <f>SILVX!B158</f>
        <v>223327655.22000012</v>
      </c>
      <c r="P151" s="91">
        <f>SILVX!G158</f>
        <v>1</v>
      </c>
      <c r="Q151" s="70">
        <f>SGLIX!B103</f>
        <v>95060031.450000003</v>
      </c>
      <c r="R151" s="93">
        <f>SGLIX!G103</f>
        <v>1</v>
      </c>
      <c r="S151" s="71">
        <f>BOGIX!B52</f>
        <v>107740731.54999997</v>
      </c>
      <c r="T151" s="92">
        <f>BOGIX!G52</f>
        <v>1</v>
      </c>
      <c r="U151" s="75">
        <f>FoF!AD61</f>
        <v>23572161.439999998</v>
      </c>
      <c r="V151" s="94">
        <f>FoF!AE61</f>
        <v>2</v>
      </c>
      <c r="W151" s="75">
        <f>DYTA!J28</f>
        <v>32414790.219999999</v>
      </c>
      <c r="X151" s="94">
        <f>DYTA!K28</f>
        <v>1</v>
      </c>
      <c r="Y151" s="69">
        <f>SGLC!B28</f>
        <v>83855797.769999981</v>
      </c>
      <c r="Z151" s="91">
        <f>SGLC!G28</f>
        <v>1</v>
      </c>
      <c r="AA151" s="70">
        <f>GINX!B17</f>
        <v>79107122.360000014</v>
      </c>
      <c r="AB151" s="93">
        <f>GINX!G17</f>
        <v>1</v>
      </c>
      <c r="AC151" s="80">
        <f>USDX!B17</f>
        <v>476603225.44</v>
      </c>
      <c r="AD151" s="156">
        <f>USDX!G17</f>
        <v>1</v>
      </c>
      <c r="AE151" s="80">
        <f>QXQ!B13</f>
        <v>31899810.489999998</v>
      </c>
      <c r="AF151" s="156">
        <f>QXQ!G13</f>
        <v>1</v>
      </c>
      <c r="AG151" s="80">
        <f>LDRX!B3</f>
        <v>172957290.30000004</v>
      </c>
      <c r="AH151" s="156">
        <f>LDRX!G3</f>
        <v>1</v>
      </c>
      <c r="AI151" s="80">
        <f>HF!B55</f>
        <v>1926676.35</v>
      </c>
      <c r="AJ151" s="156">
        <f>HF!C55</f>
        <v>1</v>
      </c>
      <c r="AK151" s="80">
        <f>IB!S43</f>
        <v>63886424.369999982</v>
      </c>
      <c r="AL151" s="156">
        <f>IB!R43</f>
        <v>178</v>
      </c>
      <c r="AM151" s="76">
        <f>Schwab!S146</f>
        <v>176608868.01000094</v>
      </c>
      <c r="AN151" s="74">
        <f>Schwab!Q146</f>
        <v>4509</v>
      </c>
      <c r="AO151" s="75">
        <f>Fidelity!P151</f>
        <v>299259117.86914182</v>
      </c>
      <c r="AP151" s="94">
        <f>Fidelity!O151</f>
        <v>3680</v>
      </c>
      <c r="AQ151" s="75">
        <f>Empower!F41</f>
        <v>218508.38</v>
      </c>
      <c r="AR151" s="94">
        <f>Empower!E41</f>
        <v>54</v>
      </c>
      <c r="AS151" s="75">
        <v>9886246.1000000238</v>
      </c>
      <c r="AT151" s="94">
        <v>1499</v>
      </c>
      <c r="AU151" s="75">
        <v>4745914.7399999974</v>
      </c>
      <c r="AV151" s="94">
        <v>47</v>
      </c>
      <c r="AW151" s="75">
        <v>2851517.04</v>
      </c>
      <c r="AX151" s="94">
        <v>35</v>
      </c>
      <c r="AY151" s="75">
        <v>21345634.729999989</v>
      </c>
      <c r="AZ151" s="94">
        <v>61</v>
      </c>
      <c r="BA151" s="69">
        <f>'TFA - Folio'!H156</f>
        <v>0</v>
      </c>
      <c r="BB151" s="40">
        <f>'TFA - Folio'!I151</f>
        <v>1</v>
      </c>
      <c r="BC151" s="80">
        <f>'TFA - Folio'!K156-('TFA - Folio'!L156+'TFA - Folio'!M156)</f>
        <v>0</v>
      </c>
      <c r="BD151" s="79">
        <f>'TFA - Folio'!N156</f>
        <v>0</v>
      </c>
      <c r="BE151" s="75">
        <f>'TFA - Folio'!O156-('TFA - Folio'!P156+'TFA - Folio'!Q156)</f>
        <v>0</v>
      </c>
      <c r="BF151" s="94">
        <f>'TFA - Folio'!R156</f>
        <v>0</v>
      </c>
      <c r="BG151" s="69">
        <f>UNC!B114</f>
        <v>132118121.58000001</v>
      </c>
      <c r="BH151" s="40">
        <f>UNC!C114</f>
        <v>1</v>
      </c>
      <c r="BI151" s="69">
        <f>'Schwab LC'!D111</f>
        <v>4731618.3800000008</v>
      </c>
      <c r="BJ151" s="40">
        <f>'Schwab LC'!E111</f>
        <v>2</v>
      </c>
      <c r="BK151" s="200">
        <v>21468928.770000003</v>
      </c>
      <c r="BL151" s="199">
        <v>233</v>
      </c>
      <c r="BM151" s="200">
        <v>14724199.440000001</v>
      </c>
      <c r="BN151" s="199">
        <v>7</v>
      </c>
      <c r="BO151" s="200">
        <v>611149.1</v>
      </c>
      <c r="BP151" s="199">
        <v>2</v>
      </c>
      <c r="BQ151" s="200">
        <v>347343.75</v>
      </c>
      <c r="BR151" s="199">
        <v>1</v>
      </c>
      <c r="BS151" s="200">
        <v>25337294.18</v>
      </c>
      <c r="BT151" s="199">
        <v>13</v>
      </c>
      <c r="BU151" s="200">
        <v>2786286.67</v>
      </c>
      <c r="BV151" s="199">
        <v>7</v>
      </c>
      <c r="BW151" s="200">
        <v>3786793.1300000004</v>
      </c>
      <c r="BX151" s="199">
        <v>3</v>
      </c>
      <c r="BY151" s="200">
        <v>6061143.4100000001</v>
      </c>
      <c r="BZ151" s="199">
        <v>2</v>
      </c>
      <c r="CA151" s="200">
        <v>9329581.4600000009</v>
      </c>
      <c r="CB151" s="199">
        <v>1</v>
      </c>
      <c r="CC151" s="200">
        <v>4148569.48</v>
      </c>
      <c r="CD151" s="199">
        <v>1</v>
      </c>
      <c r="CE151" s="205">
        <v>604850.5</v>
      </c>
      <c r="CF151" s="199">
        <v>3</v>
      </c>
      <c r="CG151" s="205">
        <v>141559.66</v>
      </c>
      <c r="CH151" s="199">
        <v>1</v>
      </c>
    </row>
    <row r="152" spans="1:112">
      <c r="A152" s="38">
        <v>45838</v>
      </c>
      <c r="B152" s="7">
        <f t="shared" si="80"/>
        <v>2167703863.8481097</v>
      </c>
      <c r="C152" s="84">
        <f>P152+R152+AB152+AD152+AN152+AP152+AR152+AT152+AV152+AX152+AZ152+BB152+BD152+BH152+BJ152+CL152+AJ152+V152+T152+BF152+AL152+X152+Z152+AF152+BL152+BN152+BP152+BR152+BT152+BV152</f>
        <v>10467</v>
      </c>
      <c r="D152" s="65">
        <f t="shared" ref="D152" si="94">O152+BG152+BI152</f>
        <v>361009975.81999987</v>
      </c>
      <c r="E152" s="153">
        <f t="shared" ref="E152" si="95">P152+BH152+BJ152</f>
        <v>4</v>
      </c>
      <c r="F152" s="71">
        <f t="shared" si="85"/>
        <v>0</v>
      </c>
      <c r="G152" s="170">
        <f t="shared" si="86"/>
        <v>0</v>
      </c>
      <c r="H152" s="202">
        <f t="shared" ref="H152" si="96">Q152+CI152</f>
        <v>95504245.630000025</v>
      </c>
      <c r="I152" s="203">
        <f t="shared" ref="I152" si="97">R152+CZ152+CJ152</f>
        <v>1</v>
      </c>
      <c r="J152" s="73">
        <f t="shared" si="89"/>
        <v>487288118.00811017</v>
      </c>
      <c r="K152" s="99">
        <f t="shared" si="90"/>
        <v>8502</v>
      </c>
      <c r="L152" s="78">
        <f>BC152+CK152+DE152+CW152+AI152+S152+AK152+Y152+AA152+AC152+AE152+BK152+BM152+BO152+BQ152+BS152+BU152+BW152+BY152+CA152+CC152+BA152+AG152+CE152+CG152</f>
        <v>1223901524.3900001</v>
      </c>
      <c r="M152" s="185">
        <f t="shared" si="91"/>
        <v>176</v>
      </c>
      <c r="O152" s="69">
        <f>SILVX!B159</f>
        <v>223479645.40999985</v>
      </c>
      <c r="P152" s="91">
        <f>SILVX!G159</f>
        <v>1</v>
      </c>
      <c r="Q152" s="70">
        <f>SGLIX!B104</f>
        <v>95504245.630000025</v>
      </c>
      <c r="R152" s="93">
        <f>SGLIX!G104</f>
        <v>1</v>
      </c>
      <c r="S152" s="71">
        <f>BOGIX!B53</f>
        <v>111955121.47999994</v>
      </c>
      <c r="T152" s="92">
        <f>BOGIX!G53</f>
        <v>1</v>
      </c>
      <c r="U152" s="75">
        <f>FoF!AD62</f>
        <v>23527143.74000001</v>
      </c>
      <c r="V152" s="94">
        <f>FoF!AE62</f>
        <v>2</v>
      </c>
      <c r="W152" s="75">
        <f>DYTA!J29</f>
        <v>32708698.48</v>
      </c>
      <c r="X152" s="94">
        <f>DYTA!K29</f>
        <v>1</v>
      </c>
      <c r="Y152" s="69">
        <f>SGLC!B29</f>
        <v>88990313.840000048</v>
      </c>
      <c r="Z152" s="91">
        <f>SGLC!G29</f>
        <v>1</v>
      </c>
      <c r="AA152" s="70">
        <f>GINX!B18</f>
        <v>80061332.88000001</v>
      </c>
      <c r="AB152" s="93">
        <f>GINX!G18</f>
        <v>1</v>
      </c>
      <c r="AC152" s="80">
        <f>USDX!B18</f>
        <v>483265780.66999996</v>
      </c>
      <c r="AD152" s="156">
        <f>USDX!G18</f>
        <v>1</v>
      </c>
      <c r="AE152" s="80">
        <f>QXQ!B14</f>
        <v>34849260.119999997</v>
      </c>
      <c r="AF152" s="156">
        <f>QXQ!G14</f>
        <v>0</v>
      </c>
      <c r="AG152" s="80">
        <f>LDRX!B4</f>
        <v>182419640.28</v>
      </c>
      <c r="AH152" s="156">
        <f>LDRX!G4</f>
        <v>1</v>
      </c>
      <c r="AI152" s="80">
        <f>HF!B56</f>
        <v>1899044.54</v>
      </c>
      <c r="AJ152" s="156">
        <f>HF!C56</f>
        <v>1</v>
      </c>
      <c r="AK152" s="80">
        <f>IB!S44</f>
        <v>151182462.67000002</v>
      </c>
      <c r="AL152" s="156">
        <f>IB!R44</f>
        <v>173</v>
      </c>
      <c r="AM152" s="76">
        <f>Schwab!S147</f>
        <v>181158050.91999954</v>
      </c>
      <c r="AN152" s="74">
        <f>Schwab!Q147</f>
        <v>4566</v>
      </c>
      <c r="AO152" s="75">
        <f>Fidelity!P152</f>
        <v>207667460.0481106</v>
      </c>
      <c r="AP152" s="94">
        <f>Fidelity!O152</f>
        <v>3732</v>
      </c>
      <c r="AQ152" s="75">
        <f>Empower!F42</f>
        <v>658732.52000000025</v>
      </c>
      <c r="AR152" s="94">
        <v>54</v>
      </c>
      <c r="AS152" s="75">
        <v>10876370.499999994</v>
      </c>
      <c r="AT152" s="94">
        <v>1520</v>
      </c>
      <c r="AU152" s="75">
        <v>4745914.7399999974</v>
      </c>
      <c r="AV152" s="94">
        <v>47</v>
      </c>
      <c r="AW152" s="75">
        <v>2924412.98</v>
      </c>
      <c r="AX152" s="94">
        <v>38</v>
      </c>
      <c r="AY152" s="75">
        <v>23021334.080000002</v>
      </c>
      <c r="AZ152" s="94">
        <v>62</v>
      </c>
      <c r="BA152" s="69">
        <f>'TFA - Folio'!H157</f>
        <v>0</v>
      </c>
      <c r="BB152" s="40">
        <f>'TFA - Folio'!I152</f>
        <v>1</v>
      </c>
      <c r="BC152" s="80">
        <f>'TFA - Folio'!K157-('TFA - Folio'!L157+'TFA - Folio'!M157)</f>
        <v>0</v>
      </c>
      <c r="BD152" s="79">
        <f>'TFA - Folio'!N157</f>
        <v>0</v>
      </c>
      <c r="BE152" s="75">
        <f>'TFA - Folio'!O157-('TFA - Folio'!P157+'TFA - Folio'!Q157)</f>
        <v>0</v>
      </c>
      <c r="BF152" s="94">
        <f>'TFA - Folio'!R157</f>
        <v>0</v>
      </c>
      <c r="BG152" s="69">
        <f>UNC!B115</f>
        <v>132772789.34</v>
      </c>
      <c r="BH152" s="40">
        <f>UNC!C115</f>
        <v>1</v>
      </c>
      <c r="BI152" s="69">
        <f>'Schwab LC'!D112</f>
        <v>4757541.0700000012</v>
      </c>
      <c r="BJ152" s="40">
        <f>'Schwab LC'!E112</f>
        <v>2</v>
      </c>
      <c r="BK152" s="200">
        <v>21468928.770000003</v>
      </c>
      <c r="BL152" s="199">
        <v>233</v>
      </c>
      <c r="BM152" s="200">
        <v>14724199.440000001</v>
      </c>
      <c r="BN152" s="199">
        <v>7</v>
      </c>
      <c r="BO152" s="200">
        <v>592228.86</v>
      </c>
      <c r="BP152" s="199">
        <v>1</v>
      </c>
      <c r="BQ152" s="200">
        <v>347343.75</v>
      </c>
      <c r="BR152" s="199">
        <v>1</v>
      </c>
      <c r="BS152" s="200">
        <v>25287082.780000001</v>
      </c>
      <c r="BT152" s="199">
        <v>12</v>
      </c>
      <c r="BU152" s="200">
        <v>2786286.67</v>
      </c>
      <c r="BV152" s="199">
        <v>7</v>
      </c>
      <c r="BW152" s="200">
        <v>3786793.1300000004</v>
      </c>
      <c r="BX152" s="199">
        <v>3</v>
      </c>
      <c r="BY152" s="200">
        <v>6061143.4100000001</v>
      </c>
      <c r="BZ152" s="199">
        <v>2</v>
      </c>
      <c r="CA152" s="200">
        <v>9329581.4600000009</v>
      </c>
      <c r="CB152" s="199">
        <v>1</v>
      </c>
      <c r="CC152" s="200">
        <v>4148569.48</v>
      </c>
      <c r="CD152" s="199">
        <v>1</v>
      </c>
      <c r="CE152" s="205">
        <v>604850.5</v>
      </c>
      <c r="CF152" s="199">
        <v>3</v>
      </c>
      <c r="CG152" s="205">
        <v>141559.66</v>
      </c>
      <c r="CH152" s="199">
        <v>1</v>
      </c>
    </row>
    <row r="153" spans="1:112">
      <c r="A153" s="38"/>
      <c r="B153" s="6"/>
      <c r="C153" s="85"/>
      <c r="D153" s="69"/>
      <c r="AE153" s="80"/>
      <c r="AG153" s="80"/>
      <c r="AI153" s="80"/>
      <c r="AK153" s="80"/>
      <c r="AR153" s="94"/>
      <c r="AT153" s="94"/>
      <c r="AV153" s="94"/>
      <c r="AX153" s="94"/>
      <c r="AZ153" s="94"/>
      <c r="BE153" s="94"/>
      <c r="BI153" s="69"/>
      <c r="BK153" s="200"/>
      <c r="BM153" s="200"/>
      <c r="BO153" s="200"/>
      <c r="BQ153" s="200"/>
      <c r="BS153" s="200"/>
      <c r="BU153" s="200"/>
      <c r="BW153" s="200"/>
      <c r="BY153" s="200"/>
      <c r="CA153" s="200"/>
      <c r="CC153" s="200"/>
      <c r="CE153" s="205"/>
    </row>
    <row r="154" spans="1:112">
      <c r="A154" s="38"/>
      <c r="B154" s="6"/>
      <c r="C154" s="85"/>
      <c r="D154" s="69"/>
      <c r="AE154" s="80"/>
      <c r="AG154" s="80"/>
      <c r="AQ154" s="75"/>
      <c r="AR154" s="94"/>
      <c r="AS154" s="75"/>
      <c r="AT154" s="94"/>
      <c r="AU154" s="75"/>
      <c r="AV154" s="94"/>
      <c r="AW154" s="75"/>
      <c r="AX154" s="94"/>
      <c r="AY154" s="75"/>
      <c r="AZ154" s="94"/>
      <c r="BK154" s="200"/>
      <c r="BM154" s="200"/>
      <c r="BO154" s="200"/>
      <c r="BQ154" s="200"/>
      <c r="BS154" s="200"/>
      <c r="BU154" s="200"/>
      <c r="BW154" s="200"/>
      <c r="BY154" s="200"/>
      <c r="CA154" s="200"/>
      <c r="CC154" s="200"/>
      <c r="CE154" s="205"/>
    </row>
    <row r="155" spans="1:112">
      <c r="A155" s="38"/>
      <c r="B155" s="6"/>
      <c r="C155" s="85"/>
      <c r="D155" s="69"/>
      <c r="AE155" s="80"/>
      <c r="AG155" s="80"/>
      <c r="AQ155" s="75"/>
      <c r="AR155" s="94"/>
      <c r="AS155" s="75"/>
      <c r="AT155" s="94"/>
      <c r="AU155" s="75"/>
      <c r="AV155" s="94"/>
      <c r="AW155" s="75"/>
      <c r="AX155" s="94"/>
      <c r="AY155" s="75"/>
      <c r="AZ155" s="94"/>
      <c r="BK155" s="200"/>
      <c r="BM155" s="200"/>
      <c r="BO155" s="200"/>
      <c r="BQ155" s="200"/>
      <c r="BS155" s="200"/>
      <c r="BU155" s="200"/>
      <c r="BW155" s="200"/>
      <c r="BY155" s="200"/>
      <c r="CA155" s="200"/>
      <c r="CC155" s="200"/>
      <c r="CE155" s="205"/>
    </row>
    <row r="156" spans="1:112">
      <c r="A156" s="38"/>
      <c r="B156" s="6"/>
      <c r="C156" s="85"/>
      <c r="D156" s="69"/>
      <c r="O156" s="69"/>
      <c r="Q156" s="70"/>
      <c r="S156" s="71"/>
      <c r="AE156" s="80"/>
      <c r="AG156" s="80"/>
      <c r="AQ156" s="75"/>
      <c r="AR156" s="94"/>
      <c r="AS156" s="75"/>
      <c r="AT156" s="94"/>
      <c r="AU156" s="75"/>
      <c r="AV156" s="94"/>
      <c r="AW156" s="75"/>
      <c r="AX156" s="94"/>
      <c r="AY156" s="75"/>
      <c r="AZ156" s="94"/>
      <c r="BK156" s="200"/>
      <c r="BM156" s="200"/>
      <c r="BO156" s="200"/>
      <c r="BQ156" s="200"/>
      <c r="BS156" s="200"/>
      <c r="BU156" s="200"/>
      <c r="BW156" s="200"/>
      <c r="BY156" s="200"/>
      <c r="CA156" s="200"/>
      <c r="CC156" s="200"/>
      <c r="CE156" s="205"/>
    </row>
    <row r="157" spans="1:112">
      <c r="A157" s="38"/>
      <c r="B157" s="6"/>
      <c r="C157" s="85"/>
      <c r="D157" s="69"/>
      <c r="O157" s="69"/>
      <c r="Q157" s="70"/>
      <c r="S157" s="71"/>
      <c r="AE157" s="80"/>
      <c r="AG157" s="80"/>
      <c r="AQ157" s="75"/>
      <c r="AR157" s="94"/>
      <c r="AS157" s="75"/>
      <c r="AT157" s="94"/>
      <c r="AU157" s="75"/>
      <c r="AV157" s="94"/>
      <c r="AW157" s="75"/>
      <c r="AX157" s="94"/>
      <c r="AY157" s="75"/>
      <c r="AZ157" s="94"/>
      <c r="BK157" s="200"/>
      <c r="BM157" s="200"/>
      <c r="BO157" s="200"/>
      <c r="BQ157" s="200"/>
      <c r="BS157" s="200"/>
      <c r="BU157" s="200"/>
      <c r="BW157" s="200"/>
      <c r="BY157" s="200"/>
      <c r="CA157" s="200"/>
      <c r="CC157" s="200"/>
      <c r="CE157" s="205"/>
    </row>
    <row r="158" spans="1:112">
      <c r="B158" s="6"/>
      <c r="D158" s="69"/>
      <c r="O158" s="69"/>
      <c r="Q158" s="70"/>
      <c r="S158" s="71"/>
      <c r="AE158" s="80"/>
      <c r="AG158" s="80"/>
      <c r="AQ158" s="75"/>
      <c r="AR158" s="94"/>
      <c r="AS158" s="75"/>
      <c r="AT158" s="94"/>
      <c r="AU158" s="75"/>
      <c r="AV158" s="94"/>
      <c r="AW158" s="75"/>
      <c r="AX158" s="94"/>
      <c r="AY158" s="75"/>
      <c r="AZ158" s="94"/>
      <c r="BK158" s="200"/>
      <c r="BM158" s="200"/>
      <c r="BO158" s="200"/>
      <c r="BQ158" s="200"/>
      <c r="BS158" s="200"/>
      <c r="BU158" s="200"/>
      <c r="BW158" s="200"/>
      <c r="BY158" s="200"/>
      <c r="CA158" s="200"/>
      <c r="CC158" s="200"/>
      <c r="CE158" s="205"/>
    </row>
    <row r="159" spans="1:112">
      <c r="B159" s="6"/>
      <c r="D159" s="69"/>
      <c r="O159" s="69"/>
      <c r="Q159" s="70"/>
      <c r="S159" s="71"/>
      <c r="AE159" s="80"/>
      <c r="AG159" s="80"/>
      <c r="AQ159" s="75"/>
      <c r="AR159" s="94"/>
      <c r="AS159" s="75"/>
      <c r="AT159" s="94"/>
      <c r="AU159" s="75"/>
      <c r="AV159" s="94"/>
      <c r="AW159" s="75"/>
      <c r="AX159" s="94"/>
      <c r="AY159" s="75"/>
      <c r="AZ159" s="94"/>
      <c r="BK159" s="200"/>
      <c r="BM159" s="200"/>
      <c r="BO159" s="200"/>
      <c r="BQ159" s="200"/>
      <c r="BS159" s="200"/>
      <c r="BU159" s="200"/>
      <c r="BW159" s="200"/>
      <c r="BY159" s="200"/>
      <c r="CA159" s="200"/>
      <c r="CC159" s="200"/>
      <c r="CE159" s="205"/>
    </row>
    <row r="160" spans="1:112">
      <c r="B160" s="6"/>
      <c r="D160" s="69"/>
      <c r="O160" s="69"/>
      <c r="Q160" s="70"/>
      <c r="S160" s="71"/>
      <c r="AE160" s="80"/>
      <c r="AG160" s="80"/>
      <c r="AQ160" s="75"/>
      <c r="AR160" s="94"/>
      <c r="AS160" s="75"/>
      <c r="AT160" s="94"/>
      <c r="AU160" s="75"/>
      <c r="AV160" s="94"/>
      <c r="AW160" s="75"/>
      <c r="AX160" s="94"/>
      <c r="AY160" s="75"/>
      <c r="AZ160" s="94"/>
      <c r="BK160" s="200"/>
      <c r="BM160" s="200"/>
      <c r="BO160" s="200"/>
      <c r="BQ160" s="200"/>
      <c r="BS160" s="200"/>
      <c r="BU160" s="200"/>
      <c r="BW160" s="200"/>
      <c r="BY160" s="200"/>
      <c r="CA160" s="200"/>
      <c r="CC160" s="200"/>
      <c r="CE160" s="205"/>
    </row>
    <row r="161" spans="4:83">
      <c r="D161" s="69"/>
      <c r="O161" s="69"/>
      <c r="Q161" s="70"/>
      <c r="S161" s="71"/>
      <c r="AE161" s="80"/>
      <c r="AG161" s="80"/>
      <c r="BK161" s="200"/>
      <c r="BM161" s="200"/>
      <c r="BO161" s="200"/>
      <c r="BQ161" s="200"/>
      <c r="BS161" s="200"/>
      <c r="BU161" s="200"/>
      <c r="BW161" s="200"/>
      <c r="BY161" s="200"/>
      <c r="CA161" s="200"/>
      <c r="CC161" s="200"/>
      <c r="CE161" s="205"/>
    </row>
    <row r="162" spans="4:83">
      <c r="O162" s="69"/>
      <c r="Q162" s="70"/>
      <c r="S162" s="71"/>
      <c r="AE162" s="80"/>
      <c r="AG162" s="80"/>
      <c r="BK162" s="200"/>
      <c r="BM162" s="200"/>
      <c r="BO162" s="200"/>
      <c r="BQ162" s="200"/>
      <c r="BS162" s="200"/>
      <c r="BU162" s="200"/>
      <c r="BW162" s="200"/>
      <c r="BY162" s="200"/>
      <c r="CA162" s="200"/>
      <c r="CC162" s="200"/>
      <c r="CE162" s="205"/>
    </row>
    <row r="163" spans="4:83">
      <c r="O163" s="69"/>
      <c r="Q163" s="70"/>
      <c r="S163" s="71"/>
      <c r="AE163" s="80"/>
      <c r="AG163" s="80"/>
      <c r="BK163" s="200"/>
      <c r="BM163" s="200"/>
      <c r="BO163" s="200"/>
      <c r="BQ163" s="200"/>
      <c r="BS163" s="200"/>
      <c r="BU163" s="200"/>
      <c r="BW163" s="200"/>
      <c r="BY163" s="200"/>
      <c r="CA163" s="200"/>
      <c r="CC163" s="200"/>
      <c r="CE163" s="205"/>
    </row>
    <row r="164" spans="4:83">
      <c r="O164" s="69"/>
      <c r="Q164" s="70"/>
      <c r="S164" s="71"/>
      <c r="AE164" s="80"/>
      <c r="AG164" s="80"/>
      <c r="BK164" s="200"/>
      <c r="BM164" s="200"/>
      <c r="BO164" s="200"/>
      <c r="BQ164" s="200"/>
      <c r="BS164" s="200"/>
      <c r="BU164" s="200"/>
      <c r="BW164" s="200"/>
      <c r="BY164" s="200"/>
      <c r="CA164" s="200"/>
      <c r="CC164" s="200"/>
      <c r="CE164" s="205"/>
    </row>
    <row r="165" spans="4:83">
      <c r="O165" s="69"/>
      <c r="Q165" s="70"/>
      <c r="S165" s="71"/>
      <c r="AE165" s="80"/>
      <c r="AG165" s="80"/>
      <c r="BK165" s="200"/>
      <c r="BM165" s="200"/>
      <c r="BO165" s="200"/>
      <c r="BQ165" s="200"/>
      <c r="BS165" s="200"/>
      <c r="BU165" s="200"/>
      <c r="BW165" s="200"/>
      <c r="BY165" s="200"/>
      <c r="CA165" s="200"/>
      <c r="CC165" s="200"/>
      <c r="CE165" s="205"/>
    </row>
    <row r="166" spans="4:83">
      <c r="O166" s="69"/>
      <c r="Q166" s="70"/>
      <c r="S166" s="71"/>
      <c r="AE166" s="80"/>
      <c r="AG166" s="80"/>
      <c r="BK166" s="200"/>
      <c r="BM166" s="200"/>
      <c r="BO166" s="200"/>
      <c r="BQ166" s="200"/>
      <c r="BS166" s="200"/>
      <c r="BU166" s="200"/>
      <c r="BW166" s="200"/>
      <c r="BY166" s="200"/>
      <c r="CA166" s="200"/>
      <c r="CC166" s="200"/>
      <c r="CE166" s="205"/>
    </row>
    <row r="167" spans="4:83">
      <c r="O167" s="69"/>
      <c r="Q167" s="70"/>
      <c r="S167" s="71"/>
      <c r="AE167" s="80"/>
      <c r="AG167" s="80"/>
      <c r="BK167" s="200"/>
      <c r="BM167" s="200"/>
      <c r="BO167" s="200"/>
      <c r="BQ167" s="200"/>
      <c r="BS167" s="200"/>
      <c r="BU167" s="200"/>
      <c r="BW167" s="200"/>
      <c r="BY167" s="200"/>
      <c r="CA167" s="200"/>
      <c r="CC167" s="200"/>
      <c r="CE167" s="205"/>
    </row>
    <row r="168" spans="4:83">
      <c r="O168" s="69"/>
      <c r="Q168" s="70"/>
      <c r="S168" s="71"/>
      <c r="AE168" s="80"/>
      <c r="AG168" s="80"/>
      <c r="BK168" s="200"/>
      <c r="BM168" s="200"/>
      <c r="BO168" s="200"/>
      <c r="BQ168" s="200"/>
      <c r="BS168" s="200"/>
      <c r="BU168" s="200"/>
      <c r="BW168" s="200"/>
      <c r="BY168" s="200"/>
      <c r="CA168" s="200"/>
      <c r="CC168" s="200"/>
      <c r="CE168" s="205"/>
    </row>
    <row r="169" spans="4:83">
      <c r="BK169" s="200"/>
      <c r="BM169" s="200"/>
      <c r="BO169" s="200"/>
      <c r="BQ169" s="200"/>
      <c r="BS169" s="200"/>
      <c r="BU169" s="200"/>
      <c r="BW169" s="200"/>
      <c r="BY169" s="200"/>
      <c r="CA169" s="200"/>
      <c r="CC169" s="200"/>
      <c r="CE169" s="205"/>
    </row>
    <row r="170" spans="4:83">
      <c r="BK170" s="200"/>
      <c r="BM170" s="200"/>
      <c r="BO170" s="200"/>
      <c r="BQ170" s="200"/>
      <c r="BS170" s="200"/>
      <c r="BU170" s="200"/>
      <c r="BW170" s="200"/>
      <c r="BY170" s="200"/>
      <c r="CA170" s="200"/>
      <c r="CC170" s="200"/>
      <c r="CE170" s="205"/>
    </row>
    <row r="171" spans="4:83">
      <c r="BK171" s="200"/>
      <c r="BM171" s="200"/>
      <c r="BO171" s="200"/>
      <c r="BQ171" s="200"/>
      <c r="BS171" s="200"/>
      <c r="BU171" s="200"/>
      <c r="BW171" s="200"/>
      <c r="BY171" s="200"/>
      <c r="CA171" s="200"/>
      <c r="CC171" s="200"/>
      <c r="CE171" s="205"/>
    </row>
    <row r="172" spans="4:83">
      <c r="BK172" s="200"/>
      <c r="BM172" s="200"/>
      <c r="BO172" s="200"/>
      <c r="BQ172" s="200"/>
      <c r="BS172" s="200"/>
      <c r="BU172" s="200"/>
      <c r="BW172" s="200"/>
      <c r="BY172" s="200"/>
      <c r="CA172" s="200"/>
      <c r="CC172" s="200"/>
      <c r="CE172" s="205"/>
    </row>
    <row r="173" spans="4:83">
      <c r="BK173" s="200"/>
      <c r="BM173" s="200"/>
      <c r="BO173" s="200"/>
      <c r="BQ173" s="200"/>
      <c r="BS173" s="200"/>
      <c r="BU173" s="200"/>
      <c r="BW173" s="200"/>
      <c r="BY173" s="200"/>
      <c r="CA173" s="200"/>
      <c r="CC173" s="200"/>
    </row>
    <row r="175" spans="4:83">
      <c r="O175" s="69"/>
      <c r="Q175" s="70"/>
      <c r="S175" s="71"/>
    </row>
    <row r="187" spans="15:19">
      <c r="O187" s="69"/>
      <c r="Q187" s="70"/>
      <c r="S187" s="71"/>
    </row>
    <row r="199" spans="15:19">
      <c r="O199" s="69"/>
      <c r="Q199" s="70"/>
      <c r="S199" s="7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59999389629810485"/>
  </sheetPr>
  <dimension ref="A1:U162"/>
  <sheetViews>
    <sheetView workbookViewId="0">
      <pane ySplit="1" topLeftCell="A132" activePane="bottomLeft" state="frozen"/>
      <selection activeCell="B37" sqref="B37"/>
      <selection pane="bottomLeft" activeCell="B162" sqref="B162"/>
    </sheetView>
  </sheetViews>
  <sheetFormatPr baseColWidth="10" defaultColWidth="11" defaultRowHeight="16"/>
  <cols>
    <col min="1" max="1" width="9.83203125" style="53" bestFit="1" customWidth="1"/>
    <col min="2" max="2" width="16.83203125" style="2" bestFit="1" customWidth="1"/>
    <col min="3" max="3" width="9.1640625" bestFit="1" customWidth="1"/>
    <col min="4" max="4" width="15.33203125" bestFit="1" customWidth="1"/>
    <col min="5" max="6" width="16.83203125" bestFit="1" customWidth="1"/>
    <col min="7" max="7" width="5.33203125" bestFit="1" customWidth="1"/>
    <col min="8" max="8" width="12.6640625" style="32" bestFit="1" customWidth="1"/>
    <col min="10" max="10" width="12.1640625" bestFit="1" customWidth="1"/>
    <col min="11" max="11" width="15.6640625" bestFit="1" customWidth="1"/>
  </cols>
  <sheetData>
    <row r="1" spans="1:11">
      <c r="A1" s="52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10</v>
      </c>
      <c r="G1" s="3" t="s">
        <v>69</v>
      </c>
      <c r="H1" s="31" t="s">
        <v>12</v>
      </c>
      <c r="J1" s="102"/>
      <c r="K1" s="103" t="s">
        <v>86</v>
      </c>
    </row>
    <row r="2" spans="1:11">
      <c r="A2" s="38">
        <v>41060</v>
      </c>
      <c r="B2" s="36">
        <v>3126485.8</v>
      </c>
      <c r="C2" s="3"/>
      <c r="D2" s="3"/>
      <c r="E2" s="3"/>
      <c r="F2" s="3"/>
      <c r="G2" s="24">
        <v>1</v>
      </c>
      <c r="H2" s="31"/>
      <c r="J2" s="104">
        <v>2012</v>
      </c>
      <c r="K2" s="105">
        <f>AVERAGE(B2:B9)</f>
        <v>5189634.9562500007</v>
      </c>
    </row>
    <row r="3" spans="1:11">
      <c r="A3" s="38">
        <v>41090</v>
      </c>
      <c r="B3" s="36">
        <v>2325832.6800000002</v>
      </c>
      <c r="C3" s="3"/>
      <c r="D3" s="3"/>
      <c r="E3" s="3"/>
      <c r="F3" s="3"/>
      <c r="G3" s="24">
        <v>1</v>
      </c>
      <c r="H3" s="31"/>
      <c r="J3" s="104">
        <v>2013</v>
      </c>
      <c r="K3" s="105">
        <f>AVERAGE(B10:B21)</f>
        <v>23557376.485833332</v>
      </c>
    </row>
    <row r="4" spans="1:11">
      <c r="A4" s="38">
        <v>41121</v>
      </c>
      <c r="B4" s="36">
        <v>3567730.66</v>
      </c>
      <c r="C4" s="3"/>
      <c r="D4" s="3"/>
      <c r="E4" s="3"/>
      <c r="F4" s="3"/>
      <c r="G4" s="24">
        <v>1</v>
      </c>
      <c r="H4" s="31"/>
      <c r="J4" s="104">
        <v>2014</v>
      </c>
      <c r="K4" s="105">
        <f>AVERAGE(B22:B33)</f>
        <v>56651691.752499998</v>
      </c>
    </row>
    <row r="5" spans="1:11">
      <c r="A5" s="38">
        <v>41152</v>
      </c>
      <c r="B5" s="36">
        <v>3561857.14</v>
      </c>
      <c r="C5" s="3"/>
      <c r="D5" s="3"/>
      <c r="E5" s="3"/>
      <c r="F5" s="3"/>
      <c r="G5" s="24">
        <v>1</v>
      </c>
      <c r="H5" s="31"/>
      <c r="J5" s="104">
        <v>2015</v>
      </c>
      <c r="K5" s="105">
        <f>AVERAGE(B34:B45)</f>
        <v>73810982.085833326</v>
      </c>
    </row>
    <row r="6" spans="1:11">
      <c r="A6" s="38">
        <v>41182</v>
      </c>
      <c r="B6" s="36">
        <v>5001232.1900000004</v>
      </c>
      <c r="C6" s="3"/>
      <c r="D6" s="3"/>
      <c r="E6" s="3"/>
      <c r="F6" s="3"/>
      <c r="G6" s="24">
        <v>1</v>
      </c>
      <c r="H6" s="31"/>
      <c r="J6" s="104">
        <v>2016</v>
      </c>
      <c r="K6" s="105">
        <f>AVERAGE(B46:B57)</f>
        <v>110447008.73583333</v>
      </c>
    </row>
    <row r="7" spans="1:11">
      <c r="A7" s="38">
        <v>41213</v>
      </c>
      <c r="B7" s="36">
        <v>6130044.0599999996</v>
      </c>
      <c r="C7" s="3"/>
      <c r="D7" s="3"/>
      <c r="E7" s="3"/>
      <c r="F7" s="3"/>
      <c r="G7" s="24">
        <v>1</v>
      </c>
      <c r="H7" s="31"/>
      <c r="J7" s="104">
        <v>2017</v>
      </c>
      <c r="K7" s="105">
        <f>AVERAGE(B58:B69)</f>
        <v>112714097.5175</v>
      </c>
    </row>
    <row r="8" spans="1:11">
      <c r="A8" s="38">
        <v>41243</v>
      </c>
      <c r="B8" s="36">
        <v>8317344.8200000003</v>
      </c>
      <c r="C8" s="3"/>
      <c r="D8" s="3"/>
      <c r="E8" s="3"/>
      <c r="F8" s="3"/>
      <c r="G8" s="24">
        <v>1</v>
      </c>
      <c r="H8" s="31"/>
      <c r="J8" s="104">
        <v>2018</v>
      </c>
      <c r="K8" s="106"/>
    </row>
    <row r="9" spans="1:11">
      <c r="A9" s="38">
        <v>41274</v>
      </c>
      <c r="B9" s="2">
        <v>9486552.3000000007</v>
      </c>
      <c r="G9" s="24">
        <v>1</v>
      </c>
      <c r="J9" s="104">
        <v>2019</v>
      </c>
      <c r="K9" s="106"/>
    </row>
    <row r="10" spans="1:11">
      <c r="A10" s="38">
        <v>41305</v>
      </c>
      <c r="B10" s="2">
        <v>10810338.449999999</v>
      </c>
      <c r="C10" s="5">
        <v>4.8000000000000001E-2</v>
      </c>
      <c r="D10" s="6">
        <f>SUM(C10*B9)</f>
        <v>455354.51040000003</v>
      </c>
      <c r="E10" s="6">
        <f>B10-(B9+D10)</f>
        <v>868431.63959999755</v>
      </c>
      <c r="F10" s="6">
        <f t="shared" ref="F10:F73" si="0">D10+E10</f>
        <v>1323786.1499999976</v>
      </c>
      <c r="G10" s="24">
        <v>1</v>
      </c>
      <c r="J10" s="104">
        <v>2020</v>
      </c>
      <c r="K10" s="106"/>
    </row>
    <row r="11" spans="1:11">
      <c r="A11" s="38">
        <f>AUM!A4</f>
        <v>41333</v>
      </c>
      <c r="B11" s="2">
        <v>11771287.619999999</v>
      </c>
      <c r="C11" s="5">
        <v>3.8399999999999997E-2</v>
      </c>
      <c r="D11" s="6">
        <f t="shared" ref="D11:D71" si="1">SUM(C11*B10)</f>
        <v>415116.99647999991</v>
      </c>
      <c r="E11" s="6">
        <f t="shared" ref="E11:E69" si="2">B11-(B10+D11)</f>
        <v>545832.17352000065</v>
      </c>
      <c r="F11" s="6">
        <f t="shared" si="0"/>
        <v>960949.17000000062</v>
      </c>
      <c r="G11" s="24">
        <v>1</v>
      </c>
      <c r="J11" s="107"/>
      <c r="K11" s="106"/>
    </row>
    <row r="12" spans="1:11">
      <c r="A12" s="38">
        <f>AUM!A5</f>
        <v>41364</v>
      </c>
      <c r="B12" s="2">
        <v>13089271.15</v>
      </c>
      <c r="C12" s="5">
        <v>4.3200000000000002E-2</v>
      </c>
      <c r="D12" s="6">
        <f t="shared" si="1"/>
        <v>508519.625184</v>
      </c>
      <c r="E12" s="6">
        <f t="shared" si="2"/>
        <v>809463.90481600165</v>
      </c>
      <c r="F12" s="6">
        <f t="shared" si="0"/>
        <v>1317983.5300000017</v>
      </c>
      <c r="G12" s="24">
        <v>1</v>
      </c>
      <c r="J12" s="108"/>
      <c r="K12" s="109"/>
    </row>
    <row r="13" spans="1:11">
      <c r="A13" s="38">
        <f>AUM!A6</f>
        <v>41394</v>
      </c>
      <c r="B13" s="2">
        <v>16958368.559999999</v>
      </c>
      <c r="C13" s="5">
        <v>2.5000000000000001E-2</v>
      </c>
      <c r="D13" s="6">
        <f t="shared" si="1"/>
        <v>327231.77875000006</v>
      </c>
      <c r="E13" s="6">
        <f t="shared" si="2"/>
        <v>3541865.6312499978</v>
      </c>
      <c r="F13" s="6">
        <f t="shared" si="0"/>
        <v>3869097.4099999978</v>
      </c>
      <c r="G13" s="24">
        <v>1</v>
      </c>
    </row>
    <row r="14" spans="1:11">
      <c r="A14" s="38">
        <f>AUM!A7</f>
        <v>41425</v>
      </c>
      <c r="B14" s="2">
        <v>17899655.399999999</v>
      </c>
      <c r="C14" s="5">
        <v>-1.35E-2</v>
      </c>
      <c r="D14" s="6">
        <f t="shared" si="1"/>
        <v>-228937.97555999999</v>
      </c>
      <c r="E14" s="6">
        <f t="shared" si="2"/>
        <v>1170224.81556</v>
      </c>
      <c r="F14" s="6">
        <f t="shared" si="0"/>
        <v>941286.84000000008</v>
      </c>
      <c r="G14" s="24">
        <v>1</v>
      </c>
      <c r="J14" s="1"/>
    </row>
    <row r="15" spans="1:11">
      <c r="A15" s="38">
        <f>AUM!A8</f>
        <v>41455</v>
      </c>
      <c r="B15" s="2">
        <v>18417136.239999998</v>
      </c>
      <c r="C15" s="5">
        <v>4.3E-3</v>
      </c>
      <c r="D15" s="6">
        <f t="shared" si="1"/>
        <v>76968.518219999998</v>
      </c>
      <c r="E15" s="6">
        <f t="shared" si="2"/>
        <v>440512.32177999988</v>
      </c>
      <c r="F15" s="6">
        <f t="shared" si="0"/>
        <v>517480.83999999985</v>
      </c>
      <c r="G15" s="24">
        <v>1</v>
      </c>
    </row>
    <row r="16" spans="1:11">
      <c r="A16" s="38">
        <f>AUM!A9</f>
        <v>41486</v>
      </c>
      <c r="B16" s="2">
        <v>23781672.629999999</v>
      </c>
      <c r="C16" s="5">
        <v>4.5100000000000001E-2</v>
      </c>
      <c r="D16" s="6">
        <f t="shared" si="1"/>
        <v>830612.84442399989</v>
      </c>
      <c r="E16" s="6">
        <f t="shared" si="2"/>
        <v>4533923.5455760024</v>
      </c>
      <c r="F16" s="6">
        <f t="shared" si="0"/>
        <v>5364536.3900000025</v>
      </c>
      <c r="G16" s="24">
        <v>1</v>
      </c>
    </row>
    <row r="17" spans="1:7">
      <c r="A17" s="38">
        <f>AUM!A10</f>
        <v>41517</v>
      </c>
      <c r="B17" s="2">
        <v>25620948.859999999</v>
      </c>
      <c r="C17" s="5">
        <v>-3.5799999999999998E-2</v>
      </c>
      <c r="D17" s="6">
        <f t="shared" si="1"/>
        <v>-851383.8801539999</v>
      </c>
      <c r="E17" s="6">
        <f t="shared" si="2"/>
        <v>2690660.1101539992</v>
      </c>
      <c r="F17" s="6">
        <f t="shared" si="0"/>
        <v>1839276.2299999993</v>
      </c>
      <c r="G17" s="24">
        <v>1</v>
      </c>
    </row>
    <row r="18" spans="1:7">
      <c r="A18" s="38">
        <f>AUM!A11</f>
        <v>41547</v>
      </c>
      <c r="B18" s="2">
        <v>30750157.23</v>
      </c>
      <c r="C18" s="5">
        <v>2.0299999999999999E-2</v>
      </c>
      <c r="D18" s="6">
        <f t="shared" si="1"/>
        <v>520105.26185799995</v>
      </c>
      <c r="E18" s="6">
        <f t="shared" si="2"/>
        <v>4609103.1081419997</v>
      </c>
      <c r="F18" s="6">
        <f t="shared" si="0"/>
        <v>5129208.3699999992</v>
      </c>
      <c r="G18" s="24">
        <v>1</v>
      </c>
    </row>
    <row r="19" spans="1:7">
      <c r="A19" s="38">
        <f>AUM!A12</f>
        <v>41578</v>
      </c>
      <c r="B19" s="2">
        <v>34983486.93</v>
      </c>
      <c r="C19" s="5">
        <v>3.7199999999999997E-2</v>
      </c>
      <c r="D19" s="6">
        <f t="shared" si="1"/>
        <v>1143905.8489559998</v>
      </c>
      <c r="E19" s="6">
        <f t="shared" si="2"/>
        <v>3089423.8510439992</v>
      </c>
      <c r="F19" s="6">
        <f t="shared" si="0"/>
        <v>4233329.6999999993</v>
      </c>
      <c r="G19" s="24">
        <v>1</v>
      </c>
    </row>
    <row r="20" spans="1:7">
      <c r="A20" s="38">
        <f>AUM!A13</f>
        <v>41608</v>
      </c>
      <c r="B20" s="2">
        <v>38040702.700000003</v>
      </c>
      <c r="C20" s="5">
        <v>1.83E-2</v>
      </c>
      <c r="D20" s="6">
        <f t="shared" si="1"/>
        <v>640197.81081900001</v>
      </c>
      <c r="E20" s="6">
        <f t="shared" si="2"/>
        <v>2417017.9591810033</v>
      </c>
      <c r="F20" s="6">
        <f t="shared" si="0"/>
        <v>3057215.7700000033</v>
      </c>
      <c r="G20" s="24">
        <v>1</v>
      </c>
    </row>
    <row r="21" spans="1:7">
      <c r="A21" s="38">
        <f>AUM!A14</f>
        <v>41639</v>
      </c>
      <c r="B21" s="2">
        <v>40565492.060000002</v>
      </c>
      <c r="C21" s="5">
        <v>2.01E-2</v>
      </c>
      <c r="D21" s="6">
        <f t="shared" si="1"/>
        <v>764618.12427000003</v>
      </c>
      <c r="E21" s="6">
        <f t="shared" si="2"/>
        <v>1760171.2357299998</v>
      </c>
      <c r="F21" s="6">
        <f t="shared" si="0"/>
        <v>2524789.36</v>
      </c>
      <c r="G21" s="24">
        <v>1</v>
      </c>
    </row>
    <row r="22" spans="1:7">
      <c r="A22" s="38">
        <f>AUM!A15</f>
        <v>41670</v>
      </c>
      <c r="B22" s="2">
        <v>44164272.579999998</v>
      </c>
      <c r="C22" s="5">
        <v>-3.3000000000000002E-2</v>
      </c>
      <c r="D22" s="6">
        <f t="shared" si="1"/>
        <v>-1338661.2379800002</v>
      </c>
      <c r="E22" s="6">
        <f t="shared" si="2"/>
        <v>4937441.7579799965</v>
      </c>
      <c r="F22" s="6">
        <f t="shared" si="0"/>
        <v>3598780.5199999963</v>
      </c>
      <c r="G22" s="24">
        <v>1</v>
      </c>
    </row>
    <row r="23" spans="1:7">
      <c r="A23" s="38">
        <f>AUM!A16</f>
        <v>41698</v>
      </c>
      <c r="B23" s="2">
        <v>48302397.990000002</v>
      </c>
      <c r="C23" s="5">
        <v>3.5799999999999998E-2</v>
      </c>
      <c r="D23" s="6">
        <f t="shared" si="1"/>
        <v>1581080.9583639998</v>
      </c>
      <c r="E23" s="6">
        <f t="shared" si="2"/>
        <v>2557044.4516360015</v>
      </c>
      <c r="F23" s="6">
        <f t="shared" si="0"/>
        <v>4138125.4100000011</v>
      </c>
      <c r="G23" s="24">
        <v>1</v>
      </c>
    </row>
    <row r="24" spans="1:7">
      <c r="A24" s="38">
        <f>AUM!A17</f>
        <v>41729</v>
      </c>
      <c r="B24" s="2">
        <v>50613400.549999997</v>
      </c>
      <c r="C24" s="5">
        <v>1.8100000000000002E-2</v>
      </c>
      <c r="D24" s="6">
        <f t="shared" si="1"/>
        <v>874273.40361900011</v>
      </c>
      <c r="E24" s="6">
        <f t="shared" si="2"/>
        <v>1436729.1563809961</v>
      </c>
      <c r="F24" s="6">
        <f t="shared" si="0"/>
        <v>2311002.5599999963</v>
      </c>
      <c r="G24" s="24">
        <v>1</v>
      </c>
    </row>
    <row r="25" spans="1:7">
      <c r="A25" s="38">
        <f>AUM!A18</f>
        <v>41759</v>
      </c>
      <c r="B25" s="2">
        <v>52180096.229999997</v>
      </c>
      <c r="C25" s="5">
        <v>6.1999999999999998E-3</v>
      </c>
      <c r="D25" s="6">
        <f t="shared" si="1"/>
        <v>313803.08340999996</v>
      </c>
      <c r="E25" s="6">
        <f t="shared" si="2"/>
        <v>1252892.5965899974</v>
      </c>
      <c r="F25" s="6">
        <f t="shared" si="0"/>
        <v>1566695.6799999974</v>
      </c>
      <c r="G25" s="24">
        <v>1</v>
      </c>
    </row>
    <row r="26" spans="1:7">
      <c r="A26" s="38">
        <f>AUM!A19</f>
        <v>41790</v>
      </c>
      <c r="B26" s="2">
        <v>53150044.299999997</v>
      </c>
      <c r="C26" s="5">
        <v>1.15E-2</v>
      </c>
      <c r="D26" s="6">
        <f t="shared" si="1"/>
        <v>600071.10664499993</v>
      </c>
      <c r="E26" s="6">
        <f t="shared" si="2"/>
        <v>369876.96335499734</v>
      </c>
      <c r="F26" s="6">
        <f t="shared" si="0"/>
        <v>969948.06999999727</v>
      </c>
      <c r="G26" s="24">
        <v>1</v>
      </c>
    </row>
    <row r="27" spans="1:7">
      <c r="A27" s="38">
        <f>AUM!A20</f>
        <v>41820</v>
      </c>
      <c r="B27" s="2">
        <v>55639069.880000003</v>
      </c>
      <c r="C27" s="5">
        <v>1.3599999999999999E-2</v>
      </c>
      <c r="D27" s="6">
        <f t="shared" si="1"/>
        <v>722840.60247999988</v>
      </c>
      <c r="E27" s="6">
        <f t="shared" si="2"/>
        <v>1766184.9775200039</v>
      </c>
      <c r="F27" s="6">
        <f t="shared" si="0"/>
        <v>2489025.5800000038</v>
      </c>
      <c r="G27" s="24">
        <v>1</v>
      </c>
    </row>
    <row r="28" spans="1:7">
      <c r="A28" s="38">
        <f>AUM!A21</f>
        <v>41851</v>
      </c>
      <c r="B28" s="2">
        <v>57860064.780000001</v>
      </c>
      <c r="C28" s="5">
        <v>-1.0500000000000001E-2</v>
      </c>
      <c r="D28" s="6">
        <f t="shared" si="1"/>
        <v>-584210.23374000005</v>
      </c>
      <c r="E28" s="6">
        <f t="shared" si="2"/>
        <v>2805205.1337400004</v>
      </c>
      <c r="F28" s="6">
        <f t="shared" si="0"/>
        <v>2220994.9000000004</v>
      </c>
      <c r="G28" s="24">
        <v>1</v>
      </c>
    </row>
    <row r="29" spans="1:7">
      <c r="A29" s="38">
        <f>AUM!A22</f>
        <v>41882</v>
      </c>
      <c r="B29" s="2">
        <v>60275807.380000003</v>
      </c>
      <c r="C29" s="5">
        <v>3.6299999999999999E-2</v>
      </c>
      <c r="D29" s="6">
        <f t="shared" si="1"/>
        <v>2100320.351514</v>
      </c>
      <c r="E29" s="6">
        <f t="shared" si="2"/>
        <v>315422.24848600477</v>
      </c>
      <c r="F29" s="6">
        <f t="shared" si="0"/>
        <v>2415742.6000000047</v>
      </c>
      <c r="G29" s="24">
        <v>1</v>
      </c>
    </row>
    <row r="30" spans="1:7">
      <c r="A30" s="38">
        <f>AUM!A23</f>
        <v>41912</v>
      </c>
      <c r="B30" s="2">
        <v>59967277.100000001</v>
      </c>
      <c r="C30" s="5">
        <v>-8.6999999999999994E-3</v>
      </c>
      <c r="D30" s="6">
        <f t="shared" si="1"/>
        <v>-524399.52420600003</v>
      </c>
      <c r="E30" s="6">
        <f t="shared" si="2"/>
        <v>215869.24420599639</v>
      </c>
      <c r="F30" s="6">
        <f t="shared" si="0"/>
        <v>-308530.28000000364</v>
      </c>
      <c r="G30" s="24">
        <v>1</v>
      </c>
    </row>
    <row r="31" spans="1:7">
      <c r="A31" s="38">
        <f>AUM!A24</f>
        <v>41943</v>
      </c>
      <c r="B31" s="2">
        <v>62507121.460000001</v>
      </c>
      <c r="C31" s="5">
        <v>3.2399999999999998E-2</v>
      </c>
      <c r="D31" s="6">
        <f t="shared" si="1"/>
        <v>1942939.77804</v>
      </c>
      <c r="E31" s="6">
        <f t="shared" si="2"/>
        <v>596904.5819600001</v>
      </c>
      <c r="F31" s="6">
        <f t="shared" si="0"/>
        <v>2539844.3600000003</v>
      </c>
      <c r="G31" s="24">
        <v>1</v>
      </c>
    </row>
    <row r="32" spans="1:7">
      <c r="A32" s="38">
        <f>AUM!A25</f>
        <v>41973</v>
      </c>
      <c r="B32" s="2">
        <v>67497884.989999995</v>
      </c>
      <c r="C32" s="5">
        <v>4.1300000000000003E-2</v>
      </c>
      <c r="D32" s="6">
        <f t="shared" si="1"/>
        <v>2581544.1162980003</v>
      </c>
      <c r="E32" s="6">
        <f t="shared" si="2"/>
        <v>2409219.4137019962</v>
      </c>
      <c r="F32" s="6">
        <f t="shared" si="0"/>
        <v>4990763.5299999965</v>
      </c>
      <c r="G32" s="24">
        <v>1</v>
      </c>
    </row>
    <row r="33" spans="1:10">
      <c r="A33" s="38">
        <f>AUM!A26</f>
        <v>42004</v>
      </c>
      <c r="B33" s="2">
        <v>67662863.790000007</v>
      </c>
      <c r="C33" s="5">
        <v>0</v>
      </c>
      <c r="D33" s="6">
        <f t="shared" si="1"/>
        <v>0</v>
      </c>
      <c r="E33" s="6">
        <f t="shared" si="2"/>
        <v>164978.80000001192</v>
      </c>
      <c r="F33" s="6">
        <f t="shared" si="0"/>
        <v>164978.80000001192</v>
      </c>
      <c r="G33" s="24">
        <v>1</v>
      </c>
    </row>
    <row r="34" spans="1:10">
      <c r="A34" s="38">
        <f>AUM!A27</f>
        <v>42035</v>
      </c>
      <c r="B34" s="2">
        <v>66896741.210000001</v>
      </c>
      <c r="C34" s="5">
        <v>-1.21E-2</v>
      </c>
      <c r="D34" s="6">
        <f t="shared" si="1"/>
        <v>-818720.65185900009</v>
      </c>
      <c r="E34" s="6">
        <f t="shared" si="2"/>
        <v>52598.071858994663</v>
      </c>
      <c r="F34" s="6">
        <f t="shared" si="0"/>
        <v>-766122.58000000543</v>
      </c>
      <c r="G34" s="24">
        <v>1</v>
      </c>
      <c r="H34" s="32">
        <v>13.84</v>
      </c>
      <c r="I34" s="11"/>
      <c r="J34" s="6"/>
    </row>
    <row r="35" spans="1:10">
      <c r="A35" s="38">
        <f>AUM!A28</f>
        <v>42063</v>
      </c>
      <c r="B35" s="2">
        <v>69872904.200000003</v>
      </c>
      <c r="C35" s="5">
        <v>3.0300000000000001E-2</v>
      </c>
      <c r="D35" s="6">
        <f t="shared" si="1"/>
        <v>2026971.2586630001</v>
      </c>
      <c r="E35" s="6">
        <f t="shared" si="2"/>
        <v>949191.73133699596</v>
      </c>
      <c r="F35" s="6">
        <f t="shared" si="0"/>
        <v>2976162.989999996</v>
      </c>
      <c r="G35" s="24">
        <v>1</v>
      </c>
      <c r="H35" s="32">
        <v>14.26</v>
      </c>
      <c r="I35" s="11"/>
    </row>
    <row r="36" spans="1:10">
      <c r="A36" s="38">
        <f>AUM!A29</f>
        <v>42094</v>
      </c>
      <c r="B36" s="2">
        <v>71575873.799999997</v>
      </c>
      <c r="C36" s="5">
        <v>-7.0000000000000001E-3</v>
      </c>
      <c r="D36" s="6">
        <f t="shared" si="1"/>
        <v>-489110.32940000005</v>
      </c>
      <c r="E36" s="6">
        <f t="shared" si="2"/>
        <v>2192079.929399997</v>
      </c>
      <c r="F36" s="6">
        <f t="shared" si="0"/>
        <v>1702969.5999999968</v>
      </c>
      <c r="G36" s="24">
        <v>1</v>
      </c>
      <c r="H36" s="32">
        <v>14.16</v>
      </c>
    </row>
    <row r="37" spans="1:10">
      <c r="A37" s="38">
        <f>AUM!A30</f>
        <v>42124</v>
      </c>
      <c r="B37" s="2">
        <v>71483082.180000007</v>
      </c>
      <c r="C37" s="5">
        <v>-1.41E-2</v>
      </c>
      <c r="D37" s="6">
        <f t="shared" si="1"/>
        <v>-1009219.8205799999</v>
      </c>
      <c r="E37" s="6">
        <f t="shared" si="2"/>
        <v>916428.20058001578</v>
      </c>
      <c r="F37" s="6">
        <f t="shared" si="0"/>
        <v>-92791.619999984163</v>
      </c>
      <c r="G37" s="24">
        <v>1</v>
      </c>
      <c r="H37" s="32">
        <v>13.96</v>
      </c>
    </row>
    <row r="38" spans="1:10">
      <c r="A38" s="38">
        <f>AUM!A31</f>
        <v>42155</v>
      </c>
      <c r="B38" s="2">
        <v>72089140.980000004</v>
      </c>
      <c r="C38" s="11">
        <v>0.01</v>
      </c>
      <c r="D38" s="6">
        <f t="shared" si="1"/>
        <v>714830.82180000003</v>
      </c>
      <c r="E38" s="6">
        <f t="shared" si="2"/>
        <v>-108772.0217999965</v>
      </c>
      <c r="F38" s="6">
        <f t="shared" si="0"/>
        <v>606058.80000000354</v>
      </c>
      <c r="G38" s="24">
        <v>1</v>
      </c>
      <c r="H38" s="32">
        <v>14.1</v>
      </c>
    </row>
    <row r="39" spans="1:10">
      <c r="A39" s="38">
        <v>42185</v>
      </c>
      <c r="B39" s="2">
        <v>71051328.659999996</v>
      </c>
      <c r="C39" s="11">
        <v>-1.9099999999999999E-2</v>
      </c>
      <c r="D39" s="6">
        <f t="shared" si="1"/>
        <v>-1376902.5927180001</v>
      </c>
      <c r="E39" s="6">
        <f t="shared" si="2"/>
        <v>339090.27271799743</v>
      </c>
      <c r="F39" s="6">
        <f t="shared" si="0"/>
        <v>-1037812.3200000026</v>
      </c>
      <c r="G39" s="24">
        <v>1</v>
      </c>
      <c r="H39" s="32">
        <v>13.83</v>
      </c>
    </row>
    <row r="40" spans="1:10">
      <c r="A40" s="38">
        <v>42216</v>
      </c>
      <c r="B40" s="2">
        <v>75409201.819999993</v>
      </c>
      <c r="C40" s="11">
        <v>4.6300000000000001E-2</v>
      </c>
      <c r="D40" s="6">
        <f t="shared" si="1"/>
        <v>3289676.5169579997</v>
      </c>
      <c r="E40" s="6">
        <f t="shared" si="2"/>
        <v>1068196.6430419981</v>
      </c>
      <c r="F40" s="6">
        <f t="shared" si="0"/>
        <v>4357873.1599999983</v>
      </c>
      <c r="G40" s="24">
        <v>1</v>
      </c>
      <c r="H40" s="32">
        <v>14.47</v>
      </c>
    </row>
    <row r="41" spans="1:10">
      <c r="A41" s="38">
        <v>42247</v>
      </c>
      <c r="B41" s="2">
        <v>72553875.760000005</v>
      </c>
      <c r="C41" s="11">
        <v>-4.7699999999999999E-2</v>
      </c>
      <c r="D41" s="6">
        <f t="shared" si="1"/>
        <v>-3597018.9268139997</v>
      </c>
      <c r="E41" s="6">
        <f t="shared" si="2"/>
        <v>741692.8668140173</v>
      </c>
      <c r="F41" s="6">
        <f t="shared" si="0"/>
        <v>-2855326.0599999824</v>
      </c>
      <c r="G41" s="24">
        <v>1</v>
      </c>
      <c r="H41" s="32">
        <v>13.78</v>
      </c>
    </row>
    <row r="42" spans="1:10">
      <c r="A42" s="39">
        <v>42277</v>
      </c>
      <c r="B42" s="2">
        <v>72933071.859999999</v>
      </c>
      <c r="C42" s="11">
        <v>3.5999999999999999E-3</v>
      </c>
      <c r="D42" s="6">
        <f t="shared" si="1"/>
        <v>261193.95273600001</v>
      </c>
      <c r="E42" s="6">
        <f t="shared" si="2"/>
        <v>118002.14726398885</v>
      </c>
      <c r="F42" s="6">
        <f t="shared" si="0"/>
        <v>379196.09999998886</v>
      </c>
      <c r="G42" s="24">
        <v>1</v>
      </c>
      <c r="H42" s="32">
        <v>13.83</v>
      </c>
    </row>
    <row r="43" spans="1:10">
      <c r="A43" s="38">
        <v>42307</v>
      </c>
      <c r="B43" s="2">
        <v>81294137.920000002</v>
      </c>
      <c r="C43" s="11">
        <v>5.7799999999999997E-2</v>
      </c>
      <c r="D43" s="6">
        <f t="shared" si="1"/>
        <v>4215531.5535079995</v>
      </c>
      <c r="E43" s="6">
        <f t="shared" si="2"/>
        <v>4145534.5064920038</v>
      </c>
      <c r="F43" s="6">
        <f t="shared" si="0"/>
        <v>8361066.0600000033</v>
      </c>
      <c r="G43" s="24">
        <v>1</v>
      </c>
      <c r="H43" s="32">
        <v>14.63</v>
      </c>
    </row>
    <row r="44" spans="1:10">
      <c r="A44" s="38">
        <v>42338</v>
      </c>
      <c r="B44" s="2">
        <v>80390279.730000004</v>
      </c>
      <c r="C44" s="11">
        <v>-5.4999999999999997E-3</v>
      </c>
      <c r="D44" s="6">
        <f t="shared" si="1"/>
        <v>-447117.75855999999</v>
      </c>
      <c r="E44" s="6">
        <f t="shared" si="2"/>
        <v>-456740.43143999577</v>
      </c>
      <c r="F44" s="6">
        <f t="shared" si="0"/>
        <v>-903858.18999999575</v>
      </c>
      <c r="G44" s="24">
        <v>1</v>
      </c>
      <c r="H44" s="32">
        <v>14.55</v>
      </c>
    </row>
    <row r="45" spans="1:10">
      <c r="A45" s="38">
        <v>42369</v>
      </c>
      <c r="B45" s="2">
        <v>80182146.909999996</v>
      </c>
      <c r="C45" s="11">
        <v>-2.8E-3</v>
      </c>
      <c r="D45" s="6">
        <f t="shared" si="1"/>
        <v>-225092.78324400002</v>
      </c>
      <c r="E45" s="6">
        <f t="shared" si="2"/>
        <v>16959.963243991137</v>
      </c>
      <c r="F45" s="6">
        <f t="shared" si="0"/>
        <v>-208132.82000000888</v>
      </c>
      <c r="G45" s="24">
        <v>1</v>
      </c>
      <c r="H45" s="32">
        <v>13.58</v>
      </c>
    </row>
    <row r="46" spans="1:10">
      <c r="A46" s="38">
        <v>42398</v>
      </c>
      <c r="B46" s="2">
        <v>79613453.459999993</v>
      </c>
      <c r="C46" s="11">
        <v>-2.5100000000000001E-2</v>
      </c>
      <c r="D46" s="6">
        <f t="shared" si="1"/>
        <v>-2012571.887441</v>
      </c>
      <c r="E46" s="6">
        <f t="shared" si="2"/>
        <v>1443878.4374409914</v>
      </c>
      <c r="F46" s="6">
        <f t="shared" si="0"/>
        <v>-568693.45000000857</v>
      </c>
      <c r="G46" s="24">
        <v>1</v>
      </c>
      <c r="H46" s="32">
        <v>13.23</v>
      </c>
    </row>
    <row r="47" spans="1:10">
      <c r="A47" s="38">
        <v>42429</v>
      </c>
      <c r="B47" s="2">
        <v>92880464.780000001</v>
      </c>
      <c r="C47" s="11">
        <v>1.89E-2</v>
      </c>
      <c r="D47" s="6">
        <f t="shared" si="1"/>
        <v>1504694.270394</v>
      </c>
      <c r="E47" s="6">
        <f t="shared" si="2"/>
        <v>11762317.04960601</v>
      </c>
      <c r="F47" s="6">
        <f t="shared" si="0"/>
        <v>13267011.32000001</v>
      </c>
      <c r="G47" s="24">
        <v>1</v>
      </c>
      <c r="H47" s="32">
        <v>13.49</v>
      </c>
    </row>
    <row r="48" spans="1:10">
      <c r="A48" s="38">
        <v>42460</v>
      </c>
      <c r="B48" s="2">
        <v>101535195.39</v>
      </c>
      <c r="C48" s="11">
        <v>6.08E-2</v>
      </c>
      <c r="D48" s="6">
        <f t="shared" si="1"/>
        <v>5647132.2586240005</v>
      </c>
      <c r="E48" s="6">
        <f t="shared" si="2"/>
        <v>3007598.3513759971</v>
      </c>
      <c r="F48" s="6">
        <f t="shared" si="0"/>
        <v>8654730.6099999975</v>
      </c>
      <c r="G48" s="24">
        <v>1</v>
      </c>
      <c r="H48" s="32">
        <v>14.3</v>
      </c>
    </row>
    <row r="49" spans="1:8">
      <c r="A49" s="38">
        <v>42489</v>
      </c>
      <c r="B49" s="2">
        <f>11507772.06+112941.2+90532889.13</f>
        <v>102153602.39</v>
      </c>
      <c r="C49" s="5">
        <v>-1.4E-2</v>
      </c>
      <c r="D49" s="6">
        <f t="shared" si="1"/>
        <v>-1421492.7354600001</v>
      </c>
      <c r="E49" s="6">
        <f t="shared" si="2"/>
        <v>2039899.7354599983</v>
      </c>
      <c r="F49" s="6">
        <f t="shared" si="0"/>
        <v>618406.99999999814</v>
      </c>
      <c r="G49" s="24">
        <v>1</v>
      </c>
      <c r="H49" s="32">
        <v>14.1</v>
      </c>
    </row>
    <row r="50" spans="1:8">
      <c r="A50" s="38">
        <v>42521</v>
      </c>
      <c r="B50" s="2">
        <f>17765427.26+171062.43+92065880.89</f>
        <v>110002370.58</v>
      </c>
      <c r="C50" s="5">
        <v>1.9099999999999999E-2</v>
      </c>
      <c r="D50" s="6">
        <f t="shared" si="1"/>
        <v>1951133.805649</v>
      </c>
      <c r="E50" s="6">
        <f t="shared" si="2"/>
        <v>5897634.3843510002</v>
      </c>
      <c r="F50" s="6">
        <f t="shared" si="0"/>
        <v>7848768.1900000004</v>
      </c>
      <c r="G50" s="24">
        <v>1</v>
      </c>
      <c r="H50" s="32">
        <v>14.37</v>
      </c>
    </row>
    <row r="51" spans="1:8">
      <c r="A51" s="38">
        <v>42551</v>
      </c>
      <c r="B51" s="2">
        <f>18419778.67+200324.02+106300476.3</f>
        <v>124920578.98999999</v>
      </c>
      <c r="C51" s="5">
        <v>2.64E-2</v>
      </c>
      <c r="D51" s="6">
        <f t="shared" si="1"/>
        <v>2904062.5833120001</v>
      </c>
      <c r="E51" s="6">
        <f t="shared" si="2"/>
        <v>12014145.826687992</v>
      </c>
      <c r="F51" s="6">
        <f t="shared" si="0"/>
        <v>14918208.409999993</v>
      </c>
      <c r="G51" s="24">
        <v>1</v>
      </c>
      <c r="H51" s="32">
        <v>14.75</v>
      </c>
    </row>
    <row r="52" spans="1:8">
      <c r="A52" s="38">
        <v>42582</v>
      </c>
      <c r="B52" s="2">
        <f>19357406.31+307272.58+107983525.24</f>
        <v>127648204.13</v>
      </c>
      <c r="C52" s="5">
        <v>1.4200000000000001E-2</v>
      </c>
      <c r="D52" s="6">
        <f t="shared" si="1"/>
        <v>1773872.221658</v>
      </c>
      <c r="E52" s="6">
        <f t="shared" si="2"/>
        <v>953752.91834199429</v>
      </c>
      <c r="F52" s="6">
        <f t="shared" si="0"/>
        <v>2727625.1399999941</v>
      </c>
      <c r="G52" s="24">
        <v>1</v>
      </c>
      <c r="H52" s="32">
        <v>14.96</v>
      </c>
    </row>
    <row r="53" spans="1:8">
      <c r="A53" s="38">
        <v>42613</v>
      </c>
      <c r="B53" s="2">
        <f>108986438.14+372526.65+19278720.21</f>
        <v>128637685</v>
      </c>
      <c r="C53" s="5">
        <v>-1.7999999999999999E-2</v>
      </c>
      <c r="D53" s="6">
        <f t="shared" si="1"/>
        <v>-2297667.6743399999</v>
      </c>
      <c r="E53" s="6">
        <f t="shared" si="2"/>
        <v>3287148.5443399996</v>
      </c>
      <c r="F53" s="6">
        <f t="shared" si="0"/>
        <v>989480.86999999965</v>
      </c>
      <c r="G53" s="24">
        <v>1</v>
      </c>
      <c r="H53" s="32">
        <v>14.69</v>
      </c>
    </row>
    <row r="54" spans="1:8">
      <c r="A54" s="38">
        <v>42643</v>
      </c>
      <c r="B54" s="2">
        <f>99306955.45+499909.52+19059537.93</f>
        <v>118866402.90000001</v>
      </c>
      <c r="C54" s="5">
        <v>-1.3599999999999999E-2</v>
      </c>
      <c r="D54" s="6">
        <f t="shared" si="1"/>
        <v>-1749472.5159999998</v>
      </c>
      <c r="E54" s="6">
        <f t="shared" si="2"/>
        <v>-8021809.5839999914</v>
      </c>
      <c r="F54" s="6">
        <f t="shared" si="0"/>
        <v>-9771282.0999999903</v>
      </c>
      <c r="G54" s="24">
        <v>1</v>
      </c>
      <c r="H54" s="32">
        <v>14.49</v>
      </c>
    </row>
    <row r="55" spans="1:8">
      <c r="A55" s="38">
        <v>42674</v>
      </c>
      <c r="B55" s="2">
        <f>18755802.01+621440.24+90623034.27</f>
        <v>110000276.52</v>
      </c>
      <c r="C55" s="5">
        <v>-2.2800000000000001E-2</v>
      </c>
      <c r="D55" s="6">
        <f t="shared" si="1"/>
        <v>-2710153.98612</v>
      </c>
      <c r="E55" s="6">
        <f t="shared" si="2"/>
        <v>-6155972.3938800097</v>
      </c>
      <c r="F55" s="6">
        <f t="shared" si="0"/>
        <v>-8866126.3800000101</v>
      </c>
      <c r="G55" s="24">
        <v>1</v>
      </c>
      <c r="H55" s="32">
        <v>14.16</v>
      </c>
    </row>
    <row r="56" spans="1:8">
      <c r="A56" s="38">
        <v>42704</v>
      </c>
      <c r="B56" s="2">
        <f>92751918.23+744014.52+19778568.4</f>
        <v>113274501.15000001</v>
      </c>
      <c r="C56" s="5">
        <v>2.8199999999999999E-2</v>
      </c>
      <c r="D56" s="6">
        <f t="shared" si="1"/>
        <v>3102007.7978639998</v>
      </c>
      <c r="E56" s="6">
        <f t="shared" si="2"/>
        <v>172216.83213600516</v>
      </c>
      <c r="F56" s="6">
        <f t="shared" si="0"/>
        <v>3274224.630000005</v>
      </c>
      <c r="G56" s="24">
        <v>1</v>
      </c>
      <c r="H56" s="32">
        <v>14.56</v>
      </c>
    </row>
    <row r="57" spans="1:8">
      <c r="A57" s="38">
        <v>42735</v>
      </c>
      <c r="B57" s="2">
        <f>95107430.97+792115.42+19931823.15</f>
        <v>115831369.53999999</v>
      </c>
      <c r="C57" s="5">
        <v>1.44E-2</v>
      </c>
      <c r="D57" s="6">
        <f t="shared" si="1"/>
        <v>1631152.8165599999</v>
      </c>
      <c r="E57" s="6">
        <f t="shared" si="2"/>
        <v>925715.57343998551</v>
      </c>
      <c r="F57" s="6">
        <f t="shared" si="0"/>
        <v>2556868.3899999857</v>
      </c>
      <c r="G57" s="24">
        <v>1</v>
      </c>
      <c r="H57" s="32">
        <v>14.4</v>
      </c>
    </row>
    <row r="58" spans="1:8">
      <c r="A58" s="38">
        <v>42766</v>
      </c>
      <c r="B58" s="2">
        <f>95640194.61+825180.77+19993008.84</f>
        <v>116458384.22</v>
      </c>
      <c r="C58" s="5">
        <v>1.4E-3</v>
      </c>
      <c r="D58" s="6">
        <f t="shared" si="1"/>
        <v>162163.91735599999</v>
      </c>
      <c r="E58" s="6">
        <f t="shared" si="2"/>
        <v>464850.7626440078</v>
      </c>
      <c r="F58" s="6">
        <f t="shared" si="0"/>
        <v>627014.68000000785</v>
      </c>
      <c r="G58" s="24">
        <v>1</v>
      </c>
      <c r="H58" s="32">
        <v>14.42</v>
      </c>
    </row>
    <row r="59" spans="1:8">
      <c r="A59" s="38">
        <v>42794</v>
      </c>
      <c r="B59" s="2">
        <f>91523293.61+1025415.21+20655551.16</f>
        <v>113204259.97999999</v>
      </c>
      <c r="C59" s="5">
        <v>3.8100000000000002E-2</v>
      </c>
      <c r="D59" s="6">
        <f t="shared" si="1"/>
        <v>4437064.438782</v>
      </c>
      <c r="E59" s="6">
        <f t="shared" si="2"/>
        <v>-7691188.678782016</v>
      </c>
      <c r="F59" s="6">
        <f t="shared" si="0"/>
        <v>-3254124.2400000161</v>
      </c>
      <c r="G59" s="24">
        <v>1</v>
      </c>
      <c r="H59" s="32">
        <v>14.97</v>
      </c>
    </row>
    <row r="60" spans="1:8">
      <c r="A60" s="38">
        <v>42825</v>
      </c>
      <c r="B60" s="2">
        <v>112584162.15000001</v>
      </c>
      <c r="C60" s="5">
        <v>-4.7000000000000002E-3</v>
      </c>
      <c r="D60" s="6">
        <f t="shared" si="1"/>
        <v>-532060.02190599998</v>
      </c>
      <c r="E60" s="6">
        <f t="shared" si="2"/>
        <v>-88037.808093979955</v>
      </c>
      <c r="F60" s="6">
        <f t="shared" si="0"/>
        <v>-620097.82999997993</v>
      </c>
      <c r="G60" s="24">
        <v>1</v>
      </c>
      <c r="H60" s="32">
        <v>14.9</v>
      </c>
    </row>
    <row r="61" spans="1:8">
      <c r="A61" s="38">
        <v>42855</v>
      </c>
      <c r="B61" s="2">
        <f>20392828.75+1040284.02+90539676.37</f>
        <v>111972789.14</v>
      </c>
      <c r="C61" s="5">
        <v>6.7000000000000002E-3</v>
      </c>
      <c r="D61" s="6">
        <f t="shared" si="1"/>
        <v>754313.88640500011</v>
      </c>
      <c r="E61" s="6">
        <f t="shared" si="2"/>
        <v>-1365686.8964050114</v>
      </c>
      <c r="F61" s="6">
        <f t="shared" si="0"/>
        <v>-611373.0100000113</v>
      </c>
      <c r="G61" s="24">
        <v>1</v>
      </c>
      <c r="H61" s="32">
        <v>14.9</v>
      </c>
    </row>
    <row r="62" spans="1:8">
      <c r="A62" s="38">
        <v>42886</v>
      </c>
      <c r="B62" s="2">
        <f>20983034.45+1218781.55+91374112.79</f>
        <v>113575928.79000001</v>
      </c>
      <c r="C62" s="5">
        <v>1.3299999999999999E-2</v>
      </c>
      <c r="D62" s="6">
        <f t="shared" si="1"/>
        <v>1489238.0955619998</v>
      </c>
      <c r="E62" s="6">
        <f t="shared" si="2"/>
        <v>113901.55443800986</v>
      </c>
      <c r="F62" s="6">
        <f t="shared" si="0"/>
        <v>1603139.6500000097</v>
      </c>
      <c r="G62" s="24">
        <v>1</v>
      </c>
      <c r="H62" s="32">
        <v>15.2</v>
      </c>
    </row>
    <row r="63" spans="1:8" ht="17" customHeight="1">
      <c r="A63" s="38">
        <v>42916</v>
      </c>
      <c r="B63" s="2">
        <v>114281134.66</v>
      </c>
      <c r="C63" s="5">
        <v>6.9999999999999999E-4</v>
      </c>
      <c r="D63" s="6">
        <f t="shared" si="1"/>
        <v>79503.15015300001</v>
      </c>
      <c r="E63" s="6">
        <f t="shared" si="2"/>
        <v>625702.71984699368</v>
      </c>
      <c r="F63" s="6">
        <f t="shared" si="0"/>
        <v>705205.86999999371</v>
      </c>
      <c r="G63" s="24">
        <v>1</v>
      </c>
      <c r="H63" s="32">
        <v>15.5</v>
      </c>
    </row>
    <row r="64" spans="1:8">
      <c r="A64" s="38">
        <v>42947</v>
      </c>
      <c r="B64" s="2">
        <f>20983034.45+1218781.55+91374112.79</f>
        <v>113575928.79000001</v>
      </c>
      <c r="C64" s="5">
        <v>1.4500000000000001E-2</v>
      </c>
      <c r="D64" s="6">
        <f t="shared" si="1"/>
        <v>1657076.45257</v>
      </c>
      <c r="E64" s="6">
        <f t="shared" si="2"/>
        <v>-2362282.3225699961</v>
      </c>
      <c r="F64" s="6">
        <f t="shared" si="0"/>
        <v>-705205.86999999615</v>
      </c>
      <c r="G64" s="24">
        <v>1</v>
      </c>
      <c r="H64" s="32">
        <v>15.8</v>
      </c>
    </row>
    <row r="65" spans="1:8" ht="17" customHeight="1">
      <c r="A65" s="38">
        <v>42978</v>
      </c>
      <c r="B65" s="2">
        <f>22187245.55+1220421.17+92023612.14</f>
        <v>115431278.86</v>
      </c>
      <c r="C65" s="5">
        <v>0</v>
      </c>
      <c r="D65" s="6">
        <f t="shared" si="1"/>
        <v>0</v>
      </c>
      <c r="E65" s="6">
        <f t="shared" si="2"/>
        <v>1855350.0699999928</v>
      </c>
      <c r="F65" s="6">
        <f t="shared" si="0"/>
        <v>1855350.0699999928</v>
      </c>
      <c r="G65" s="24">
        <v>1</v>
      </c>
      <c r="H65" s="32">
        <v>15.43</v>
      </c>
    </row>
    <row r="66" spans="1:8">
      <c r="A66" s="38">
        <v>43008</v>
      </c>
      <c r="B66" s="2">
        <f>22710175.99+1288274.64+92746633.06</f>
        <v>116745083.69</v>
      </c>
      <c r="C66" s="5">
        <v>1.2999999999999999E-2</v>
      </c>
      <c r="D66" s="6">
        <f t="shared" si="1"/>
        <v>1500606.62518</v>
      </c>
      <c r="E66" s="6">
        <f t="shared" si="2"/>
        <v>-186801.79518000782</v>
      </c>
      <c r="F66" s="6">
        <f t="shared" si="0"/>
        <v>1313804.8299999922</v>
      </c>
      <c r="G66" s="24">
        <v>1</v>
      </c>
      <c r="H66" s="32">
        <v>15.63</v>
      </c>
    </row>
    <row r="67" spans="1:8" ht="17" customHeight="1">
      <c r="A67" s="38">
        <v>43039</v>
      </c>
      <c r="B67" s="2">
        <f>22914886.93+1275928.31+92250978.04</f>
        <v>116441793.28</v>
      </c>
      <c r="C67" s="5">
        <v>7.0000000000000001E-3</v>
      </c>
      <c r="D67" s="6">
        <f t="shared" si="1"/>
        <v>817215.58583</v>
      </c>
      <c r="E67" s="6">
        <f t="shared" si="2"/>
        <v>-1120505.9958299994</v>
      </c>
      <c r="F67" s="6">
        <f t="shared" si="0"/>
        <v>-303290.40999999945</v>
      </c>
      <c r="G67" s="24">
        <v>1</v>
      </c>
      <c r="H67" s="32">
        <v>15.74</v>
      </c>
    </row>
    <row r="68" spans="1:8">
      <c r="A68" s="38">
        <v>43069</v>
      </c>
      <c r="B68" s="2">
        <f>9028244.41+1425101.41+94376722.62</f>
        <v>104830068.44</v>
      </c>
      <c r="C68" s="5">
        <v>4.9599999999999998E-2</v>
      </c>
      <c r="D68" s="6">
        <f t="shared" si="1"/>
        <v>5775512.9466880001</v>
      </c>
      <c r="E68" s="6">
        <f t="shared" si="2"/>
        <v>-17387237.786688</v>
      </c>
      <c r="F68" s="6">
        <f t="shared" si="0"/>
        <v>-11611724.84</v>
      </c>
      <c r="G68" s="24">
        <v>1</v>
      </c>
      <c r="H68" s="32">
        <v>16.52</v>
      </c>
    </row>
    <row r="69" spans="1:8" ht="17" customHeight="1">
      <c r="A69" s="38">
        <v>43100</v>
      </c>
      <c r="B69" s="2">
        <f>9073270.06+1457971.43+92937116.72</f>
        <v>103468358.20999999</v>
      </c>
      <c r="C69" s="5">
        <v>1.47E-2</v>
      </c>
      <c r="D69" s="6">
        <f t="shared" si="1"/>
        <v>1541002.0060679999</v>
      </c>
      <c r="E69" s="6">
        <f t="shared" si="2"/>
        <v>-2902712.2360680103</v>
      </c>
      <c r="F69" s="6">
        <f t="shared" si="0"/>
        <v>-1361710.2300000105</v>
      </c>
      <c r="G69" s="24">
        <v>1</v>
      </c>
      <c r="H69" s="32">
        <v>15.62</v>
      </c>
    </row>
    <row r="70" spans="1:8">
      <c r="A70" s="38">
        <v>43131</v>
      </c>
      <c r="B70" s="2">
        <v>106632569.67</v>
      </c>
      <c r="C70" s="5">
        <v>4.87E-2</v>
      </c>
      <c r="D70" s="6">
        <f t="shared" si="1"/>
        <v>5038909.0448269993</v>
      </c>
      <c r="E70" s="6">
        <f t="shared" ref="E70:E75" si="3">B70-(B69+D70)</f>
        <v>-1874697.584826991</v>
      </c>
      <c r="F70" s="6">
        <f t="shared" si="0"/>
        <v>3164211.4600000083</v>
      </c>
      <c r="G70" s="24">
        <v>1</v>
      </c>
    </row>
    <row r="71" spans="1:8">
      <c r="A71" s="38">
        <v>43159</v>
      </c>
      <c r="B71" s="2">
        <v>101563360.99000001</v>
      </c>
      <c r="C71" s="5">
        <v>-2.9900000000000003E-2</v>
      </c>
      <c r="D71" s="6">
        <f t="shared" si="1"/>
        <v>-3188313.8331330004</v>
      </c>
      <c r="E71" s="6">
        <f t="shared" si="3"/>
        <v>-1880894.8468669951</v>
      </c>
      <c r="F71" s="6">
        <f t="shared" si="0"/>
        <v>-5069208.679999996</v>
      </c>
      <c r="G71" s="24">
        <v>1</v>
      </c>
    </row>
    <row r="72" spans="1:8">
      <c r="A72" s="38">
        <v>43190</v>
      </c>
      <c r="B72" s="2">
        <v>135316535.74000001</v>
      </c>
      <c r="C72" s="5">
        <v>-8.8000000000000005E-3</v>
      </c>
      <c r="D72" s="6">
        <f t="shared" ref="D72:D111" si="4">SUM(C72*B71)</f>
        <v>-893757.57671200018</v>
      </c>
      <c r="E72" s="6">
        <f t="shared" si="3"/>
        <v>34646932.326711997</v>
      </c>
      <c r="F72" s="6">
        <f t="shared" si="0"/>
        <v>33753174.75</v>
      </c>
      <c r="G72" s="24">
        <v>1</v>
      </c>
      <c r="H72" s="32">
        <v>15.75</v>
      </c>
    </row>
    <row r="73" spans="1:8">
      <c r="A73" s="38">
        <v>43220</v>
      </c>
      <c r="B73" s="2">
        <v>243968624.47</v>
      </c>
      <c r="C73" s="5">
        <v>1.3299999999999999E-2</v>
      </c>
      <c r="D73" s="6">
        <f t="shared" si="4"/>
        <v>1799709.9253420001</v>
      </c>
      <c r="E73" s="6">
        <f t="shared" si="3"/>
        <v>106852378.804658</v>
      </c>
      <c r="F73" s="6">
        <f t="shared" si="0"/>
        <v>108652088.72999999</v>
      </c>
      <c r="G73" s="24">
        <v>1</v>
      </c>
    </row>
    <row r="74" spans="1:8">
      <c r="A74" s="38">
        <v>43251</v>
      </c>
      <c r="B74" s="2">
        <v>385388924.14999998</v>
      </c>
      <c r="C74" s="5">
        <v>2.2599999999999999E-2</v>
      </c>
      <c r="D74" s="6">
        <f t="shared" si="4"/>
        <v>5513690.9130219994</v>
      </c>
      <c r="E74" s="6">
        <f t="shared" si="3"/>
        <v>135906608.76697797</v>
      </c>
      <c r="F74" s="6">
        <f t="shared" ref="F74:F111" si="5">D74+E74</f>
        <v>141420299.67999998</v>
      </c>
      <c r="G74" s="24">
        <v>1</v>
      </c>
    </row>
    <row r="75" spans="1:8">
      <c r="A75" s="38">
        <v>43281</v>
      </c>
      <c r="B75" s="2">
        <v>398042809.69</v>
      </c>
      <c r="C75" s="5">
        <v>1.9E-2</v>
      </c>
      <c r="D75" s="6">
        <f t="shared" si="4"/>
        <v>7322389.5588499997</v>
      </c>
      <c r="E75" s="6">
        <f t="shared" si="3"/>
        <v>5331495.9811500311</v>
      </c>
      <c r="F75" s="6">
        <f t="shared" si="5"/>
        <v>12653885.540000031</v>
      </c>
      <c r="G75" s="24">
        <v>1</v>
      </c>
    </row>
    <row r="76" spans="1:8">
      <c r="A76" s="38">
        <v>43312</v>
      </c>
      <c r="B76" s="2">
        <v>414175875.44999999</v>
      </c>
      <c r="C76" s="5">
        <v>3.61E-2</v>
      </c>
      <c r="D76" s="6">
        <f t="shared" si="4"/>
        <v>14369345.429809</v>
      </c>
      <c r="E76" s="6">
        <f t="shared" ref="E76:E111" si="6">B76-(B75+D76)</f>
        <v>1763720.3301910162</v>
      </c>
      <c r="F76" s="6">
        <f t="shared" si="5"/>
        <v>16133065.760000017</v>
      </c>
      <c r="G76" s="24">
        <v>1</v>
      </c>
    </row>
    <row r="77" spans="1:8">
      <c r="A77" s="38">
        <v>43343</v>
      </c>
      <c r="B77" s="2">
        <v>447383472.28999996</v>
      </c>
      <c r="C77" s="5">
        <v>4.2900000000000001E-2</v>
      </c>
      <c r="D77" s="6">
        <f t="shared" si="4"/>
        <v>17768145.056805</v>
      </c>
      <c r="E77" s="6">
        <f t="shared" si="6"/>
        <v>15439451.783194959</v>
      </c>
      <c r="F77" s="6">
        <f t="shared" si="5"/>
        <v>33207596.839999959</v>
      </c>
      <c r="G77" s="24">
        <v>1</v>
      </c>
    </row>
    <row r="78" spans="1:8">
      <c r="A78" s="38">
        <v>43373</v>
      </c>
      <c r="B78" s="2">
        <v>458700911.37</v>
      </c>
      <c r="C78" s="5">
        <v>2.2000000000000001E-3</v>
      </c>
      <c r="D78" s="6">
        <f t="shared" si="4"/>
        <v>984243.63903800002</v>
      </c>
      <c r="E78" s="6">
        <f t="shared" si="6"/>
        <v>10333195.440962017</v>
      </c>
      <c r="F78" s="6">
        <f t="shared" si="5"/>
        <v>11317439.080000017</v>
      </c>
      <c r="G78" s="24">
        <v>1</v>
      </c>
    </row>
    <row r="79" spans="1:8">
      <c r="A79" s="38">
        <v>43404</v>
      </c>
      <c r="B79" s="2">
        <v>427270466.11000001</v>
      </c>
      <c r="C79" s="5">
        <v>-7.3800000000000004E-2</v>
      </c>
      <c r="D79" s="6">
        <f t="shared" si="4"/>
        <v>-33852127.259106003</v>
      </c>
      <c r="E79" s="6">
        <f t="shared" si="6"/>
        <v>2421681.9991059899</v>
      </c>
      <c r="F79" s="6">
        <f t="shared" si="5"/>
        <v>-31430445.260000013</v>
      </c>
      <c r="G79" s="24">
        <v>1</v>
      </c>
    </row>
    <row r="80" spans="1:8">
      <c r="A80" s="38">
        <v>43434</v>
      </c>
      <c r="B80" s="2">
        <v>447459570.04999995</v>
      </c>
      <c r="C80" s="5">
        <v>1.5600000000000001E-2</v>
      </c>
      <c r="D80" s="6">
        <f t="shared" si="4"/>
        <v>6665419.2713160003</v>
      </c>
      <c r="E80" s="6">
        <f t="shared" si="6"/>
        <v>13523684.668683946</v>
      </c>
      <c r="F80" s="6">
        <f t="shared" si="5"/>
        <v>20189103.939999945</v>
      </c>
      <c r="G80" s="24">
        <v>1</v>
      </c>
    </row>
    <row r="81" spans="1:11">
      <c r="A81" s="38">
        <v>43465</v>
      </c>
      <c r="B81" s="2">
        <v>400236828.50999999</v>
      </c>
      <c r="C81" s="5">
        <v>-7.6200000000000004E-2</v>
      </c>
      <c r="D81" s="6">
        <f t="shared" si="4"/>
        <v>-34096419.237810001</v>
      </c>
      <c r="E81" s="6">
        <f t="shared" si="6"/>
        <v>-13126322.302189946</v>
      </c>
      <c r="F81" s="6">
        <f t="shared" si="5"/>
        <v>-47222741.539999947</v>
      </c>
      <c r="G81" s="24">
        <v>1</v>
      </c>
    </row>
    <row r="82" spans="1:11">
      <c r="A82" s="38">
        <v>43496</v>
      </c>
      <c r="B82" s="2">
        <v>428581970.38999999</v>
      </c>
      <c r="C82" s="5">
        <v>7.1300000000000002E-2</v>
      </c>
      <c r="D82" s="6">
        <f t="shared" si="4"/>
        <v>28536885.872763</v>
      </c>
      <c r="E82" s="6">
        <f t="shared" si="6"/>
        <v>-191743.99276298285</v>
      </c>
      <c r="F82" s="6">
        <f t="shared" si="5"/>
        <v>28345141.880000018</v>
      </c>
      <c r="G82" s="24">
        <v>1</v>
      </c>
    </row>
    <row r="83" spans="1:11">
      <c r="A83" s="38">
        <v>43524</v>
      </c>
      <c r="B83" s="2">
        <v>448867305.49000001</v>
      </c>
      <c r="C83" s="5">
        <v>4.2900000000000001E-2</v>
      </c>
      <c r="D83" s="6">
        <f t="shared" si="4"/>
        <v>18386166.529730998</v>
      </c>
      <c r="E83" s="6">
        <f t="shared" si="6"/>
        <v>1899168.5702690482</v>
      </c>
      <c r="F83" s="6">
        <f t="shared" si="5"/>
        <v>20285335.100000046</v>
      </c>
      <c r="G83" s="24">
        <v>1</v>
      </c>
    </row>
    <row r="84" spans="1:11">
      <c r="A84" s="38">
        <v>43555</v>
      </c>
      <c r="B84" s="2">
        <v>460121760.48000002</v>
      </c>
      <c r="C84" s="5">
        <v>1.55E-2</v>
      </c>
      <c r="D84" s="6">
        <f t="shared" si="4"/>
        <v>6957443.2350949999</v>
      </c>
      <c r="E84" s="6">
        <f t="shared" si="6"/>
        <v>4297011.7549049854</v>
      </c>
      <c r="F84" s="6">
        <f t="shared" si="5"/>
        <v>11254454.989999985</v>
      </c>
      <c r="G84" s="24">
        <v>1</v>
      </c>
    </row>
    <row r="85" spans="1:11">
      <c r="A85" s="38">
        <v>43585</v>
      </c>
      <c r="B85" s="2">
        <v>482513457.73000002</v>
      </c>
      <c r="C85" s="5">
        <v>3.5200000000000002E-2</v>
      </c>
      <c r="D85" s="6">
        <f t="shared" si="4"/>
        <v>16196285.968896002</v>
      </c>
      <c r="E85" s="6">
        <f t="shared" si="6"/>
        <v>6195411.2811039686</v>
      </c>
      <c r="F85" s="6">
        <f t="shared" si="5"/>
        <v>22391697.24999997</v>
      </c>
      <c r="G85" s="24">
        <v>1</v>
      </c>
    </row>
    <row r="86" spans="1:11">
      <c r="A86" s="38">
        <v>43616</v>
      </c>
      <c r="B86" s="2">
        <v>461099844.62</v>
      </c>
      <c r="C86" s="5">
        <v>-4.9299999999999997E-2</v>
      </c>
      <c r="D86" s="6">
        <f t="shared" si="4"/>
        <v>-23787913.466088999</v>
      </c>
      <c r="E86" s="6">
        <f t="shared" si="6"/>
        <v>2374300.3560889959</v>
      </c>
      <c r="F86" s="6">
        <f t="shared" si="5"/>
        <v>-21413613.110000003</v>
      </c>
      <c r="G86" s="24">
        <v>1</v>
      </c>
    </row>
    <row r="87" spans="1:11">
      <c r="A87" s="38">
        <v>43646</v>
      </c>
      <c r="B87" s="2">
        <v>486318750.49000001</v>
      </c>
      <c r="C87" s="5">
        <v>5.7300000000000004E-2</v>
      </c>
      <c r="D87" s="6">
        <f t="shared" si="4"/>
        <v>26421021.096726</v>
      </c>
      <c r="E87" s="6">
        <f t="shared" si="6"/>
        <v>-1202115.2267259955</v>
      </c>
      <c r="F87" s="6">
        <f t="shared" si="5"/>
        <v>25218905.870000005</v>
      </c>
      <c r="G87" s="24">
        <v>1</v>
      </c>
    </row>
    <row r="88" spans="1:11">
      <c r="A88" s="38">
        <v>43677</v>
      </c>
      <c r="B88" s="2">
        <v>500175244.32999998</v>
      </c>
      <c r="C88" s="5">
        <v>2.0899999999999998E-2</v>
      </c>
      <c r="D88" s="6">
        <f t="shared" si="4"/>
        <v>10164061.885241</v>
      </c>
      <c r="E88" s="6">
        <f t="shared" si="6"/>
        <v>3692431.9547590017</v>
      </c>
      <c r="F88" s="6">
        <f t="shared" si="5"/>
        <v>13856493.840000002</v>
      </c>
      <c r="G88" s="24">
        <v>1</v>
      </c>
    </row>
    <row r="89" spans="1:11">
      <c r="A89" s="38">
        <v>43708</v>
      </c>
      <c r="B89" s="2">
        <v>511795106.71000004</v>
      </c>
      <c r="C89" s="5">
        <v>8.3000000000000001E-3</v>
      </c>
      <c r="D89" s="6">
        <f t="shared" si="4"/>
        <v>4151454.5279389997</v>
      </c>
      <c r="E89" s="6">
        <f t="shared" si="6"/>
        <v>7468407.8520610332</v>
      </c>
      <c r="F89" s="6">
        <f t="shared" si="5"/>
        <v>11619862.380000032</v>
      </c>
      <c r="G89" s="24">
        <v>1</v>
      </c>
      <c r="K89" s="20"/>
    </row>
    <row r="90" spans="1:11">
      <c r="A90" s="38">
        <v>43738</v>
      </c>
      <c r="B90" s="2">
        <v>526109049.99000001</v>
      </c>
      <c r="C90" s="5">
        <v>9.2999999999999992E-3</v>
      </c>
      <c r="D90" s="6">
        <f t="shared" si="4"/>
        <v>4759694.4924029997</v>
      </c>
      <c r="E90" s="6">
        <f t="shared" si="6"/>
        <v>9554248.7875970006</v>
      </c>
      <c r="F90" s="6">
        <f t="shared" si="5"/>
        <v>14313943.280000001</v>
      </c>
      <c r="G90" s="24">
        <v>1</v>
      </c>
    </row>
    <row r="91" spans="1:11">
      <c r="A91" s="38">
        <v>43769</v>
      </c>
      <c r="B91" s="2">
        <v>535107171.31999999</v>
      </c>
      <c r="C91" s="5">
        <v>-3.8E-3</v>
      </c>
      <c r="D91" s="6">
        <f t="shared" si="4"/>
        <v>-1999214.3899620001</v>
      </c>
      <c r="E91" s="6">
        <f t="shared" si="6"/>
        <v>10997335.719962001</v>
      </c>
      <c r="F91" s="6">
        <f t="shared" si="5"/>
        <v>8998121.3300000001</v>
      </c>
      <c r="G91" s="24">
        <v>1</v>
      </c>
    </row>
    <row r="92" spans="1:11">
      <c r="A92" s="38">
        <v>43799</v>
      </c>
      <c r="B92" s="2">
        <v>554270173.31000006</v>
      </c>
      <c r="C92" s="5">
        <v>1.9599999999999999E-2</v>
      </c>
      <c r="D92" s="6">
        <f t="shared" si="4"/>
        <v>10488100.557871999</v>
      </c>
      <c r="E92" s="6">
        <f t="shared" si="6"/>
        <v>8674901.4321280718</v>
      </c>
      <c r="F92" s="6">
        <f t="shared" si="5"/>
        <v>19163001.990000069</v>
      </c>
      <c r="G92" s="24">
        <v>1</v>
      </c>
    </row>
    <row r="93" spans="1:11">
      <c r="A93" s="38">
        <v>43830</v>
      </c>
      <c r="B93" s="2">
        <v>567811423.56999993</v>
      </c>
      <c r="C93" s="5">
        <v>1.95E-2</v>
      </c>
      <c r="D93" s="6">
        <f t="shared" si="4"/>
        <v>10808268.379545001</v>
      </c>
      <c r="E93" s="6">
        <f t="shared" si="6"/>
        <v>2732981.8804548979</v>
      </c>
      <c r="F93" s="6">
        <f t="shared" si="5"/>
        <v>13541250.259999899</v>
      </c>
      <c r="G93" s="24">
        <v>1</v>
      </c>
    </row>
    <row r="94" spans="1:11">
      <c r="A94" s="38">
        <v>43861</v>
      </c>
      <c r="B94" s="2">
        <v>603829325.88</v>
      </c>
      <c r="C94" s="5">
        <v>1.67E-2</v>
      </c>
      <c r="D94" s="6">
        <f t="shared" si="4"/>
        <v>9482450.773618998</v>
      </c>
      <c r="E94" s="6">
        <f t="shared" si="6"/>
        <v>26535451.536381006</v>
      </c>
      <c r="F94" s="6">
        <f t="shared" si="5"/>
        <v>36017902.310000002</v>
      </c>
      <c r="G94" s="24">
        <v>1</v>
      </c>
    </row>
    <row r="95" spans="1:11">
      <c r="A95" s="38">
        <v>43890</v>
      </c>
      <c r="B95" s="2">
        <v>566325233.85000002</v>
      </c>
      <c r="C95" s="5">
        <v>-7.6799999999999993E-2</v>
      </c>
      <c r="D95" s="6">
        <f t="shared" si="4"/>
        <v>-46374092.227583997</v>
      </c>
      <c r="E95" s="6">
        <f t="shared" si="6"/>
        <v>8870000.197584033</v>
      </c>
      <c r="F95" s="6">
        <f t="shared" si="5"/>
        <v>-37504092.029999964</v>
      </c>
      <c r="G95" s="24">
        <v>1</v>
      </c>
    </row>
    <row r="96" spans="1:11">
      <c r="A96" s="38">
        <v>43921</v>
      </c>
      <c r="B96" s="2">
        <v>465667124.37</v>
      </c>
      <c r="C96" s="5">
        <v>-0.1211</v>
      </c>
      <c r="D96" s="6">
        <f t="shared" si="4"/>
        <v>-68581985.819234997</v>
      </c>
      <c r="E96" s="6">
        <f t="shared" si="6"/>
        <v>-32076123.660765052</v>
      </c>
      <c r="F96" s="6">
        <f t="shared" si="5"/>
        <v>-100658109.48000005</v>
      </c>
      <c r="G96" s="24">
        <v>1</v>
      </c>
    </row>
    <row r="97" spans="1:8">
      <c r="A97" s="38">
        <v>43951</v>
      </c>
      <c r="B97" s="2">
        <v>499339406.74000001</v>
      </c>
      <c r="C97" s="5">
        <v>8.43E-2</v>
      </c>
      <c r="D97" s="6">
        <f t="shared" si="4"/>
        <v>39255738.584390998</v>
      </c>
      <c r="E97" s="6">
        <f t="shared" si="6"/>
        <v>-5583456.2143909931</v>
      </c>
      <c r="F97" s="6">
        <f t="shared" si="5"/>
        <v>33672282.370000005</v>
      </c>
      <c r="G97" s="24">
        <v>1</v>
      </c>
    </row>
    <row r="98" spans="1:8">
      <c r="A98" s="38">
        <v>43982</v>
      </c>
      <c r="B98" s="2">
        <v>538100076.78999996</v>
      </c>
      <c r="C98" s="5">
        <v>5.5399999999999998E-2</v>
      </c>
      <c r="D98" s="6">
        <f t="shared" si="4"/>
        <v>27663403.133396</v>
      </c>
      <c r="E98" s="6">
        <f t="shared" si="6"/>
        <v>11097266.916603923</v>
      </c>
      <c r="F98" s="6">
        <f t="shared" si="5"/>
        <v>38760670.049999923</v>
      </c>
      <c r="G98" s="24">
        <v>1</v>
      </c>
    </row>
    <row r="99" spans="1:8">
      <c r="A99" s="38">
        <v>44012</v>
      </c>
      <c r="B99" s="2">
        <v>540563085.80999994</v>
      </c>
      <c r="C99" s="5">
        <v>5.1000000000000004E-3</v>
      </c>
      <c r="D99" s="6">
        <f t="shared" si="4"/>
        <v>2744310.3916290002</v>
      </c>
      <c r="E99" s="6">
        <f t="shared" si="6"/>
        <v>-281301.37162899971</v>
      </c>
      <c r="F99" s="6">
        <f t="shared" si="5"/>
        <v>2463009.0200000005</v>
      </c>
      <c r="G99" s="24">
        <v>1</v>
      </c>
    </row>
    <row r="100" spans="1:8">
      <c r="A100" s="38">
        <v>44043</v>
      </c>
      <c r="B100" s="2">
        <v>570181637.35000002</v>
      </c>
      <c r="C100" s="5">
        <v>6.13E-2</v>
      </c>
      <c r="D100" s="6">
        <f t="shared" si="4"/>
        <v>33136517.160152998</v>
      </c>
      <c r="E100" s="6">
        <f t="shared" si="6"/>
        <v>-3517965.6201529503</v>
      </c>
      <c r="F100" s="6">
        <f t="shared" si="5"/>
        <v>29618551.540000048</v>
      </c>
      <c r="G100" s="24">
        <v>1</v>
      </c>
    </row>
    <row r="101" spans="1:8">
      <c r="A101" s="38">
        <v>44074</v>
      </c>
      <c r="B101" s="2">
        <v>583232235.99000001</v>
      </c>
      <c r="C101" s="5">
        <v>4.5999999999999999E-2</v>
      </c>
      <c r="D101" s="6">
        <f t="shared" si="4"/>
        <v>26228355.318100002</v>
      </c>
      <c r="E101" s="6">
        <f t="shared" si="6"/>
        <v>-13177756.67809999</v>
      </c>
      <c r="F101" s="6">
        <f t="shared" si="5"/>
        <v>13050598.640000012</v>
      </c>
      <c r="G101" s="24">
        <v>1</v>
      </c>
    </row>
    <row r="102" spans="1:8">
      <c r="A102" s="38">
        <v>44104</v>
      </c>
      <c r="B102" s="2">
        <v>558911311.24000001</v>
      </c>
      <c r="C102" s="5">
        <v>-2.7099999999999999E-2</v>
      </c>
      <c r="D102" s="6">
        <f t="shared" si="4"/>
        <v>-15805593.595329</v>
      </c>
      <c r="E102" s="6">
        <f t="shared" si="6"/>
        <v>-8515331.1546709538</v>
      </c>
      <c r="F102" s="6">
        <f t="shared" si="5"/>
        <v>-24320924.749999955</v>
      </c>
      <c r="G102" s="24">
        <v>1</v>
      </c>
    </row>
    <row r="103" spans="1:8">
      <c r="A103" s="38">
        <v>44135</v>
      </c>
      <c r="B103" s="2">
        <v>528917827.24000001</v>
      </c>
      <c r="C103" s="5">
        <v>-2.0499999999999997E-2</v>
      </c>
      <c r="D103" s="6">
        <f t="shared" si="4"/>
        <v>-11457681.880419999</v>
      </c>
      <c r="E103" s="6">
        <f t="shared" si="6"/>
        <v>-18535802.11958003</v>
      </c>
      <c r="F103" s="6">
        <f t="shared" si="5"/>
        <v>-29993484.00000003</v>
      </c>
      <c r="G103" s="24">
        <v>1</v>
      </c>
    </row>
    <row r="104" spans="1:8">
      <c r="A104" s="38">
        <v>44165</v>
      </c>
      <c r="B104" s="2">
        <v>526077932.93000001</v>
      </c>
      <c r="C104" s="5">
        <v>7.0300000000000001E-2</v>
      </c>
      <c r="D104" s="6">
        <f t="shared" si="4"/>
        <v>37182923.254972003</v>
      </c>
      <c r="E104" s="6">
        <f t="shared" si="6"/>
        <v>-40022817.564971983</v>
      </c>
      <c r="F104" s="6">
        <f t="shared" si="5"/>
        <v>-2839894.30999998</v>
      </c>
      <c r="G104" s="24">
        <v>1</v>
      </c>
    </row>
    <row r="105" spans="1:8">
      <c r="A105" s="38">
        <v>44196</v>
      </c>
      <c r="B105" s="2">
        <v>540531045.76999998</v>
      </c>
      <c r="C105" s="5">
        <v>3.7599999999999995E-2</v>
      </c>
      <c r="D105" s="6">
        <f t="shared" si="4"/>
        <v>19780530.278167997</v>
      </c>
      <c r="E105" s="6">
        <f t="shared" si="6"/>
        <v>-5327417.4381680489</v>
      </c>
      <c r="F105" s="6">
        <f t="shared" si="5"/>
        <v>14453112.839999948</v>
      </c>
      <c r="G105" s="24">
        <v>1</v>
      </c>
      <c r="H105" s="11" cm="1">
        <f t="array" ref="H105">GEOMEAN(1+C94:C105)^12-1</f>
        <v>0.11476130532348106</v>
      </c>
    </row>
    <row r="106" spans="1:8">
      <c r="A106" s="38">
        <v>44227</v>
      </c>
      <c r="B106" s="2">
        <v>515123063.17000002</v>
      </c>
      <c r="C106" s="5">
        <v>-3.1099999999999999E-2</v>
      </c>
      <c r="D106" s="6">
        <f t="shared" si="4"/>
        <v>-16810515.523446999</v>
      </c>
      <c r="E106" s="6">
        <f t="shared" si="6"/>
        <v>-8597467.0765529871</v>
      </c>
      <c r="F106" s="6">
        <f t="shared" si="5"/>
        <v>-25407982.599999987</v>
      </c>
      <c r="G106" s="24">
        <v>1</v>
      </c>
    </row>
    <row r="107" spans="1:8">
      <c r="A107" s="38">
        <v>44255</v>
      </c>
      <c r="B107" s="2">
        <v>487255663.67000002</v>
      </c>
      <c r="C107" s="5">
        <v>1.5E-3</v>
      </c>
      <c r="D107" s="6">
        <f t="shared" si="4"/>
        <v>772684.59475500009</v>
      </c>
      <c r="E107" s="6">
        <f t="shared" si="6"/>
        <v>-28640084.094754994</v>
      </c>
      <c r="F107" s="6">
        <f t="shared" si="5"/>
        <v>-27867399.499999993</v>
      </c>
      <c r="G107" s="24">
        <v>1</v>
      </c>
    </row>
    <row r="108" spans="1:8">
      <c r="A108" s="38">
        <v>44286</v>
      </c>
      <c r="B108" s="2">
        <v>494625680.19999999</v>
      </c>
      <c r="C108" s="5">
        <v>2.3599999999999999E-2</v>
      </c>
      <c r="D108" s="6">
        <f t="shared" si="4"/>
        <v>11499233.662612</v>
      </c>
      <c r="E108" s="6">
        <f t="shared" si="6"/>
        <v>-4129217.1326120496</v>
      </c>
      <c r="F108" s="6">
        <f t="shared" si="5"/>
        <v>7370016.5299999509</v>
      </c>
      <c r="G108" s="24">
        <v>1</v>
      </c>
    </row>
    <row r="109" spans="1:8">
      <c r="A109" s="38">
        <v>44316</v>
      </c>
      <c r="B109" s="2">
        <v>515321546.69999999</v>
      </c>
      <c r="C109" s="5">
        <v>4.7500000000000001E-2</v>
      </c>
      <c r="D109" s="6">
        <f t="shared" si="4"/>
        <v>23494719.809500001</v>
      </c>
      <c r="E109" s="6">
        <f t="shared" si="6"/>
        <v>-2798853.309499979</v>
      </c>
      <c r="F109" s="6">
        <f t="shared" si="5"/>
        <v>20695866.500000022</v>
      </c>
      <c r="G109" s="24">
        <v>1</v>
      </c>
    </row>
    <row r="110" spans="1:8">
      <c r="A110" s="38">
        <v>44347</v>
      </c>
      <c r="B110" s="2">
        <v>509044278.69999999</v>
      </c>
      <c r="C110" s="5">
        <v>5.0000000000000001E-4</v>
      </c>
      <c r="D110" s="6">
        <f t="shared" si="4"/>
        <v>257660.77335</v>
      </c>
      <c r="E110" s="6">
        <f t="shared" si="6"/>
        <v>-6534928.7733500004</v>
      </c>
      <c r="F110" s="6">
        <f t="shared" si="5"/>
        <v>-6277268</v>
      </c>
      <c r="G110" s="24">
        <v>1</v>
      </c>
    </row>
    <row r="111" spans="1:8">
      <c r="A111" s="38">
        <v>44377</v>
      </c>
      <c r="B111" s="2">
        <v>516736366.89999998</v>
      </c>
      <c r="C111" s="5">
        <v>3.2199999999999999E-2</v>
      </c>
      <c r="D111" s="6">
        <f t="shared" si="4"/>
        <v>16391225.774139998</v>
      </c>
      <c r="E111" s="6">
        <f t="shared" si="6"/>
        <v>-8699137.5741400123</v>
      </c>
      <c r="F111" s="6">
        <f t="shared" si="5"/>
        <v>7692088.1999999862</v>
      </c>
      <c r="G111" s="24">
        <v>1</v>
      </c>
    </row>
    <row r="112" spans="1:8">
      <c r="A112" s="38">
        <v>44408</v>
      </c>
      <c r="B112" s="2">
        <v>528451248.62</v>
      </c>
      <c r="C112" s="5">
        <v>2.81E-2</v>
      </c>
      <c r="D112" s="6">
        <f t="shared" ref="D112:D124" si="7">SUM(C112*B111)</f>
        <v>14520291.90989</v>
      </c>
      <c r="E112" s="6">
        <f t="shared" ref="E112:E124" si="8">B112-(B111+D112)</f>
        <v>-2805410.1898899674</v>
      </c>
      <c r="F112" s="6">
        <f t="shared" ref="F112:F153" si="9">D112+E112</f>
        <v>11714881.720000032</v>
      </c>
      <c r="G112" s="24">
        <v>1</v>
      </c>
    </row>
    <row r="113" spans="1:8">
      <c r="A113" s="38">
        <v>44439</v>
      </c>
      <c r="B113" s="2">
        <v>538233300.79999995</v>
      </c>
      <c r="C113" s="5">
        <v>2.2000000000000002E-2</v>
      </c>
      <c r="D113" s="6">
        <f t="shared" si="7"/>
        <v>11625927.469640002</v>
      </c>
      <c r="E113" s="6">
        <f t="shared" si="8"/>
        <v>-1843875.289640069</v>
      </c>
      <c r="F113" s="6">
        <f t="shared" si="9"/>
        <v>9782052.1799999326</v>
      </c>
      <c r="G113" s="24">
        <v>1</v>
      </c>
    </row>
    <row r="114" spans="1:8">
      <c r="A114" s="38">
        <v>44469</v>
      </c>
      <c r="B114" s="2">
        <v>506793726.31</v>
      </c>
      <c r="C114" s="5">
        <v>-5.9000000000000004E-2</v>
      </c>
      <c r="D114" s="6">
        <f t="shared" si="7"/>
        <v>-31755764.747200001</v>
      </c>
      <c r="E114" s="6">
        <f t="shared" si="8"/>
        <v>316190.25720006227</v>
      </c>
      <c r="F114" s="6">
        <f t="shared" si="9"/>
        <v>-31439574.489999939</v>
      </c>
      <c r="G114" s="24">
        <v>1</v>
      </c>
    </row>
    <row r="115" spans="1:8">
      <c r="A115" s="38">
        <v>44500</v>
      </c>
      <c r="B115" s="2">
        <v>546017089.99000001</v>
      </c>
      <c r="C115" s="5">
        <v>8.199999999999999E-2</v>
      </c>
      <c r="D115" s="6">
        <f t="shared" si="7"/>
        <v>41557085.557419993</v>
      </c>
      <c r="E115" s="6">
        <f t="shared" si="8"/>
        <v>-2333721.8774199486</v>
      </c>
      <c r="F115" s="6">
        <f t="shared" si="9"/>
        <v>39223363.680000044</v>
      </c>
      <c r="G115" s="24">
        <v>1</v>
      </c>
    </row>
    <row r="116" spans="1:8">
      <c r="A116" s="38">
        <v>44530</v>
      </c>
      <c r="B116" s="2">
        <v>533352474.44</v>
      </c>
      <c r="C116" s="5">
        <v>-1.7399999999999999E-2</v>
      </c>
      <c r="D116" s="6">
        <f t="shared" si="7"/>
        <v>-9500697.3658259995</v>
      </c>
      <c r="E116" s="6">
        <f t="shared" si="8"/>
        <v>-3163918.1841740012</v>
      </c>
      <c r="F116" s="6">
        <f t="shared" si="9"/>
        <v>-12664615.550000001</v>
      </c>
      <c r="G116" s="24">
        <v>1</v>
      </c>
    </row>
    <row r="117" spans="1:8">
      <c r="A117" s="38">
        <v>44561</v>
      </c>
      <c r="B117" s="2">
        <v>555170394.62</v>
      </c>
      <c r="C117" s="5">
        <v>0.04</v>
      </c>
      <c r="D117" s="6">
        <f t="shared" si="7"/>
        <v>21334098.977600001</v>
      </c>
      <c r="E117" s="6">
        <f t="shared" si="8"/>
        <v>483821.2023999691</v>
      </c>
      <c r="F117" s="6">
        <f t="shared" si="9"/>
        <v>21817920.17999997</v>
      </c>
      <c r="G117" s="24">
        <v>1</v>
      </c>
      <c r="H117" s="11" cm="1">
        <f t="array" ref="H117">GEOMEAN(1+C106:C117)^12-1</f>
        <v>0.17464978718010937</v>
      </c>
    </row>
    <row r="118" spans="1:8">
      <c r="A118" s="38">
        <v>44592</v>
      </c>
      <c r="B118" s="2">
        <v>513314784.81</v>
      </c>
      <c r="C118" s="5">
        <v>-7.1599999999999997E-2</v>
      </c>
      <c r="D118" s="6">
        <f t="shared" si="7"/>
        <v>-39750200.254791997</v>
      </c>
      <c r="E118" s="6">
        <f t="shared" si="8"/>
        <v>-2105409.5552080274</v>
      </c>
      <c r="F118" s="6">
        <f t="shared" si="9"/>
        <v>-41855609.810000025</v>
      </c>
      <c r="G118" s="24">
        <v>1</v>
      </c>
    </row>
    <row r="119" spans="1:8">
      <c r="A119" s="38">
        <v>44620</v>
      </c>
      <c r="B119" s="2">
        <v>479445611.19</v>
      </c>
      <c r="C119" s="5">
        <v>-4.1900000000000007E-2</v>
      </c>
      <c r="D119" s="6">
        <f t="shared" si="7"/>
        <v>-21507889.483539004</v>
      </c>
      <c r="E119" s="6">
        <f t="shared" si="8"/>
        <v>-12361284.13646102</v>
      </c>
      <c r="F119" s="6">
        <f t="shared" si="9"/>
        <v>-33869173.62000002</v>
      </c>
      <c r="G119" s="24">
        <v>1</v>
      </c>
    </row>
    <row r="120" spans="1:8">
      <c r="A120" s="38">
        <v>44651</v>
      </c>
      <c r="B120" s="2">
        <v>499057289.99000001</v>
      </c>
      <c r="C120" s="5">
        <v>4.8600000000000004E-2</v>
      </c>
      <c r="D120" s="6">
        <f t="shared" si="7"/>
        <v>23301056.703834001</v>
      </c>
      <c r="E120" s="6">
        <f t="shared" si="8"/>
        <v>-3689377.9038339853</v>
      </c>
      <c r="F120" s="6">
        <f t="shared" si="9"/>
        <v>19611678.800000016</v>
      </c>
      <c r="G120" s="24">
        <v>1</v>
      </c>
    </row>
    <row r="121" spans="1:8">
      <c r="A121" s="38">
        <v>44681</v>
      </c>
      <c r="B121" s="2">
        <v>474697469.44999999</v>
      </c>
      <c r="C121" s="5">
        <v>-3.6600000000000001E-2</v>
      </c>
      <c r="D121" s="6">
        <f t="shared" si="7"/>
        <v>-18265496.813634001</v>
      </c>
      <c r="E121" s="6">
        <f t="shared" si="8"/>
        <v>-6094323.7263660431</v>
      </c>
      <c r="F121" s="6">
        <f t="shared" si="9"/>
        <v>-24359820.540000044</v>
      </c>
      <c r="G121" s="24">
        <v>1</v>
      </c>
    </row>
    <row r="122" spans="1:8">
      <c r="A122" s="38">
        <v>44712</v>
      </c>
      <c r="B122" s="2">
        <v>459289234.48000002</v>
      </c>
      <c r="C122" s="5">
        <v>4.7999999999999996E-3</v>
      </c>
      <c r="D122" s="6">
        <f t="shared" si="7"/>
        <v>2278547.8533599996</v>
      </c>
      <c r="E122" s="6">
        <f t="shared" si="8"/>
        <v>-17686782.823359966</v>
      </c>
      <c r="F122" s="6">
        <f t="shared" si="9"/>
        <v>-15408234.969999967</v>
      </c>
      <c r="G122" s="24">
        <v>1</v>
      </c>
    </row>
    <row r="123" spans="1:8">
      <c r="A123" s="38">
        <v>44742</v>
      </c>
      <c r="B123" s="2">
        <v>422396251.06</v>
      </c>
      <c r="C123" s="5">
        <v>-6.6600000000000006E-2</v>
      </c>
      <c r="D123" s="6">
        <f t="shared" si="7"/>
        <v>-30588663.016368005</v>
      </c>
      <c r="E123" s="6">
        <f t="shared" si="8"/>
        <v>-6304320.4036319852</v>
      </c>
      <c r="F123" s="6">
        <f t="shared" si="9"/>
        <v>-36892983.419999987</v>
      </c>
      <c r="G123" s="24">
        <v>1</v>
      </c>
    </row>
    <row r="124" spans="1:8">
      <c r="A124" s="38">
        <v>44773</v>
      </c>
      <c r="B124" s="2">
        <v>438203228.62</v>
      </c>
      <c r="C124" s="5">
        <v>4.5100000000000001E-2</v>
      </c>
      <c r="D124" s="6">
        <f t="shared" si="7"/>
        <v>19050070.922806002</v>
      </c>
      <c r="E124" s="6">
        <f t="shared" si="8"/>
        <v>-3243093.3628060222</v>
      </c>
      <c r="F124" s="6">
        <f t="shared" si="9"/>
        <v>15806977.55999998</v>
      </c>
      <c r="G124" s="24">
        <v>1</v>
      </c>
    </row>
    <row r="125" spans="1:8">
      <c r="A125" s="38">
        <v>44804</v>
      </c>
      <c r="B125" s="2">
        <v>421900900.20999998</v>
      </c>
      <c r="C125" s="5">
        <v>-2.5699999999999997E-2</v>
      </c>
      <c r="D125" s="6">
        <f t="shared" ref="D125:D131" si="10">SUM(C125*B124)</f>
        <v>-11261822.975534</v>
      </c>
      <c r="E125" s="6">
        <f t="shared" ref="E125:E131" si="11">B125-(B124+D125)</f>
        <v>-5040505.4344660044</v>
      </c>
      <c r="F125" s="6">
        <f t="shared" si="9"/>
        <v>-16302328.410000004</v>
      </c>
      <c r="G125" s="24">
        <v>1</v>
      </c>
    </row>
    <row r="126" spans="1:8">
      <c r="A126" s="38">
        <v>44834</v>
      </c>
      <c r="B126" s="2">
        <v>385852163.48000002</v>
      </c>
      <c r="C126" s="5">
        <v>-7.7869999999999995E-2</v>
      </c>
      <c r="D126" s="6">
        <f t="shared" si="10"/>
        <v>-32853423.099352695</v>
      </c>
      <c r="E126" s="6">
        <f t="shared" si="11"/>
        <v>-3195313.6306472421</v>
      </c>
      <c r="F126" s="6">
        <f t="shared" si="9"/>
        <v>-36048736.729999937</v>
      </c>
      <c r="G126" s="24">
        <v>1</v>
      </c>
    </row>
    <row r="127" spans="1:8">
      <c r="A127" s="38">
        <v>44865</v>
      </c>
      <c r="B127" s="2">
        <v>418578267.36000001</v>
      </c>
      <c r="C127" s="5">
        <v>0.1045</v>
      </c>
      <c r="D127" s="6">
        <f t="shared" si="10"/>
        <v>40321551.083659999</v>
      </c>
      <c r="E127" s="6">
        <f t="shared" si="11"/>
        <v>-7595447.2036600113</v>
      </c>
      <c r="F127" s="6">
        <f t="shared" si="9"/>
        <v>32726103.879999988</v>
      </c>
      <c r="G127" s="24">
        <v>1</v>
      </c>
    </row>
    <row r="128" spans="1:8">
      <c r="A128" s="38">
        <v>44895</v>
      </c>
      <c r="B128" s="2">
        <v>436525156.44</v>
      </c>
      <c r="C128" s="5">
        <v>4.9000000000000002E-2</v>
      </c>
      <c r="D128" s="6">
        <f t="shared" si="10"/>
        <v>20510335.100640003</v>
      </c>
      <c r="E128" s="6">
        <f t="shared" si="11"/>
        <v>-2563446.0206400156</v>
      </c>
      <c r="F128" s="6">
        <f t="shared" si="9"/>
        <v>17946889.079999987</v>
      </c>
      <c r="G128" s="24">
        <v>1</v>
      </c>
    </row>
    <row r="129" spans="1:21">
      <c r="A129" s="38">
        <v>44926</v>
      </c>
      <c r="B129" s="2">
        <v>403412061.28999996</v>
      </c>
      <c r="C129" s="5">
        <v>-4.0199999999999993E-2</v>
      </c>
      <c r="D129" s="6">
        <f t="shared" si="10"/>
        <v>-17548311.288887996</v>
      </c>
      <c r="E129" s="6">
        <f t="shared" si="11"/>
        <v>-15564783.861112058</v>
      </c>
      <c r="F129" s="6">
        <f t="shared" si="9"/>
        <v>-33113095.150000054</v>
      </c>
      <c r="G129" s="24">
        <v>1</v>
      </c>
      <c r="H129" s="11" cm="1">
        <f t="array" ref="H129">GEOMEAN(1+C118:C129)^12-1</f>
        <v>-0.12001646596061877</v>
      </c>
    </row>
    <row r="130" spans="1:21">
      <c r="A130" s="38">
        <v>44957</v>
      </c>
      <c r="B130" s="2">
        <v>412932785.35000002</v>
      </c>
      <c r="C130" s="5">
        <v>2.76E-2</v>
      </c>
      <c r="D130" s="6">
        <f t="shared" si="10"/>
        <v>11134172.891603999</v>
      </c>
      <c r="E130" s="6">
        <f t="shared" si="11"/>
        <v>-1613448.8316039443</v>
      </c>
      <c r="F130" s="6">
        <f t="shared" si="9"/>
        <v>9520724.0600000545</v>
      </c>
      <c r="G130" s="24">
        <v>1</v>
      </c>
    </row>
    <row r="131" spans="1:21">
      <c r="A131" s="38">
        <v>44985</v>
      </c>
      <c r="B131" s="2">
        <v>399822435.32999998</v>
      </c>
      <c r="C131" s="5">
        <v>-2.8500000000000001E-2</v>
      </c>
      <c r="D131" s="6">
        <f t="shared" si="10"/>
        <v>-11768584.382475002</v>
      </c>
      <c r="E131" s="6">
        <f t="shared" si="11"/>
        <v>-1341765.637525022</v>
      </c>
      <c r="F131" s="6">
        <f t="shared" si="9"/>
        <v>-13110350.020000024</v>
      </c>
      <c r="G131" s="24">
        <v>1</v>
      </c>
    </row>
    <row r="132" spans="1:21">
      <c r="A132" s="38">
        <v>45016</v>
      </c>
      <c r="B132" s="2">
        <v>401152646.69999999</v>
      </c>
      <c r="C132" s="5">
        <v>1.15E-2</v>
      </c>
      <c r="D132" s="6">
        <f t="shared" ref="D132:D153" si="12">SUM(C132*B131)</f>
        <v>4597958.0062949993</v>
      </c>
      <c r="E132" s="6">
        <f t="shared" ref="E132:E153" si="13">B132-(B131+D132)</f>
        <v>-3267746.6362950206</v>
      </c>
      <c r="F132" s="6">
        <f t="shared" si="9"/>
        <v>1330211.3699999787</v>
      </c>
      <c r="G132" s="24">
        <v>1</v>
      </c>
    </row>
    <row r="133" spans="1:21">
      <c r="A133" s="38">
        <v>45046</v>
      </c>
      <c r="B133" s="2">
        <v>402201866.05000001</v>
      </c>
      <c r="C133" s="5">
        <v>1.0800000000000001E-2</v>
      </c>
      <c r="D133" s="6">
        <f t="shared" si="12"/>
        <v>4332448.5843599997</v>
      </c>
      <c r="E133" s="6">
        <f t="shared" si="13"/>
        <v>-3283229.2343599796</v>
      </c>
      <c r="F133" s="6">
        <f t="shared" si="9"/>
        <v>1049219.3500000201</v>
      </c>
      <c r="G133" s="24">
        <v>1</v>
      </c>
    </row>
    <row r="134" spans="1:21">
      <c r="A134" s="38">
        <v>45077</v>
      </c>
      <c r="B134" s="2">
        <v>384331838.94999993</v>
      </c>
      <c r="C134" s="11">
        <v>-2.87E-2</v>
      </c>
      <c r="D134" s="6">
        <f t="shared" si="12"/>
        <v>-11543193.555635</v>
      </c>
      <c r="E134" s="6">
        <f t="shared" si="13"/>
        <v>-6326833.544365108</v>
      </c>
      <c r="F134" s="6">
        <f t="shared" si="9"/>
        <v>-17870027.100000106</v>
      </c>
      <c r="G134" s="24">
        <v>1</v>
      </c>
      <c r="K134">
        <v>2021</v>
      </c>
      <c r="L134" t="s">
        <v>6</v>
      </c>
      <c r="M134">
        <v>87.8</v>
      </c>
      <c r="N134">
        <v>-157</v>
      </c>
      <c r="R134" s="207"/>
      <c r="S134" s="207"/>
      <c r="T134" s="207"/>
      <c r="U134" s="207"/>
    </row>
    <row r="135" spans="1:21">
      <c r="A135" s="38">
        <v>45107</v>
      </c>
      <c r="B135" s="2">
        <v>400273637.47000009</v>
      </c>
      <c r="C135" s="11">
        <v>4.9200000000000001E-2</v>
      </c>
      <c r="D135" s="6">
        <f t="shared" si="12"/>
        <v>18909126.476339996</v>
      </c>
      <c r="E135" s="6">
        <f t="shared" si="13"/>
        <v>-2967327.9563398361</v>
      </c>
      <c r="F135" s="6">
        <f t="shared" si="9"/>
        <v>15941798.52000016</v>
      </c>
      <c r="G135" s="24">
        <v>1</v>
      </c>
      <c r="L135" t="s">
        <v>193</v>
      </c>
      <c r="M135">
        <v>0</v>
      </c>
      <c r="N135">
        <v>0</v>
      </c>
      <c r="R135" s="207"/>
      <c r="S135" s="207"/>
      <c r="T135" s="207"/>
      <c r="U135" s="207"/>
    </row>
    <row r="136" spans="1:21">
      <c r="A136" s="38">
        <v>45138</v>
      </c>
      <c r="B136" s="2">
        <v>403455703.95999986</v>
      </c>
      <c r="C136" s="11">
        <v>1.6E-2</v>
      </c>
      <c r="D136" s="6">
        <f t="shared" si="12"/>
        <v>6404378.1995200012</v>
      </c>
      <c r="E136" s="6">
        <f t="shared" si="13"/>
        <v>-3222311.7095202208</v>
      </c>
      <c r="F136" s="6">
        <f t="shared" si="9"/>
        <v>3182066.4899997804</v>
      </c>
      <c r="G136" s="24">
        <v>1</v>
      </c>
      <c r="L136" t="s">
        <v>70</v>
      </c>
      <c r="M136">
        <v>0</v>
      </c>
      <c r="N136">
        <v>-0.1</v>
      </c>
      <c r="R136" s="207"/>
      <c r="S136" s="207"/>
      <c r="T136" s="207"/>
      <c r="U136" s="207"/>
    </row>
    <row r="137" spans="1:21">
      <c r="A137" s="38">
        <v>45169</v>
      </c>
      <c r="B137" s="2">
        <v>385054066.88999999</v>
      </c>
      <c r="C137" s="11">
        <v>-2.1700000000000001E-2</v>
      </c>
      <c r="D137" s="6">
        <f t="shared" si="12"/>
        <v>-8754988.7759319972</v>
      </c>
      <c r="E137" s="6">
        <f t="shared" si="13"/>
        <v>-9646648.2940678596</v>
      </c>
      <c r="F137" s="6">
        <f t="shared" si="9"/>
        <v>-18401637.069999859</v>
      </c>
      <c r="G137" s="24">
        <v>1</v>
      </c>
      <c r="L137" t="s">
        <v>60</v>
      </c>
      <c r="M137">
        <v>0</v>
      </c>
      <c r="N137">
        <v>-1.3</v>
      </c>
      <c r="R137" s="207"/>
      <c r="S137" s="207"/>
      <c r="T137" s="207"/>
      <c r="U137" s="207"/>
    </row>
    <row r="138" spans="1:21">
      <c r="A138" s="38">
        <v>45199</v>
      </c>
      <c r="B138" s="2">
        <v>356183802.62</v>
      </c>
      <c r="C138" s="11">
        <v>-2.3900000000000001E-2</v>
      </c>
      <c r="D138" s="6">
        <f t="shared" si="12"/>
        <v>-9202792.1986710001</v>
      </c>
      <c r="E138" s="6">
        <f t="shared" si="13"/>
        <v>-19667472.071328998</v>
      </c>
      <c r="F138" s="6">
        <f t="shared" si="9"/>
        <v>-28870264.269999996</v>
      </c>
      <c r="G138" s="24">
        <v>1</v>
      </c>
      <c r="L138" t="s">
        <v>194</v>
      </c>
      <c r="M138">
        <v>0</v>
      </c>
      <c r="N138">
        <v>0</v>
      </c>
    </row>
    <row r="139" spans="1:21">
      <c r="A139" s="38">
        <v>45230</v>
      </c>
      <c r="B139" s="2">
        <v>336269872.96000004</v>
      </c>
      <c r="C139" s="11">
        <v>-1.0800000000000001E-2</v>
      </c>
      <c r="D139" s="6">
        <f t="shared" si="12"/>
        <v>-3846785.0682960004</v>
      </c>
      <c r="E139" s="6">
        <f t="shared" si="13"/>
        <v>-16067144.591703951</v>
      </c>
      <c r="F139" s="6">
        <f t="shared" si="9"/>
        <v>-19913929.659999952</v>
      </c>
      <c r="G139" s="24">
        <v>1</v>
      </c>
      <c r="L139" t="s">
        <v>195</v>
      </c>
      <c r="M139">
        <v>25.8</v>
      </c>
      <c r="N139">
        <v>0</v>
      </c>
    </row>
    <row r="140" spans="1:21">
      <c r="A140" s="38">
        <v>45260</v>
      </c>
      <c r="B140" s="2">
        <v>343409191.65999997</v>
      </c>
      <c r="C140" s="11">
        <v>6.9000000000000006E-2</v>
      </c>
      <c r="D140" s="6">
        <f t="shared" si="12"/>
        <v>23202621.234240003</v>
      </c>
      <c r="E140" s="6">
        <f t="shared" si="13"/>
        <v>-16063302.534240067</v>
      </c>
      <c r="F140" s="6">
        <f t="shared" si="9"/>
        <v>7139318.6999999359</v>
      </c>
      <c r="G140" s="24">
        <v>1</v>
      </c>
      <c r="N140">
        <f>SUM(M134:N139)</f>
        <v>-44.8</v>
      </c>
    </row>
    <row r="141" spans="1:21">
      <c r="A141" s="38">
        <v>45291</v>
      </c>
      <c r="B141" s="2">
        <v>329475410.8499999</v>
      </c>
      <c r="C141" s="11">
        <v>3.5000000000000003E-2</v>
      </c>
      <c r="D141" s="6">
        <f t="shared" si="12"/>
        <v>12019321.7081</v>
      </c>
      <c r="E141" s="6">
        <f t="shared" si="13"/>
        <v>-25953102.518100083</v>
      </c>
      <c r="F141" s="6">
        <f t="shared" si="9"/>
        <v>-13933780.810000082</v>
      </c>
      <c r="G141" s="24">
        <v>1</v>
      </c>
      <c r="H141" s="11" cm="1">
        <f t="array" ref="H141">GEOMEAN(1+C130:C141)^12-1</f>
        <v>0.10451578901423275</v>
      </c>
    </row>
    <row r="142" spans="1:21">
      <c r="A142" s="38">
        <v>45322</v>
      </c>
      <c r="B142" s="2">
        <v>325904602.19</v>
      </c>
      <c r="C142" s="11">
        <v>2.5600000000000001E-2</v>
      </c>
      <c r="D142" s="6">
        <f t="shared" si="12"/>
        <v>8434570.5177599974</v>
      </c>
      <c r="E142" s="6">
        <f t="shared" si="13"/>
        <v>-12005379.177759886</v>
      </c>
      <c r="F142" s="6">
        <f t="shared" si="9"/>
        <v>-3570808.6599998884</v>
      </c>
      <c r="G142" s="24">
        <v>1</v>
      </c>
      <c r="K142">
        <v>2022</v>
      </c>
      <c r="L142" t="s">
        <v>6</v>
      </c>
      <c r="M142">
        <v>24.8</v>
      </c>
      <c r="N142">
        <v>-108.9</v>
      </c>
    </row>
    <row r="143" spans="1:21">
      <c r="A143" s="38">
        <v>45351</v>
      </c>
      <c r="B143" s="2">
        <v>151718160.30000004</v>
      </c>
      <c r="C143" s="11">
        <v>2.3399999999999997E-2</v>
      </c>
      <c r="D143" s="6">
        <f t="shared" si="12"/>
        <v>7626167.6912459992</v>
      </c>
      <c r="E143" s="6">
        <f t="shared" si="13"/>
        <v>-181812609.58124593</v>
      </c>
      <c r="F143" s="6">
        <f t="shared" si="9"/>
        <v>-174186441.88999993</v>
      </c>
      <c r="G143" s="24">
        <v>1</v>
      </c>
      <c r="L143" t="s">
        <v>193</v>
      </c>
      <c r="M143">
        <v>0</v>
      </c>
      <c r="N143">
        <v>0</v>
      </c>
    </row>
    <row r="144" spans="1:21">
      <c r="A144" s="38">
        <v>45382</v>
      </c>
      <c r="B144" s="2">
        <v>212113501.93999997</v>
      </c>
      <c r="C144" s="11">
        <v>3.32E-2</v>
      </c>
      <c r="D144" s="6">
        <f t="shared" si="12"/>
        <v>5037042.9219600018</v>
      </c>
      <c r="E144" s="6">
        <f t="shared" si="13"/>
        <v>55358298.71803993</v>
      </c>
      <c r="F144" s="6">
        <f t="shared" si="9"/>
        <v>60395341.639999934</v>
      </c>
      <c r="G144" s="24">
        <v>1</v>
      </c>
      <c r="L144" t="s">
        <v>70</v>
      </c>
      <c r="M144">
        <v>0</v>
      </c>
      <c r="N144">
        <v>0</v>
      </c>
    </row>
    <row r="145" spans="1:14">
      <c r="A145" s="38">
        <v>45412</v>
      </c>
      <c r="B145" s="2">
        <v>204014269.30999997</v>
      </c>
      <c r="C145" s="11">
        <v>-4.1200000000000001E-2</v>
      </c>
      <c r="D145" s="6">
        <f t="shared" si="12"/>
        <v>-8739076.2799279988</v>
      </c>
      <c r="E145" s="6">
        <f t="shared" si="13"/>
        <v>639843.64992800355</v>
      </c>
      <c r="F145" s="6">
        <f t="shared" si="9"/>
        <v>-8099232.6299999952</v>
      </c>
      <c r="G145" s="24">
        <v>1</v>
      </c>
      <c r="L145" t="s">
        <v>60</v>
      </c>
      <c r="M145">
        <v>0</v>
      </c>
      <c r="N145">
        <v>-2.5</v>
      </c>
    </row>
    <row r="146" spans="1:14">
      <c r="A146" s="38">
        <v>45443</v>
      </c>
      <c r="B146" s="2">
        <v>210690035.57999995</v>
      </c>
      <c r="C146" s="11">
        <v>3.61E-2</v>
      </c>
      <c r="D146" s="6">
        <f t="shared" si="12"/>
        <v>7364915.122090999</v>
      </c>
      <c r="E146" s="6">
        <f t="shared" si="13"/>
        <v>-689148.85209101439</v>
      </c>
      <c r="F146" s="6">
        <f t="shared" si="9"/>
        <v>6675766.2699999847</v>
      </c>
      <c r="G146" s="24">
        <v>1</v>
      </c>
      <c r="L146" t="s">
        <v>194</v>
      </c>
      <c r="M146">
        <v>0</v>
      </c>
      <c r="N146">
        <v>-12</v>
      </c>
    </row>
    <row r="147" spans="1:14">
      <c r="A147" s="38">
        <v>45473</v>
      </c>
      <c r="B147" s="2">
        <v>212130364.19</v>
      </c>
      <c r="C147" s="11">
        <v>1.9199999999999998E-2</v>
      </c>
      <c r="D147" s="6">
        <f t="shared" si="12"/>
        <v>4045248.6831359989</v>
      </c>
      <c r="E147" s="6">
        <f t="shared" si="13"/>
        <v>-2604920.0731359422</v>
      </c>
      <c r="F147" s="6">
        <f t="shared" si="9"/>
        <v>1440328.6100000567</v>
      </c>
      <c r="G147" s="24">
        <v>1</v>
      </c>
      <c r="L147" t="s">
        <v>195</v>
      </c>
      <c r="M147">
        <v>0</v>
      </c>
      <c r="N147">
        <v>-18</v>
      </c>
    </row>
    <row r="148" spans="1:14">
      <c r="A148" s="38">
        <v>45504</v>
      </c>
      <c r="B148" s="2">
        <v>223204724.47999993</v>
      </c>
      <c r="C148" s="11">
        <v>2.7300000000000001E-2</v>
      </c>
      <c r="D148" s="6">
        <f t="shared" si="12"/>
        <v>5791158.9423870007</v>
      </c>
      <c r="E148" s="6">
        <f t="shared" si="13"/>
        <v>5283201.3476129174</v>
      </c>
      <c r="F148" s="6">
        <f t="shared" si="9"/>
        <v>11074360.289999917</v>
      </c>
      <c r="G148" s="24">
        <v>1</v>
      </c>
      <c r="N148">
        <f>SUM(M142:N147)</f>
        <v>-116.60000000000001</v>
      </c>
    </row>
    <row r="149" spans="1:14">
      <c r="A149" s="38">
        <v>45535</v>
      </c>
      <c r="B149" s="2">
        <v>233312968.63999999</v>
      </c>
      <c r="C149" s="11">
        <v>4.9700000000000001E-2</v>
      </c>
      <c r="D149" s="6">
        <f t="shared" si="12"/>
        <v>11093274.806655997</v>
      </c>
      <c r="E149" s="6">
        <f t="shared" si="13"/>
        <v>-985030.64665594697</v>
      </c>
      <c r="F149" s="6">
        <f t="shared" si="9"/>
        <v>10108244.16000005</v>
      </c>
      <c r="G149" s="24">
        <v>1</v>
      </c>
    </row>
    <row r="150" spans="1:14">
      <c r="A150" s="38">
        <v>45565</v>
      </c>
      <c r="B150" s="2">
        <v>233168807.96999982</v>
      </c>
      <c r="C150" s="11">
        <v>3.2000000000000002E-3</v>
      </c>
      <c r="D150" s="6">
        <f t="shared" si="12"/>
        <v>746601.499648</v>
      </c>
      <c r="E150" s="6">
        <f t="shared" si="13"/>
        <v>-890762.16964817047</v>
      </c>
      <c r="F150" s="6">
        <f t="shared" si="9"/>
        <v>-144160.67000017047</v>
      </c>
      <c r="G150" s="24">
        <v>1</v>
      </c>
      <c r="K150">
        <v>2023</v>
      </c>
      <c r="L150" t="s">
        <v>6</v>
      </c>
      <c r="M150">
        <v>10</v>
      </c>
      <c r="N150">
        <v>-119</v>
      </c>
    </row>
    <row r="151" spans="1:14">
      <c r="A151" s="38">
        <v>45596</v>
      </c>
      <c r="B151" s="2">
        <v>225534728.34000006</v>
      </c>
      <c r="C151" s="11">
        <v>-2.934434E-2</v>
      </c>
      <c r="D151" s="6">
        <f t="shared" si="12"/>
        <v>-6842184.7784663849</v>
      </c>
      <c r="E151" s="6">
        <f t="shared" si="13"/>
        <v>-791894.85153338313</v>
      </c>
      <c r="F151" s="6">
        <f t="shared" si="9"/>
        <v>-7634079.629999768</v>
      </c>
      <c r="G151" s="24">
        <v>1</v>
      </c>
      <c r="L151" t="s">
        <v>193</v>
      </c>
      <c r="M151">
        <v>0</v>
      </c>
      <c r="N151">
        <v>-25</v>
      </c>
    </row>
    <row r="152" spans="1:14">
      <c r="A152" s="38">
        <v>45626</v>
      </c>
      <c r="B152" s="2">
        <v>242016458.05000004</v>
      </c>
      <c r="C152" s="11">
        <v>7.0854979999999998E-2</v>
      </c>
      <c r="D152" s="6">
        <f t="shared" si="12"/>
        <v>15980258.665836137</v>
      </c>
      <c r="E152" s="6">
        <f t="shared" si="13"/>
        <v>501471.04416385293</v>
      </c>
      <c r="F152" s="6">
        <f t="shared" si="9"/>
        <v>16481729.70999999</v>
      </c>
      <c r="G152" s="24">
        <v>1</v>
      </c>
      <c r="L152" t="s">
        <v>70</v>
      </c>
      <c r="M152">
        <v>0</v>
      </c>
      <c r="N152">
        <v>0</v>
      </c>
    </row>
    <row r="153" spans="1:14">
      <c r="A153" s="38">
        <v>45657</v>
      </c>
      <c r="B153" s="2">
        <v>230231580.71999991</v>
      </c>
      <c r="C153" s="11">
        <v>-4.7359709999999999E-2</v>
      </c>
      <c r="D153" s="6">
        <f t="shared" si="12"/>
        <v>-11461829.268475167</v>
      </c>
      <c r="E153" s="6">
        <f t="shared" si="13"/>
        <v>-323048.06152495742</v>
      </c>
      <c r="F153" s="6">
        <f t="shared" si="9"/>
        <v>-11784877.330000125</v>
      </c>
      <c r="G153" s="24">
        <v>1</v>
      </c>
      <c r="H153" s="11" cm="1">
        <f t="array" ref="H153">GEOMEAN(1+C142:C153)^12-1</f>
        <v>0.17617445364656437</v>
      </c>
      <c r="L153" t="s">
        <v>60</v>
      </c>
      <c r="M153">
        <v>0</v>
      </c>
      <c r="N153">
        <v>-3.7</v>
      </c>
    </row>
    <row r="154" spans="1:14">
      <c r="A154" s="38">
        <v>45688</v>
      </c>
      <c r="B154" s="2">
        <v>235095263.98000002</v>
      </c>
      <c r="C154" s="11">
        <v>4.3304840000000004E-2</v>
      </c>
      <c r="D154" s="6">
        <f t="shared" ref="D154" si="14">SUM(C154*B153)</f>
        <v>9970141.7660266813</v>
      </c>
      <c r="E154" s="6">
        <f t="shared" ref="E154" si="15">B154-(B153+D154)</f>
        <v>-5106458.506026566</v>
      </c>
      <c r="F154" s="6">
        <f t="shared" ref="F154" si="16">D154+E154</f>
        <v>4863683.2600001153</v>
      </c>
      <c r="G154" s="24">
        <v>1</v>
      </c>
      <c r="L154" t="s">
        <v>195</v>
      </c>
      <c r="M154">
        <v>0</v>
      </c>
      <c r="N154">
        <v>-13</v>
      </c>
    </row>
    <row r="155" spans="1:14">
      <c r="A155" s="38">
        <v>45716</v>
      </c>
      <c r="B155" s="2">
        <v>221104221.31999996</v>
      </c>
      <c r="C155" s="11">
        <v>-1.037684E-2</v>
      </c>
      <c r="D155" s="6">
        <f t="shared" ref="D155:D156" si="17">SUM(C155*B154)</f>
        <v>-2439545.9390782234</v>
      </c>
      <c r="E155" s="6">
        <f t="shared" ref="E155:E156" si="18">B155-(B154+D155)</f>
        <v>-11551496.720921844</v>
      </c>
      <c r="F155" s="6">
        <f t="shared" ref="F155:F156" si="19">D155+E155</f>
        <v>-13991042.660000067</v>
      </c>
      <c r="G155" s="24">
        <v>1</v>
      </c>
      <c r="N155">
        <f>SUM(M150:N154)</f>
        <v>-150.69999999999999</v>
      </c>
    </row>
    <row r="156" spans="1:14">
      <c r="A156" s="38">
        <v>45747</v>
      </c>
      <c r="B156" s="2">
        <v>226439455.15000001</v>
      </c>
      <c r="C156" s="11">
        <v>-1.6556290000000001E-2</v>
      </c>
      <c r="D156" s="6">
        <f t="shared" si="17"/>
        <v>-3660665.6083981027</v>
      </c>
      <c r="E156" s="6">
        <f t="shared" si="18"/>
        <v>8995899.4383981526</v>
      </c>
      <c r="F156" s="6">
        <f t="shared" si="19"/>
        <v>5335233.8300000504</v>
      </c>
      <c r="G156" s="24">
        <v>1</v>
      </c>
    </row>
    <row r="157" spans="1:14">
      <c r="A157" s="38">
        <v>45777</v>
      </c>
      <c r="B157" s="2">
        <v>221181912.50999999</v>
      </c>
      <c r="C157" s="11">
        <v>-1.8000000000000002E-2</v>
      </c>
      <c r="D157" s="6">
        <f t="shared" ref="D157" si="20">SUM(C157*B156)</f>
        <v>-4075910.1927000005</v>
      </c>
      <c r="E157" s="6">
        <f t="shared" ref="E157" si="21">B157-(B156+D157)</f>
        <v>-1181632.4473000169</v>
      </c>
      <c r="F157" s="6">
        <f t="shared" ref="F157" si="22">D157+E157</f>
        <v>-5257542.6400000174</v>
      </c>
      <c r="G157" s="24">
        <v>1</v>
      </c>
      <c r="K157">
        <v>2024</v>
      </c>
      <c r="L157" t="s">
        <v>6</v>
      </c>
      <c r="M157">
        <v>86.8</v>
      </c>
      <c r="N157">
        <v>-225.2</v>
      </c>
    </row>
    <row r="158" spans="1:14">
      <c r="A158" s="38">
        <v>45808</v>
      </c>
      <c r="B158" s="2">
        <v>223327655.22000012</v>
      </c>
      <c r="C158" s="11">
        <v>1.66E-2</v>
      </c>
      <c r="D158" s="6">
        <f t="shared" ref="D158" si="23">SUM(C158*B157)</f>
        <v>3671619.7476659999</v>
      </c>
      <c r="E158" s="6">
        <f t="shared" ref="E158" si="24">B158-(B157+D158)</f>
        <v>-1525877.0376658738</v>
      </c>
      <c r="F158" s="6">
        <f t="shared" ref="F158" si="25">D158+E158</f>
        <v>2145742.7100001262</v>
      </c>
      <c r="G158" s="24">
        <v>1</v>
      </c>
      <c r="L158" t="s">
        <v>193</v>
      </c>
      <c r="M158">
        <v>0</v>
      </c>
      <c r="N158">
        <v>-60</v>
      </c>
    </row>
    <row r="159" spans="1:14">
      <c r="A159" s="38">
        <v>45838</v>
      </c>
      <c r="B159" s="2">
        <v>223479645.40999985</v>
      </c>
      <c r="C159" s="11">
        <v>3.8999999999999998E-3</v>
      </c>
      <c r="D159" s="6">
        <f t="shared" ref="D159" si="26">SUM(C159*B158)</f>
        <v>870977.85535800038</v>
      </c>
      <c r="E159" s="6">
        <f t="shared" ref="E159" si="27">B159-(B158+D159)</f>
        <v>-718987.66535827518</v>
      </c>
      <c r="F159" s="6">
        <f t="shared" ref="F159" si="28">D159+E159</f>
        <v>151990.1899997252</v>
      </c>
      <c r="G159" s="24">
        <v>1</v>
      </c>
      <c r="L159" t="s">
        <v>70</v>
      </c>
      <c r="M159">
        <v>0</v>
      </c>
      <c r="N159">
        <v>-4</v>
      </c>
    </row>
    <row r="160" spans="1:14">
      <c r="L160" t="s">
        <v>195</v>
      </c>
      <c r="M160">
        <v>0</v>
      </c>
      <c r="N160">
        <v>-43</v>
      </c>
    </row>
    <row r="161" spans="2:14">
      <c r="B161" s="2">
        <f>B159-B156</f>
        <v>-2959809.7400001585</v>
      </c>
      <c r="N161">
        <f>SUM(M157:N160)</f>
        <v>-245.39999999999998</v>
      </c>
    </row>
    <row r="162" spans="2:14">
      <c r="B162" s="2">
        <f>B159-B153</f>
        <v>-6751935.310000062</v>
      </c>
    </row>
  </sheetData>
  <conditionalFormatting sqref="C39:C48">
    <cfRule type="expression" dxfId="14" priority="93">
      <formula>IF($H39&lt;#REF!,$C39)*-1</formula>
    </cfRule>
  </conditionalFormatting>
  <conditionalFormatting sqref="H34:H70">
    <cfRule type="cellIs" dxfId="13" priority="1" operator="equal">
      <formula>#REF!</formula>
    </cfRule>
    <cfRule type="cellIs" dxfId="12" priority="2" operator="lessThan">
      <formula>#REF!</formula>
    </cfRule>
    <cfRule type="cellIs" dxfId="11" priority="3" operator="greaterThan">
      <formula>#REF!</formula>
    </cfRule>
  </conditionalFormatting>
  <pageMargins left="0.75" right="0.75" top="1" bottom="1" header="0.5" footer="0.5"/>
  <pageSetup orientation="portrait" horizontalDpi="4294967292" verticalDpi="4294967292" r:id="rId1"/>
  <ignoredErrors>
    <ignoredError sqref="K2:K5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</sheetPr>
  <dimension ref="A1:K110"/>
  <sheetViews>
    <sheetView workbookViewId="0">
      <pane ySplit="1" topLeftCell="A76" activePane="bottomLeft" state="frozen"/>
      <selection pane="bottomLeft" activeCell="B106" sqref="B106"/>
    </sheetView>
  </sheetViews>
  <sheetFormatPr baseColWidth="10" defaultColWidth="11" defaultRowHeight="16"/>
  <cols>
    <col min="1" max="1" width="9.83203125" style="53" bestFit="1" customWidth="1"/>
    <col min="2" max="2" width="16" bestFit="1" customWidth="1"/>
    <col min="3" max="3" width="8.83203125" bestFit="1" customWidth="1"/>
    <col min="4" max="4" width="14.33203125" bestFit="1" customWidth="1"/>
    <col min="5" max="6" width="16.83203125" bestFit="1" customWidth="1"/>
    <col min="7" max="7" width="5.33203125" bestFit="1" customWidth="1"/>
    <col min="8" max="8" width="11.83203125" bestFit="1" customWidth="1"/>
    <col min="11" max="11" width="13.33203125" customWidth="1"/>
  </cols>
  <sheetData>
    <row r="1" spans="1:11">
      <c r="A1" s="55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10</v>
      </c>
      <c r="G1" s="3" t="s">
        <v>69</v>
      </c>
      <c r="H1" s="31" t="s">
        <v>57</v>
      </c>
      <c r="J1" s="110" t="s">
        <v>56</v>
      </c>
      <c r="K1" s="103" t="s">
        <v>86</v>
      </c>
    </row>
    <row r="2" spans="1:11">
      <c r="A2" s="55"/>
      <c r="B2" s="4"/>
      <c r="H2" s="31"/>
      <c r="J2" s="104">
        <v>2012</v>
      </c>
      <c r="K2" s="112">
        <v>0</v>
      </c>
    </row>
    <row r="3" spans="1:11">
      <c r="A3" s="38">
        <v>42766</v>
      </c>
      <c r="B3" s="6">
        <v>26074095.140000001</v>
      </c>
      <c r="C3" s="5">
        <v>4.8899999999999999E-2</v>
      </c>
      <c r="D3" s="6">
        <f>SUM(C3*B3)</f>
        <v>1275023.2523459999</v>
      </c>
      <c r="E3" s="6">
        <f>B3-(B2+D3)</f>
        <v>24799071.887653999</v>
      </c>
      <c r="F3" s="6">
        <f t="shared" ref="F3:F16" si="0">IF(E3&gt;0,E3,E3+D3)</f>
        <v>24799071.887653999</v>
      </c>
      <c r="G3" s="85">
        <v>1</v>
      </c>
      <c r="H3">
        <v>24.26</v>
      </c>
      <c r="J3" s="104">
        <v>2013</v>
      </c>
      <c r="K3" s="112">
        <v>0</v>
      </c>
    </row>
    <row r="4" spans="1:11">
      <c r="A4" s="38">
        <v>42794</v>
      </c>
      <c r="B4" s="6">
        <v>24556813.329999998</v>
      </c>
      <c r="C4" s="5">
        <v>3.6700000000000003E-2</v>
      </c>
      <c r="D4" s="6">
        <f>SUM(C4*B3)</f>
        <v>956919.29163800017</v>
      </c>
      <c r="E4" s="6">
        <f t="shared" ref="E4:E14" si="1">B4-(B3+D4)</f>
        <v>-2474201.1016380042</v>
      </c>
      <c r="F4" s="6">
        <f t="shared" si="0"/>
        <v>-1517281.810000004</v>
      </c>
      <c r="G4" s="85">
        <v>1</v>
      </c>
      <c r="H4">
        <v>25.15</v>
      </c>
      <c r="J4" s="104">
        <v>2014</v>
      </c>
      <c r="K4" s="112">
        <v>0</v>
      </c>
    </row>
    <row r="5" spans="1:11">
      <c r="A5" s="38">
        <v>42825</v>
      </c>
      <c r="B5" s="6">
        <v>23502173.510000002</v>
      </c>
      <c r="C5" s="5">
        <v>1.5100000000000001E-2</v>
      </c>
      <c r="D5" s="6">
        <f t="shared" ref="D5:D16" si="2">SUM(C5*B4)</f>
        <v>370807.881283</v>
      </c>
      <c r="E5" s="6">
        <f t="shared" si="1"/>
        <v>-1425447.7012829967</v>
      </c>
      <c r="F5" s="6">
        <f t="shared" si="0"/>
        <v>-1054639.8199999966</v>
      </c>
      <c r="G5" s="85">
        <v>1</v>
      </c>
      <c r="J5" s="104">
        <v>2015</v>
      </c>
      <c r="K5" s="112">
        <v>0</v>
      </c>
    </row>
    <row r="6" spans="1:11">
      <c r="A6" s="38">
        <v>42855</v>
      </c>
      <c r="B6" s="6">
        <v>22855948.266666699</v>
      </c>
      <c r="C6" s="5">
        <v>9.7999999999999997E-3</v>
      </c>
      <c r="D6" s="6">
        <f t="shared" si="2"/>
        <v>230321.30039800002</v>
      </c>
      <c r="E6" s="6">
        <f t="shared" si="1"/>
        <v>-876546.54373130202</v>
      </c>
      <c r="F6" s="6">
        <f t="shared" si="0"/>
        <v>-646225.24333330197</v>
      </c>
      <c r="G6" s="85">
        <v>1</v>
      </c>
      <c r="H6">
        <v>25.93</v>
      </c>
      <c r="J6" s="104">
        <v>2016</v>
      </c>
      <c r="K6" s="112">
        <v>0</v>
      </c>
    </row>
    <row r="7" spans="1:11">
      <c r="A7" s="38">
        <v>42886</v>
      </c>
      <c r="B7" s="6">
        <v>22435710.190000001</v>
      </c>
      <c r="C7" s="5">
        <v>2.75E-2</v>
      </c>
      <c r="D7" s="6">
        <f t="shared" si="2"/>
        <v>628538.57733333425</v>
      </c>
      <c r="E7" s="6">
        <f t="shared" si="1"/>
        <v>-1048776.6540000327</v>
      </c>
      <c r="F7" s="6">
        <f t="shared" si="0"/>
        <v>-420238.07666669844</v>
      </c>
      <c r="G7" s="85">
        <v>1</v>
      </c>
      <c r="H7">
        <v>26.49</v>
      </c>
      <c r="J7" s="104">
        <v>2017</v>
      </c>
      <c r="K7" s="112">
        <f>AVERAGE(B3:B14)</f>
        <v>23077220.761388894</v>
      </c>
    </row>
    <row r="8" spans="1:11">
      <c r="A8" s="38">
        <v>42916</v>
      </c>
      <c r="B8" s="6">
        <v>22484294.789999999</v>
      </c>
      <c r="C8" s="5">
        <v>-3.0000000000000001E-3</v>
      </c>
      <c r="D8" s="6">
        <f t="shared" si="2"/>
        <v>-67307.130570000008</v>
      </c>
      <c r="E8" s="6">
        <f t="shared" si="1"/>
        <v>115891.73056999594</v>
      </c>
      <c r="F8" s="6">
        <f t="shared" si="0"/>
        <v>115891.73056999594</v>
      </c>
      <c r="G8" s="85">
        <v>1</v>
      </c>
      <c r="H8">
        <v>27.05</v>
      </c>
      <c r="J8" s="104">
        <v>2018</v>
      </c>
      <c r="K8" s="112"/>
    </row>
    <row r="9" spans="1:11">
      <c r="A9" s="38">
        <v>42947</v>
      </c>
      <c r="B9" s="6">
        <v>22532879.390000001</v>
      </c>
      <c r="C9" s="5">
        <v>1.0999999999999999E-2</v>
      </c>
      <c r="D9" s="6">
        <f t="shared" si="2"/>
        <v>247327.24268999998</v>
      </c>
      <c r="E9" s="6">
        <f t="shared" si="1"/>
        <v>-198742.64268999919</v>
      </c>
      <c r="F9" s="6">
        <f t="shared" si="0"/>
        <v>48584.600000000792</v>
      </c>
      <c r="G9" s="85">
        <v>1</v>
      </c>
      <c r="H9">
        <v>27.61</v>
      </c>
      <c r="J9" s="104">
        <v>2019</v>
      </c>
      <c r="K9" s="112"/>
    </row>
    <row r="10" spans="1:11">
      <c r="A10" s="38">
        <v>42978</v>
      </c>
      <c r="B10" s="6">
        <v>22786318.420000002</v>
      </c>
      <c r="C10" s="5">
        <v>1.9099999999999999E-2</v>
      </c>
      <c r="D10" s="6">
        <f t="shared" si="2"/>
        <v>430377.99634899996</v>
      </c>
      <c r="E10" s="6">
        <f t="shared" si="1"/>
        <v>-176938.96634899825</v>
      </c>
      <c r="F10" s="6">
        <f t="shared" si="0"/>
        <v>253439.03000000172</v>
      </c>
      <c r="G10" s="85">
        <v>1</v>
      </c>
      <c r="H10">
        <v>27.21</v>
      </c>
      <c r="J10" s="104">
        <v>2020</v>
      </c>
      <c r="K10" s="112"/>
    </row>
    <row r="11" spans="1:11">
      <c r="A11" s="38">
        <v>43008</v>
      </c>
      <c r="B11" s="6">
        <v>22416582.149999999</v>
      </c>
      <c r="C11" s="5">
        <v>1.29E-2</v>
      </c>
      <c r="D11" s="6">
        <f t="shared" si="2"/>
        <v>293943.50761800003</v>
      </c>
      <c r="E11" s="6">
        <f t="shared" si="1"/>
        <v>-663679.77761800215</v>
      </c>
      <c r="F11" s="6">
        <f t="shared" si="0"/>
        <v>-369736.27000000211</v>
      </c>
      <c r="G11" s="85">
        <v>1</v>
      </c>
      <c r="H11">
        <v>27.56</v>
      </c>
      <c r="J11" s="107"/>
      <c r="K11" s="112"/>
    </row>
    <row r="12" spans="1:11">
      <c r="A12" s="38">
        <v>43039</v>
      </c>
      <c r="B12" s="6">
        <v>22155043.879999999</v>
      </c>
      <c r="C12" s="5">
        <v>1.34E-2</v>
      </c>
      <c r="D12" s="6">
        <f t="shared" si="2"/>
        <v>300382.20081000001</v>
      </c>
      <c r="E12" s="6">
        <f t="shared" si="1"/>
        <v>-561920.47080999985</v>
      </c>
      <c r="F12" s="6">
        <f t="shared" si="0"/>
        <v>-261538.26999999984</v>
      </c>
      <c r="G12" s="85">
        <v>1</v>
      </c>
      <c r="H12">
        <v>27.93</v>
      </c>
      <c r="J12" s="108"/>
      <c r="K12" s="113"/>
    </row>
    <row r="13" spans="1:11">
      <c r="A13" s="38">
        <v>43069</v>
      </c>
      <c r="B13" s="6">
        <v>22545614.75</v>
      </c>
      <c r="C13" s="5">
        <v>2.4E-2</v>
      </c>
      <c r="D13" s="6">
        <f t="shared" si="2"/>
        <v>531721.05311999994</v>
      </c>
      <c r="E13" s="6">
        <f t="shared" si="1"/>
        <v>-141150.18311999738</v>
      </c>
      <c r="F13" s="6">
        <f t="shared" si="0"/>
        <v>390570.87000000256</v>
      </c>
      <c r="G13" s="85">
        <v>1</v>
      </c>
      <c r="H13">
        <v>28.6</v>
      </c>
    </row>
    <row r="14" spans="1:11">
      <c r="A14" s="38">
        <v>43100</v>
      </c>
      <c r="B14" s="6">
        <f>22581175.32</f>
        <v>22581175.32</v>
      </c>
      <c r="C14" s="5">
        <v>7.7000000000000002E-3</v>
      </c>
      <c r="D14" s="6">
        <f t="shared" si="2"/>
        <v>173601.23357499999</v>
      </c>
      <c r="E14" s="6">
        <f t="shared" si="1"/>
        <v>-138040.66357500106</v>
      </c>
      <c r="F14" s="6">
        <f t="shared" si="0"/>
        <v>35560.56999999893</v>
      </c>
      <c r="G14" s="85">
        <v>1</v>
      </c>
      <c r="H14">
        <v>29.27</v>
      </c>
    </row>
    <row r="15" spans="1:11">
      <c r="A15" s="38">
        <v>43131</v>
      </c>
      <c r="B15" s="6">
        <v>22567922.879999999</v>
      </c>
      <c r="C15" s="5">
        <v>3.9899999999999998E-2</v>
      </c>
      <c r="D15" s="6">
        <f t="shared" si="2"/>
        <v>900988.89526799996</v>
      </c>
      <c r="E15" s="6">
        <f t="shared" ref="E15:E20" si="3">B15-(B14+D15)</f>
        <v>-914241.335268002</v>
      </c>
      <c r="F15" s="6">
        <f t="shared" si="0"/>
        <v>-13252.44000000204</v>
      </c>
      <c r="G15" s="85">
        <v>1</v>
      </c>
    </row>
    <row r="16" spans="1:11">
      <c r="A16" s="38">
        <v>43159</v>
      </c>
      <c r="B16" s="6">
        <v>21278276.989999998</v>
      </c>
      <c r="C16" s="5">
        <v>-3.7400000000000003E-2</v>
      </c>
      <c r="D16" s="6">
        <f t="shared" si="2"/>
        <v>-844040.31571200001</v>
      </c>
      <c r="E16" s="6">
        <f t="shared" si="3"/>
        <v>-445605.57428799942</v>
      </c>
      <c r="F16" s="6">
        <f t="shared" si="0"/>
        <v>-1289645.8899999994</v>
      </c>
      <c r="G16" s="85">
        <v>1</v>
      </c>
    </row>
    <row r="17" spans="1:8">
      <c r="A17" s="38">
        <v>43190</v>
      </c>
      <c r="B17" s="6">
        <v>20822420.670000002</v>
      </c>
      <c r="C17" s="5">
        <v>-4.1999999999999997E-3</v>
      </c>
      <c r="D17" s="6">
        <f t="shared" ref="D17:D56" si="4">SUM(C17*B16)</f>
        <v>-89368.763357999982</v>
      </c>
      <c r="E17" s="6">
        <f t="shared" si="3"/>
        <v>-366487.55664199591</v>
      </c>
      <c r="F17" s="6">
        <f t="shared" ref="F17:F56" si="5">IF(E17&gt;0,E17,E17+D17)</f>
        <v>-455856.31999999587</v>
      </c>
      <c r="G17" s="85">
        <v>1</v>
      </c>
      <c r="H17">
        <v>28.73</v>
      </c>
    </row>
    <row r="18" spans="1:8">
      <c r="A18" s="38">
        <v>43220</v>
      </c>
      <c r="B18" s="6">
        <v>20159722.949999999</v>
      </c>
      <c r="C18" s="5">
        <v>-8.9999999999999993E-3</v>
      </c>
      <c r="D18" s="6">
        <f t="shared" si="4"/>
        <v>-187401.78602999999</v>
      </c>
      <c r="E18" s="6">
        <f t="shared" si="3"/>
        <v>-475295.93397000432</v>
      </c>
      <c r="F18" s="6">
        <f t="shared" si="5"/>
        <v>-662697.72000000428</v>
      </c>
      <c r="G18" s="85">
        <v>1</v>
      </c>
    </row>
    <row r="19" spans="1:8">
      <c r="A19" s="38">
        <v>43251</v>
      </c>
      <c r="B19" s="6">
        <v>19672502.600000001</v>
      </c>
      <c r="C19" s="5">
        <v>1.26E-2</v>
      </c>
      <c r="D19" s="6">
        <f t="shared" si="4"/>
        <v>254012.50917</v>
      </c>
      <c r="E19" s="6">
        <f t="shared" si="3"/>
        <v>-741232.85916999727</v>
      </c>
      <c r="F19" s="6">
        <f t="shared" si="5"/>
        <v>-487220.3499999973</v>
      </c>
      <c r="G19" s="85">
        <v>1</v>
      </c>
    </row>
    <row r="20" spans="1:8">
      <c r="A20" s="38">
        <v>43281</v>
      </c>
      <c r="B20" s="6">
        <v>19437260.050000001</v>
      </c>
      <c r="C20" s="5">
        <v>-6.9999999999999999E-4</v>
      </c>
      <c r="D20" s="6">
        <f t="shared" si="4"/>
        <v>-13770.751820000001</v>
      </c>
      <c r="E20" s="6">
        <f t="shared" si="3"/>
        <v>-221471.79817999899</v>
      </c>
      <c r="F20" s="6">
        <f t="shared" si="5"/>
        <v>-235242.549999999</v>
      </c>
      <c r="G20" s="85">
        <v>1</v>
      </c>
    </row>
    <row r="21" spans="1:8">
      <c r="A21" s="38">
        <v>43312</v>
      </c>
      <c r="B21" s="6">
        <v>19910035.919999994</v>
      </c>
      <c r="C21" s="5">
        <v>3.6400000000000002E-2</v>
      </c>
      <c r="D21" s="6">
        <f t="shared" si="4"/>
        <v>707516.26582000009</v>
      </c>
      <c r="E21" s="6">
        <f t="shared" ref="E21:E41" si="6">B21-(B20+D21)</f>
        <v>-234740.39582000673</v>
      </c>
      <c r="F21" s="6">
        <f t="shared" si="5"/>
        <v>472775.86999999336</v>
      </c>
      <c r="G21" s="85">
        <v>1</v>
      </c>
    </row>
    <row r="22" spans="1:8">
      <c r="A22" s="38">
        <v>43343</v>
      </c>
      <c r="B22" s="6">
        <v>19561939.780000001</v>
      </c>
      <c r="C22" s="5">
        <v>1.47E-2</v>
      </c>
      <c r="D22" s="6">
        <f t="shared" si="4"/>
        <v>292677.52802399988</v>
      </c>
      <c r="E22" s="6">
        <f t="shared" si="6"/>
        <v>-640773.66802399233</v>
      </c>
      <c r="F22" s="6">
        <f t="shared" si="5"/>
        <v>-348096.13999999245</v>
      </c>
      <c r="G22" s="85">
        <v>1</v>
      </c>
    </row>
    <row r="23" spans="1:8">
      <c r="A23" s="38">
        <v>43373</v>
      </c>
      <c r="B23" s="6">
        <v>19452300.050000004</v>
      </c>
      <c r="C23" s="5">
        <v>1.4199999999999999E-2</v>
      </c>
      <c r="D23" s="6">
        <f t="shared" si="4"/>
        <v>277779.54487599997</v>
      </c>
      <c r="E23" s="6">
        <f t="shared" si="6"/>
        <v>-387419.2748759985</v>
      </c>
      <c r="F23" s="6">
        <f t="shared" si="5"/>
        <v>-109639.72999999853</v>
      </c>
      <c r="G23" s="85">
        <v>1</v>
      </c>
    </row>
    <row r="24" spans="1:8">
      <c r="A24" s="38">
        <v>43404</v>
      </c>
      <c r="B24" s="6">
        <v>18322539.800000004</v>
      </c>
      <c r="C24" s="5">
        <v>-5.7599999999999998E-2</v>
      </c>
      <c r="D24" s="6">
        <f t="shared" si="4"/>
        <v>-1120452.4828800003</v>
      </c>
      <c r="E24" s="6">
        <f t="shared" si="6"/>
        <v>-9307.767119999975</v>
      </c>
      <c r="F24" s="6">
        <f t="shared" si="5"/>
        <v>-1129760.2500000002</v>
      </c>
      <c r="G24" s="85">
        <v>1</v>
      </c>
    </row>
    <row r="25" spans="1:8">
      <c r="A25" s="38">
        <v>43434</v>
      </c>
      <c r="B25" s="6">
        <v>19092665.049999997</v>
      </c>
      <c r="C25" s="5">
        <v>3.8300000000000001E-2</v>
      </c>
      <c r="D25" s="6">
        <f t="shared" si="4"/>
        <v>701753.27434000024</v>
      </c>
      <c r="E25" s="6">
        <f t="shared" si="6"/>
        <v>68371.975659992546</v>
      </c>
      <c r="F25" s="6">
        <f t="shared" si="5"/>
        <v>68371.975659992546</v>
      </c>
      <c r="G25" s="85">
        <v>1</v>
      </c>
    </row>
    <row r="26" spans="1:8">
      <c r="A26" s="38">
        <v>43465</v>
      </c>
      <c r="B26" s="6">
        <v>17632437.830000002</v>
      </c>
      <c r="C26" s="5">
        <v>-6.88E-2</v>
      </c>
      <c r="D26" s="6">
        <f t="shared" si="4"/>
        <v>-1313575.3554399998</v>
      </c>
      <c r="E26" s="6">
        <f t="shared" si="6"/>
        <v>-146651.86455999687</v>
      </c>
      <c r="F26" s="6">
        <f t="shared" si="5"/>
        <v>-1460227.2199999967</v>
      </c>
      <c r="G26" s="85">
        <v>1</v>
      </c>
    </row>
    <row r="27" spans="1:8">
      <c r="A27" s="38">
        <v>43496</v>
      </c>
      <c r="B27" s="6">
        <v>18474074.5</v>
      </c>
      <c r="C27" s="5">
        <v>5.5399999999999998E-2</v>
      </c>
      <c r="D27" s="6">
        <f t="shared" si="4"/>
        <v>976837.05578200007</v>
      </c>
      <c r="E27" s="6">
        <f t="shared" si="6"/>
        <v>-135200.3857820034</v>
      </c>
      <c r="F27" s="6">
        <f t="shared" si="5"/>
        <v>841636.66999999667</v>
      </c>
      <c r="G27" s="85">
        <v>1</v>
      </c>
    </row>
    <row r="28" spans="1:8">
      <c r="A28" s="38">
        <v>43524</v>
      </c>
      <c r="B28" s="6">
        <v>19109488.34</v>
      </c>
      <c r="C28" s="5">
        <v>3.9100000000000003E-2</v>
      </c>
      <c r="D28" s="6">
        <f t="shared" si="4"/>
        <v>722336.31295000005</v>
      </c>
      <c r="E28" s="6">
        <f t="shared" si="6"/>
        <v>-86922.472950000316</v>
      </c>
      <c r="F28" s="6">
        <f t="shared" si="5"/>
        <v>635413.83999999973</v>
      </c>
      <c r="G28" s="85">
        <v>1</v>
      </c>
    </row>
    <row r="29" spans="1:8">
      <c r="A29" s="38">
        <v>43555</v>
      </c>
      <c r="B29" s="6">
        <v>19789283.229999997</v>
      </c>
      <c r="C29" s="5">
        <v>1.7500000000000002E-2</v>
      </c>
      <c r="D29" s="6">
        <f t="shared" si="4"/>
        <v>334416.04595000006</v>
      </c>
      <c r="E29" s="6">
        <f t="shared" si="6"/>
        <v>345378.84404999763</v>
      </c>
      <c r="F29" s="6">
        <f t="shared" si="5"/>
        <v>345378.84404999763</v>
      </c>
      <c r="G29" s="85">
        <v>1</v>
      </c>
    </row>
    <row r="30" spans="1:8">
      <c r="A30" s="38">
        <v>43585</v>
      </c>
      <c r="B30" s="6">
        <v>20423187.789999999</v>
      </c>
      <c r="C30" s="5">
        <v>2.8900000000000002E-2</v>
      </c>
      <c r="D30" s="6">
        <f t="shared" si="4"/>
        <v>571910.285347</v>
      </c>
      <c r="E30" s="6">
        <f t="shared" si="6"/>
        <v>61994.27465300262</v>
      </c>
      <c r="F30" s="6">
        <f t="shared" si="5"/>
        <v>61994.27465300262</v>
      </c>
      <c r="G30" s="85">
        <v>1</v>
      </c>
    </row>
    <row r="31" spans="1:8">
      <c r="A31" s="38">
        <v>43616</v>
      </c>
      <c r="B31" s="6">
        <v>20700370.749999996</v>
      </c>
      <c r="C31" s="5">
        <v>-1.89E-2</v>
      </c>
      <c r="D31" s="6">
        <f t="shared" si="4"/>
        <v>-385998.24923099997</v>
      </c>
      <c r="E31" s="6">
        <f t="shared" si="6"/>
        <v>663181.20923099667</v>
      </c>
      <c r="F31" s="6">
        <f t="shared" si="5"/>
        <v>663181.20923099667</v>
      </c>
      <c r="G31" s="85">
        <v>1</v>
      </c>
    </row>
    <row r="32" spans="1:8">
      <c r="A32" s="38">
        <v>43646</v>
      </c>
      <c r="B32" s="6">
        <v>21749593.419999998</v>
      </c>
      <c r="C32" s="5">
        <v>4.4400000000000002E-2</v>
      </c>
      <c r="D32" s="6">
        <f t="shared" si="4"/>
        <v>919096.46129999985</v>
      </c>
      <c r="E32" s="6">
        <f t="shared" si="6"/>
        <v>130126.20870000124</v>
      </c>
      <c r="F32" s="6">
        <f t="shared" si="5"/>
        <v>130126.20870000124</v>
      </c>
      <c r="G32" s="85">
        <v>1</v>
      </c>
    </row>
    <row r="33" spans="1:7">
      <c r="A33" s="38">
        <v>43677</v>
      </c>
      <c r="B33" s="6">
        <v>21542734.800000001</v>
      </c>
      <c r="C33" s="5">
        <v>-5.9999999999999995E-4</v>
      </c>
      <c r="D33" s="6">
        <f t="shared" si="4"/>
        <v>-13049.756051999997</v>
      </c>
      <c r="E33" s="6">
        <f t="shared" si="6"/>
        <v>-193808.86394799873</v>
      </c>
      <c r="F33" s="6">
        <f t="shared" si="5"/>
        <v>-206858.61999999871</v>
      </c>
      <c r="G33" s="85">
        <v>1</v>
      </c>
    </row>
    <row r="34" spans="1:7">
      <c r="A34" s="38">
        <v>43708</v>
      </c>
      <c r="B34" s="6">
        <v>21489263.040000003</v>
      </c>
      <c r="C34" s="5">
        <v>4.8999999999999998E-3</v>
      </c>
      <c r="D34" s="6">
        <f t="shared" si="4"/>
        <v>105559.40052</v>
      </c>
      <c r="E34" s="6">
        <f t="shared" si="6"/>
        <v>-159031.16051999852</v>
      </c>
      <c r="F34" s="6">
        <f t="shared" si="5"/>
        <v>-53471.759999998525</v>
      </c>
      <c r="G34" s="85">
        <v>1</v>
      </c>
    </row>
    <row r="35" spans="1:7">
      <c r="A35" s="38">
        <v>43738</v>
      </c>
      <c r="B35" s="6">
        <v>21045555.34</v>
      </c>
      <c r="C35" s="5">
        <v>1.38E-2</v>
      </c>
      <c r="D35" s="6">
        <f t="shared" si="4"/>
        <v>296551.82995200006</v>
      </c>
      <c r="E35" s="6">
        <f t="shared" si="6"/>
        <v>-740259.52995200455</v>
      </c>
      <c r="F35" s="6">
        <f t="shared" si="5"/>
        <v>-443707.70000000449</v>
      </c>
      <c r="G35" s="85">
        <v>1</v>
      </c>
    </row>
    <row r="36" spans="1:7">
      <c r="A36" s="38">
        <v>43769</v>
      </c>
      <c r="B36" s="6">
        <v>27554962.840000004</v>
      </c>
      <c r="C36" s="5">
        <v>-2.0999999999999999E-3</v>
      </c>
      <c r="D36" s="6">
        <f t="shared" si="4"/>
        <v>-44195.666213999997</v>
      </c>
      <c r="E36" s="6">
        <f t="shared" si="6"/>
        <v>6553603.1662140042</v>
      </c>
      <c r="F36" s="6">
        <f t="shared" si="5"/>
        <v>6553603.1662140042</v>
      </c>
      <c r="G36" s="85">
        <v>1</v>
      </c>
    </row>
    <row r="37" spans="1:7">
      <c r="A37" s="38">
        <v>43799</v>
      </c>
      <c r="B37" s="6">
        <v>28342017.02</v>
      </c>
      <c r="C37" s="5">
        <v>1.61E-2</v>
      </c>
      <c r="D37" s="6">
        <f t="shared" si="4"/>
        <v>443634.90172400005</v>
      </c>
      <c r="E37" s="6">
        <f t="shared" si="6"/>
        <v>343419.27827599645</v>
      </c>
      <c r="F37" s="6">
        <f t="shared" si="5"/>
        <v>343419.27827599645</v>
      </c>
      <c r="G37" s="85">
        <v>1</v>
      </c>
    </row>
    <row r="38" spans="1:7">
      <c r="A38" s="38">
        <v>43830</v>
      </c>
      <c r="B38" s="6">
        <v>28649715.059999995</v>
      </c>
      <c r="C38" s="5">
        <v>2.1299999999999999E-2</v>
      </c>
      <c r="D38" s="6">
        <f t="shared" si="4"/>
        <v>603684.96252599999</v>
      </c>
      <c r="E38" s="6">
        <f t="shared" si="6"/>
        <v>-295986.92252600566</v>
      </c>
      <c r="F38" s="6">
        <f t="shared" si="5"/>
        <v>307698.03999999433</v>
      </c>
      <c r="G38" s="85">
        <v>1</v>
      </c>
    </row>
    <row r="39" spans="1:7">
      <c r="A39" s="38">
        <v>43861</v>
      </c>
      <c r="B39" s="6">
        <v>33761564.439999998</v>
      </c>
      <c r="C39" s="5">
        <v>9.7000000000000003E-3</v>
      </c>
      <c r="D39" s="6">
        <f t="shared" si="4"/>
        <v>277902.23608199996</v>
      </c>
      <c r="E39" s="6">
        <f t="shared" si="6"/>
        <v>4833947.1439180039</v>
      </c>
      <c r="F39" s="6">
        <f t="shared" si="5"/>
        <v>4833947.1439180039</v>
      </c>
      <c r="G39" s="85">
        <v>1</v>
      </c>
    </row>
    <row r="40" spans="1:7">
      <c r="A40" s="38">
        <v>43890</v>
      </c>
      <c r="B40" s="6">
        <v>30871542.510000002</v>
      </c>
      <c r="C40" s="5">
        <v>-7.2800000000000004E-2</v>
      </c>
      <c r="D40" s="6">
        <f t="shared" si="4"/>
        <v>-2457841.8912319997</v>
      </c>
      <c r="E40" s="6">
        <f t="shared" si="6"/>
        <v>-432180.03876799718</v>
      </c>
      <c r="F40" s="6">
        <f t="shared" si="5"/>
        <v>-2890021.9299999969</v>
      </c>
      <c r="G40" s="85">
        <v>1</v>
      </c>
    </row>
    <row r="41" spans="1:7">
      <c r="A41" s="38">
        <v>43921</v>
      </c>
      <c r="B41" s="6">
        <v>29459261.709999997</v>
      </c>
      <c r="C41" s="5">
        <v>-0.13919999999999999</v>
      </c>
      <c r="D41" s="6">
        <f t="shared" si="4"/>
        <v>-4297318.7173920004</v>
      </c>
      <c r="E41" s="6">
        <f t="shared" si="6"/>
        <v>2885037.9173919968</v>
      </c>
      <c r="F41" s="6">
        <f t="shared" si="5"/>
        <v>2885037.9173919968</v>
      </c>
      <c r="G41" s="85">
        <v>1</v>
      </c>
    </row>
    <row r="42" spans="1:7">
      <c r="A42" s="38">
        <v>43951</v>
      </c>
      <c r="B42" s="6">
        <v>40981878.379999995</v>
      </c>
      <c r="C42" s="5">
        <v>8.0700000000000008E-2</v>
      </c>
      <c r="D42" s="6">
        <f t="shared" si="4"/>
        <v>2377362.4199970001</v>
      </c>
      <c r="E42" s="6">
        <f t="shared" ref="E42:E47" si="7">B42-(B41+D42)</f>
        <v>9145254.2500029989</v>
      </c>
      <c r="F42" s="6">
        <f t="shared" si="5"/>
        <v>9145254.2500029989</v>
      </c>
      <c r="G42" s="85">
        <v>1</v>
      </c>
    </row>
    <row r="43" spans="1:7">
      <c r="A43" s="38">
        <v>43982</v>
      </c>
      <c r="B43" s="6">
        <v>44021799.290000007</v>
      </c>
      <c r="C43" s="5">
        <v>3.6799999999999999E-2</v>
      </c>
      <c r="D43" s="6">
        <f t="shared" si="4"/>
        <v>1508133.1243839997</v>
      </c>
      <c r="E43" s="6">
        <f t="shared" si="7"/>
        <v>1531787.7856160104</v>
      </c>
      <c r="F43" s="6">
        <f t="shared" si="5"/>
        <v>1531787.7856160104</v>
      </c>
      <c r="G43" s="85">
        <v>1</v>
      </c>
    </row>
    <row r="44" spans="1:7">
      <c r="A44" s="38">
        <v>44012</v>
      </c>
      <c r="B44" s="6">
        <v>49114434.909999996</v>
      </c>
      <c r="C44" s="5">
        <v>5.7000000000000002E-3</v>
      </c>
      <c r="D44" s="6">
        <f t="shared" si="4"/>
        <v>250924.25595300004</v>
      </c>
      <c r="E44" s="6">
        <f t="shared" si="7"/>
        <v>4841711.3640469909</v>
      </c>
      <c r="F44" s="6">
        <f t="shared" si="5"/>
        <v>4841711.3640469909</v>
      </c>
      <c r="G44" s="85">
        <v>1</v>
      </c>
    </row>
    <row r="45" spans="1:7">
      <c r="A45" s="38">
        <v>44043</v>
      </c>
      <c r="B45" s="6">
        <v>52417082.200000003</v>
      </c>
      <c r="C45" s="5">
        <v>4.4999999999999998E-2</v>
      </c>
      <c r="D45" s="6">
        <f t="shared" si="4"/>
        <v>2210149.5709499996</v>
      </c>
      <c r="E45" s="6">
        <f t="shared" si="7"/>
        <v>1092497.7190500051</v>
      </c>
      <c r="F45" s="6">
        <f t="shared" si="5"/>
        <v>1092497.7190500051</v>
      </c>
      <c r="G45" s="85">
        <v>1</v>
      </c>
    </row>
    <row r="46" spans="1:7">
      <c r="A46" s="38">
        <v>44074</v>
      </c>
      <c r="B46" s="6">
        <v>58188592.600000001</v>
      </c>
      <c r="C46" s="5">
        <v>4.9400000000000006E-2</v>
      </c>
      <c r="D46" s="6">
        <f t="shared" si="4"/>
        <v>2589403.8606800004</v>
      </c>
      <c r="E46" s="6">
        <f t="shared" si="7"/>
        <v>3182106.5393199995</v>
      </c>
      <c r="F46" s="6">
        <f t="shared" si="5"/>
        <v>3182106.5393199995</v>
      </c>
      <c r="G46" s="85">
        <v>1</v>
      </c>
    </row>
    <row r="47" spans="1:7">
      <c r="A47" s="38">
        <v>44104</v>
      </c>
      <c r="B47" s="6">
        <v>57170363.299999997</v>
      </c>
      <c r="C47" s="5">
        <v>-2.64E-2</v>
      </c>
      <c r="D47" s="6">
        <f t="shared" si="4"/>
        <v>-1536178.84464</v>
      </c>
      <c r="E47" s="6">
        <f t="shared" si="7"/>
        <v>517949.54463999718</v>
      </c>
      <c r="F47" s="6">
        <f t="shared" si="5"/>
        <v>517949.54463999718</v>
      </c>
      <c r="G47" s="85">
        <v>1</v>
      </c>
    </row>
    <row r="48" spans="1:7">
      <c r="A48" s="38">
        <v>44135</v>
      </c>
      <c r="B48" s="6">
        <v>56536450.039999999</v>
      </c>
      <c r="C48" s="5">
        <v>-3.15E-2</v>
      </c>
      <c r="D48" s="6">
        <f t="shared" si="4"/>
        <v>-1800866.44395</v>
      </c>
      <c r="E48" s="6">
        <f t="shared" ref="E48:E56" si="8">B48-(B47+D48)</f>
        <v>1166953.1839499995</v>
      </c>
      <c r="F48" s="6">
        <f t="shared" si="5"/>
        <v>1166953.1839499995</v>
      </c>
      <c r="G48" s="85">
        <v>1</v>
      </c>
    </row>
    <row r="49" spans="1:7">
      <c r="A49" s="38">
        <v>44165</v>
      </c>
      <c r="B49" s="6">
        <v>83496555.450000003</v>
      </c>
      <c r="C49" s="5">
        <v>7.7600000000000002E-2</v>
      </c>
      <c r="D49" s="6">
        <f t="shared" si="4"/>
        <v>4387228.5231039999</v>
      </c>
      <c r="E49" s="6">
        <f t="shared" si="8"/>
        <v>22572876.886896007</v>
      </c>
      <c r="F49" s="6">
        <f t="shared" si="5"/>
        <v>22572876.886896007</v>
      </c>
      <c r="G49" s="85">
        <v>1</v>
      </c>
    </row>
    <row r="50" spans="1:7">
      <c r="A50" s="38">
        <v>44196</v>
      </c>
      <c r="B50" s="6">
        <v>87559534.089999989</v>
      </c>
      <c r="C50" s="5">
        <v>3.0499999999999999E-2</v>
      </c>
      <c r="D50" s="6">
        <f t="shared" si="4"/>
        <v>2546644.9412250002</v>
      </c>
      <c r="E50" s="6">
        <f t="shared" si="8"/>
        <v>1516333.6987749785</v>
      </c>
      <c r="F50" s="6">
        <f t="shared" si="5"/>
        <v>1516333.6987749785</v>
      </c>
      <c r="G50" s="85">
        <v>1</v>
      </c>
    </row>
    <row r="51" spans="1:7">
      <c r="A51" s="38">
        <v>44227</v>
      </c>
      <c r="B51" s="6">
        <v>84319104.859999999</v>
      </c>
      <c r="C51" s="5">
        <v>-2.0099999999999996E-2</v>
      </c>
      <c r="D51" s="6">
        <f t="shared" si="4"/>
        <v>-1759946.6352089995</v>
      </c>
      <c r="E51" s="6">
        <f t="shared" si="8"/>
        <v>-1480482.5947909951</v>
      </c>
      <c r="F51" s="6">
        <f t="shared" si="5"/>
        <v>-3240429.2299999949</v>
      </c>
      <c r="G51" s="85">
        <v>1</v>
      </c>
    </row>
    <row r="52" spans="1:7">
      <c r="A52" s="38">
        <v>44255</v>
      </c>
      <c r="B52" s="6">
        <v>92600703.159999996</v>
      </c>
      <c r="C52" s="5">
        <v>1.5E-3</v>
      </c>
      <c r="D52" s="6">
        <f t="shared" si="4"/>
        <v>126478.65729</v>
      </c>
      <c r="E52" s="6">
        <f t="shared" si="8"/>
        <v>8155119.6427100003</v>
      </c>
      <c r="F52" s="6">
        <f t="shared" si="5"/>
        <v>8155119.6427100003</v>
      </c>
      <c r="G52" s="85">
        <v>1</v>
      </c>
    </row>
    <row r="53" spans="1:7">
      <c r="A53" s="38">
        <v>44286</v>
      </c>
      <c r="B53" s="6">
        <v>97179910.680000007</v>
      </c>
      <c r="C53" s="5">
        <v>2.5899999999999999E-2</v>
      </c>
      <c r="D53" s="6">
        <f t="shared" si="4"/>
        <v>2398358.211844</v>
      </c>
      <c r="E53" s="6">
        <f t="shared" si="8"/>
        <v>2180849.3081560135</v>
      </c>
      <c r="F53" s="6">
        <f t="shared" si="5"/>
        <v>2180849.3081560135</v>
      </c>
      <c r="G53" s="85">
        <v>1</v>
      </c>
    </row>
    <row r="54" spans="1:7">
      <c r="A54" s="38">
        <v>44316</v>
      </c>
      <c r="B54" s="6">
        <v>103297189.34</v>
      </c>
      <c r="C54" s="5">
        <v>4.1200000000000001E-2</v>
      </c>
      <c r="D54" s="6">
        <f t="shared" si="4"/>
        <v>4003812.3200160004</v>
      </c>
      <c r="E54" s="6">
        <f t="shared" si="8"/>
        <v>2113466.3399839997</v>
      </c>
      <c r="F54" s="6">
        <f t="shared" si="5"/>
        <v>2113466.3399839997</v>
      </c>
      <c r="G54" s="85">
        <v>1</v>
      </c>
    </row>
    <row r="55" spans="1:7">
      <c r="A55" s="38">
        <v>44347</v>
      </c>
      <c r="B55" s="6">
        <v>104302281.73999999</v>
      </c>
      <c r="C55" s="5">
        <v>1.11E-2</v>
      </c>
      <c r="D55" s="6">
        <f t="shared" si="4"/>
        <v>1146598.801674</v>
      </c>
      <c r="E55" s="6">
        <f t="shared" si="8"/>
        <v>-141506.40167400241</v>
      </c>
      <c r="F55" s="6">
        <f t="shared" si="5"/>
        <v>1005092.3999999976</v>
      </c>
      <c r="G55" s="85">
        <v>1</v>
      </c>
    </row>
    <row r="56" spans="1:7">
      <c r="A56" s="38">
        <v>44377</v>
      </c>
      <c r="B56" s="6">
        <v>106553487.91</v>
      </c>
      <c r="C56" s="5">
        <v>1.7100000000000001E-2</v>
      </c>
      <c r="D56" s="6">
        <f t="shared" si="4"/>
        <v>1783569.0177539999</v>
      </c>
      <c r="E56" s="6">
        <f t="shared" si="8"/>
        <v>467637.15224599838</v>
      </c>
      <c r="F56" s="6">
        <f t="shared" si="5"/>
        <v>467637.15224599838</v>
      </c>
      <c r="G56" s="85">
        <v>1</v>
      </c>
    </row>
    <row r="57" spans="1:7">
      <c r="A57" s="38">
        <v>44408</v>
      </c>
      <c r="B57" s="6">
        <v>107109363.21000001</v>
      </c>
      <c r="C57" s="5">
        <v>1.3300000000000001E-2</v>
      </c>
      <c r="D57" s="6">
        <f t="shared" ref="D57:D98" si="9">SUM(C57*B56)</f>
        <v>1417161.3892030001</v>
      </c>
      <c r="E57" s="6">
        <f t="shared" ref="E57:E98" si="10">B57-(B56+D57)</f>
        <v>-861286.08920298517</v>
      </c>
      <c r="F57" s="6">
        <f t="shared" ref="F57:F98" si="11">IF(E57&gt;0,E57,E57+D57)</f>
        <v>555875.30000001495</v>
      </c>
      <c r="G57" s="85">
        <v>1</v>
      </c>
    </row>
    <row r="58" spans="1:7">
      <c r="A58" s="38">
        <v>44439</v>
      </c>
      <c r="B58" s="6">
        <v>112138096.16999999</v>
      </c>
      <c r="C58" s="5">
        <v>2.4300000000000002E-2</v>
      </c>
      <c r="D58" s="6">
        <f t="shared" si="9"/>
        <v>2602757.5260030003</v>
      </c>
      <c r="E58" s="6">
        <f t="shared" si="10"/>
        <v>2425975.4339969754</v>
      </c>
      <c r="F58" s="6">
        <f t="shared" si="11"/>
        <v>2425975.4339969754</v>
      </c>
      <c r="G58" s="85">
        <v>1</v>
      </c>
    </row>
    <row r="59" spans="1:7">
      <c r="A59" s="38">
        <v>44469</v>
      </c>
      <c r="B59" s="6">
        <v>109774769.88</v>
      </c>
      <c r="C59" s="5">
        <v>-3.78E-2</v>
      </c>
      <c r="D59" s="6">
        <f t="shared" si="9"/>
        <v>-4238820.0352259995</v>
      </c>
      <c r="E59" s="6">
        <f t="shared" si="10"/>
        <v>1875493.7452260107</v>
      </c>
      <c r="F59" s="6">
        <f t="shared" si="11"/>
        <v>1875493.7452260107</v>
      </c>
      <c r="G59" s="85">
        <v>1</v>
      </c>
    </row>
    <row r="60" spans="1:7">
      <c r="A60" s="38">
        <v>44500</v>
      </c>
      <c r="B60" s="6">
        <v>116815163.88</v>
      </c>
      <c r="C60" s="5">
        <v>5.8799999999999998E-2</v>
      </c>
      <c r="D60" s="6">
        <f t="shared" si="9"/>
        <v>6454756.4689439991</v>
      </c>
      <c r="E60" s="6">
        <f t="shared" si="10"/>
        <v>585637.53105600178</v>
      </c>
      <c r="F60" s="6">
        <f t="shared" si="11"/>
        <v>585637.53105600178</v>
      </c>
      <c r="G60" s="85">
        <v>1</v>
      </c>
    </row>
    <row r="61" spans="1:7">
      <c r="A61" s="38">
        <v>44530</v>
      </c>
      <c r="B61" s="6">
        <v>114371590.66999999</v>
      </c>
      <c r="C61" s="5">
        <v>-2.0499999999999997E-2</v>
      </c>
      <c r="D61" s="6">
        <f t="shared" si="9"/>
        <v>-2394710.8595399996</v>
      </c>
      <c r="E61" s="6">
        <f t="shared" si="10"/>
        <v>-48862.350460007787</v>
      </c>
      <c r="F61" s="6">
        <f t="shared" si="11"/>
        <v>-2443573.2100000074</v>
      </c>
      <c r="G61" s="85">
        <v>1</v>
      </c>
    </row>
    <row r="62" spans="1:7">
      <c r="A62" s="38">
        <v>44561</v>
      </c>
      <c r="B62" s="6">
        <v>125206392.76000001</v>
      </c>
      <c r="C62" s="5">
        <v>3.8900000000000004E-2</v>
      </c>
      <c r="D62" s="6">
        <f t="shared" si="9"/>
        <v>4449054.8770629996</v>
      </c>
      <c r="E62" s="6">
        <f t="shared" si="10"/>
        <v>6385747.2129370123</v>
      </c>
      <c r="F62" s="6">
        <f t="shared" si="11"/>
        <v>6385747.2129370123</v>
      </c>
      <c r="G62" s="85">
        <v>1</v>
      </c>
    </row>
    <row r="63" spans="1:7">
      <c r="A63" s="38">
        <v>44592</v>
      </c>
      <c r="B63" s="6">
        <v>123239266.24999999</v>
      </c>
      <c r="C63" s="5">
        <v>-2.35E-2</v>
      </c>
      <c r="D63" s="6">
        <f t="shared" si="9"/>
        <v>-2942350.2298600003</v>
      </c>
      <c r="E63" s="6">
        <f t="shared" si="10"/>
        <v>975223.7198599726</v>
      </c>
      <c r="F63" s="6">
        <f t="shared" si="11"/>
        <v>975223.7198599726</v>
      </c>
      <c r="G63" s="85">
        <v>1</v>
      </c>
    </row>
    <row r="64" spans="1:7">
      <c r="A64" s="38">
        <v>44620</v>
      </c>
      <c r="B64" s="6">
        <v>120614796.03</v>
      </c>
      <c r="C64" s="5">
        <v>-2.98E-2</v>
      </c>
      <c r="D64" s="6">
        <f t="shared" si="9"/>
        <v>-3672530.1342499997</v>
      </c>
      <c r="E64" s="6">
        <f t="shared" si="10"/>
        <v>1048059.9142500162</v>
      </c>
      <c r="F64" s="6">
        <f t="shared" si="11"/>
        <v>1048059.9142500162</v>
      </c>
      <c r="G64" s="85">
        <v>1</v>
      </c>
    </row>
    <row r="65" spans="1:7">
      <c r="A65" s="38">
        <v>44651</v>
      </c>
      <c r="B65" s="6">
        <v>127102627.34</v>
      </c>
      <c r="C65" s="5">
        <v>2.5899999999999999E-2</v>
      </c>
      <c r="D65" s="6">
        <f t="shared" si="9"/>
        <v>3123923.2171769999</v>
      </c>
      <c r="E65" s="6">
        <f t="shared" si="10"/>
        <v>3363908.0928229988</v>
      </c>
      <c r="F65" s="6">
        <f t="shared" si="11"/>
        <v>3363908.0928229988</v>
      </c>
      <c r="G65" s="85">
        <v>1</v>
      </c>
    </row>
    <row r="66" spans="1:7">
      <c r="A66" s="38">
        <v>44681</v>
      </c>
      <c r="B66" s="6">
        <v>120106940.46000001</v>
      </c>
      <c r="C66" s="5">
        <v>-6.0599999999999994E-2</v>
      </c>
      <c r="D66" s="6">
        <f t="shared" si="9"/>
        <v>-7702419.2168039996</v>
      </c>
      <c r="E66" s="6">
        <f t="shared" si="10"/>
        <v>706732.33680400252</v>
      </c>
      <c r="F66" s="6">
        <f t="shared" si="11"/>
        <v>706732.33680400252</v>
      </c>
      <c r="G66" s="85">
        <v>1</v>
      </c>
    </row>
    <row r="67" spans="1:7">
      <c r="A67" s="38">
        <v>44712</v>
      </c>
      <c r="B67" s="6">
        <v>121806708.86999999</v>
      </c>
      <c r="C67" s="5">
        <v>9.7999999999999997E-3</v>
      </c>
      <c r="D67" s="6">
        <f t="shared" si="9"/>
        <v>1177048.016508</v>
      </c>
      <c r="E67" s="6">
        <f t="shared" si="10"/>
        <v>522720.39349198341</v>
      </c>
      <c r="F67" s="6">
        <f t="shared" si="11"/>
        <v>522720.39349198341</v>
      </c>
      <c r="G67" s="85">
        <v>1</v>
      </c>
    </row>
    <row r="68" spans="1:7">
      <c r="A68" s="38">
        <v>44742</v>
      </c>
      <c r="B68" s="6">
        <v>116598519.52</v>
      </c>
      <c r="C68" s="5">
        <v>-5.7599999999999998E-2</v>
      </c>
      <c r="D68" s="6">
        <f t="shared" si="9"/>
        <v>-7016066.4309119992</v>
      </c>
      <c r="E68" s="6">
        <f t="shared" si="10"/>
        <v>1807877.0809120089</v>
      </c>
      <c r="F68" s="6">
        <f t="shared" si="11"/>
        <v>1807877.0809120089</v>
      </c>
      <c r="G68" s="85">
        <v>1</v>
      </c>
    </row>
    <row r="69" spans="1:7">
      <c r="A69" s="38">
        <v>44773</v>
      </c>
      <c r="B69" s="6">
        <v>123900572.03999999</v>
      </c>
      <c r="C69" s="5">
        <v>5.1699999999999996E-2</v>
      </c>
      <c r="D69" s="6">
        <f t="shared" si="9"/>
        <v>6028143.4591839993</v>
      </c>
      <c r="E69" s="6">
        <f t="shared" si="10"/>
        <v>1273909.06081599</v>
      </c>
      <c r="F69" s="6">
        <f t="shared" si="11"/>
        <v>1273909.06081599</v>
      </c>
      <c r="G69" s="85">
        <v>1</v>
      </c>
    </row>
    <row r="70" spans="1:7">
      <c r="A70" s="38">
        <v>44804</v>
      </c>
      <c r="B70" s="6">
        <v>117880698.11</v>
      </c>
      <c r="C70" s="5">
        <v>-4.1599999999999998E-2</v>
      </c>
      <c r="D70" s="6">
        <f t="shared" si="9"/>
        <v>-5154263.7968639992</v>
      </c>
      <c r="E70" s="6">
        <f t="shared" si="10"/>
        <v>-865610.13313598931</v>
      </c>
      <c r="F70" s="6">
        <f t="shared" si="11"/>
        <v>-6019873.9299999885</v>
      </c>
      <c r="G70" s="85">
        <v>1</v>
      </c>
    </row>
    <row r="71" spans="1:7">
      <c r="A71" s="38">
        <v>44834</v>
      </c>
      <c r="B71" s="6">
        <v>110572453.41</v>
      </c>
      <c r="C71" s="5">
        <v>-7.8105999999999995E-2</v>
      </c>
      <c r="D71" s="6">
        <f t="shared" si="9"/>
        <v>-9207189.8065796588</v>
      </c>
      <c r="E71" s="6">
        <f t="shared" si="10"/>
        <v>1898945.1065796614</v>
      </c>
      <c r="F71" s="6">
        <f t="shared" si="11"/>
        <v>1898945.1065796614</v>
      </c>
      <c r="G71" s="85">
        <v>1</v>
      </c>
    </row>
    <row r="72" spans="1:7">
      <c r="A72" s="38">
        <v>44865</v>
      </c>
      <c r="B72" s="6">
        <v>121323458.78</v>
      </c>
      <c r="C72" s="5">
        <v>6.8400000000000002E-2</v>
      </c>
      <c r="D72" s="6">
        <f t="shared" si="9"/>
        <v>7563155.8132440001</v>
      </c>
      <c r="E72" s="6">
        <f t="shared" si="10"/>
        <v>3187849.5567560047</v>
      </c>
      <c r="F72" s="6">
        <f t="shared" si="11"/>
        <v>3187849.5567560047</v>
      </c>
      <c r="G72" s="85">
        <v>1</v>
      </c>
    </row>
    <row r="73" spans="1:7">
      <c r="A73" s="38">
        <v>44895</v>
      </c>
      <c r="B73" s="6">
        <v>130150422.5</v>
      </c>
      <c r="C73" s="5">
        <v>6.1799999999999994E-2</v>
      </c>
      <c r="D73" s="6">
        <f t="shared" si="9"/>
        <v>7497789.7526039993</v>
      </c>
      <c r="E73" s="6">
        <f t="shared" si="10"/>
        <v>1329173.967396006</v>
      </c>
      <c r="F73" s="6">
        <f t="shared" si="11"/>
        <v>1329173.967396006</v>
      </c>
      <c r="G73" s="85">
        <v>1</v>
      </c>
    </row>
    <row r="74" spans="1:7">
      <c r="A74" s="38">
        <v>44926</v>
      </c>
      <c r="B74" s="6">
        <v>124172139.81999999</v>
      </c>
      <c r="C74" s="5">
        <v>-5.0799999999999998E-2</v>
      </c>
      <c r="D74" s="6">
        <f t="shared" si="9"/>
        <v>-6611641.4629999995</v>
      </c>
      <c r="E74" s="6">
        <f t="shared" si="10"/>
        <v>633358.78299999237</v>
      </c>
      <c r="F74" s="6">
        <f t="shared" si="11"/>
        <v>633358.78299999237</v>
      </c>
      <c r="G74" s="85">
        <v>1</v>
      </c>
    </row>
    <row r="75" spans="1:7">
      <c r="A75" s="38">
        <v>44957</v>
      </c>
      <c r="B75" s="6">
        <v>132276117.22</v>
      </c>
      <c r="C75" s="5">
        <v>6.6000000000000003E-2</v>
      </c>
      <c r="D75" s="6">
        <f t="shared" si="9"/>
        <v>8195361.2281200001</v>
      </c>
      <c r="E75" s="6">
        <f t="shared" si="10"/>
        <v>-91383.82811999321</v>
      </c>
      <c r="F75" s="6">
        <f t="shared" si="11"/>
        <v>8103977.4000000069</v>
      </c>
      <c r="G75" s="85">
        <v>1</v>
      </c>
    </row>
    <row r="76" spans="1:7">
      <c r="A76" s="38">
        <v>44985</v>
      </c>
      <c r="B76" s="6">
        <v>129694381.34</v>
      </c>
      <c r="C76" s="5">
        <v>-3.2099999999999997E-2</v>
      </c>
      <c r="D76" s="6">
        <f t="shared" si="9"/>
        <v>-4246063.3627619995</v>
      </c>
      <c r="E76" s="6">
        <f t="shared" si="10"/>
        <v>1664327.4827620089</v>
      </c>
      <c r="F76" s="6">
        <f t="shared" si="11"/>
        <v>1664327.4827620089</v>
      </c>
      <c r="G76" s="85">
        <v>1</v>
      </c>
    </row>
    <row r="77" spans="1:7">
      <c r="A77" s="38">
        <v>45016</v>
      </c>
      <c r="B77" s="6">
        <v>132762287.52</v>
      </c>
      <c r="C77" s="5">
        <v>1.89E-2</v>
      </c>
      <c r="D77" s="6">
        <f t="shared" si="9"/>
        <v>2451223.8073260002</v>
      </c>
      <c r="E77" s="6">
        <f t="shared" si="10"/>
        <v>616682.37267398834</v>
      </c>
      <c r="F77" s="6">
        <f t="shared" si="11"/>
        <v>616682.37267398834</v>
      </c>
      <c r="G77" s="85">
        <v>1</v>
      </c>
    </row>
    <row r="78" spans="1:7">
      <c r="A78" s="38">
        <v>45046</v>
      </c>
      <c r="B78" s="6">
        <v>135657427.25999999</v>
      </c>
      <c r="C78" s="5">
        <v>1.49E-2</v>
      </c>
      <c r="D78" s="6">
        <f t="shared" si="9"/>
        <v>1978158.0840479999</v>
      </c>
      <c r="E78" s="6">
        <f t="shared" si="10"/>
        <v>916981.65595200658</v>
      </c>
      <c r="F78" s="6">
        <f t="shared" si="11"/>
        <v>916981.65595200658</v>
      </c>
      <c r="G78" s="85">
        <v>1</v>
      </c>
    </row>
    <row r="79" spans="1:7">
      <c r="A79" s="38">
        <v>45077</v>
      </c>
      <c r="B79" s="6">
        <v>132622291.59000002</v>
      </c>
      <c r="C79" s="11">
        <v>-2.7400000000000001E-2</v>
      </c>
      <c r="D79" s="6">
        <f t="shared" si="9"/>
        <v>-3717013.5069239996</v>
      </c>
      <c r="E79" s="6">
        <f t="shared" si="10"/>
        <v>681877.83692403138</v>
      </c>
      <c r="F79" s="6">
        <f t="shared" si="11"/>
        <v>681877.83692403138</v>
      </c>
      <c r="G79" s="85">
        <v>1</v>
      </c>
    </row>
    <row r="80" spans="1:7">
      <c r="A80" s="38">
        <v>45107</v>
      </c>
      <c r="B80" s="6">
        <v>139662136.13000003</v>
      </c>
      <c r="C80" s="11">
        <v>4.3299999999999998E-2</v>
      </c>
      <c r="D80" s="6">
        <f t="shared" si="9"/>
        <v>5742545.2258470003</v>
      </c>
      <c r="E80" s="6">
        <f t="shared" si="10"/>
        <v>1297299.3141530156</v>
      </c>
      <c r="F80" s="6">
        <f t="shared" si="11"/>
        <v>1297299.3141530156</v>
      </c>
      <c r="G80" s="85">
        <v>1</v>
      </c>
    </row>
    <row r="81" spans="1:7">
      <c r="A81" s="38">
        <v>45138</v>
      </c>
      <c r="B81" s="6">
        <v>143213060.07999998</v>
      </c>
      <c r="C81" s="11">
        <v>1.0700000000000001E-2</v>
      </c>
      <c r="D81" s="6">
        <f t="shared" si="9"/>
        <v>1494384.8565910005</v>
      </c>
      <c r="E81" s="6">
        <f t="shared" si="10"/>
        <v>2056539.093408972</v>
      </c>
      <c r="F81" s="6">
        <f t="shared" si="11"/>
        <v>2056539.093408972</v>
      </c>
      <c r="G81" s="85">
        <v>1</v>
      </c>
    </row>
    <row r="82" spans="1:7">
      <c r="A82" s="38">
        <v>45169</v>
      </c>
      <c r="B82" s="6">
        <v>149383110.11000001</v>
      </c>
      <c r="C82" s="11">
        <v>-2.07E-2</v>
      </c>
      <c r="D82" s="6">
        <f t="shared" si="9"/>
        <v>-2964510.3436559997</v>
      </c>
      <c r="E82" s="6">
        <f t="shared" si="10"/>
        <v>9134560.3736560345</v>
      </c>
      <c r="F82" s="6">
        <f t="shared" si="11"/>
        <v>9134560.3736560345</v>
      </c>
      <c r="G82" s="85">
        <v>1</v>
      </c>
    </row>
    <row r="83" spans="1:7">
      <c r="A83" s="38">
        <v>45199</v>
      </c>
      <c r="B83" s="6">
        <v>145941174.63000003</v>
      </c>
      <c r="C83" s="11">
        <v>-2.3199999999999998E-2</v>
      </c>
      <c r="D83" s="6">
        <f t="shared" si="9"/>
        <v>-3465688.1545520001</v>
      </c>
      <c r="E83" s="6">
        <f t="shared" si="10"/>
        <v>23752.674552023411</v>
      </c>
      <c r="F83" s="6">
        <f t="shared" si="11"/>
        <v>23752.674552023411</v>
      </c>
      <c r="G83" s="85">
        <v>1</v>
      </c>
    </row>
    <row r="84" spans="1:7">
      <c r="A84" s="38">
        <v>45230</v>
      </c>
      <c r="B84" s="6">
        <v>145507607.59000003</v>
      </c>
      <c r="C84" s="11">
        <v>-1.32E-2</v>
      </c>
      <c r="D84" s="6">
        <f t="shared" si="9"/>
        <v>-1926423.5051160003</v>
      </c>
      <c r="E84" s="6">
        <f t="shared" si="10"/>
        <v>1492856.4651159942</v>
      </c>
      <c r="F84" s="6">
        <f t="shared" si="11"/>
        <v>1492856.4651159942</v>
      </c>
      <c r="G84" s="85">
        <v>1</v>
      </c>
    </row>
    <row r="85" spans="1:7">
      <c r="A85" s="38">
        <v>45260</v>
      </c>
      <c r="B85" s="6">
        <v>154066010.01999998</v>
      </c>
      <c r="C85" s="11">
        <v>5.9299999999999999E-2</v>
      </c>
      <c r="D85" s="6">
        <f t="shared" si="9"/>
        <v>8628601.1300870012</v>
      </c>
      <c r="E85" s="6">
        <f t="shared" si="10"/>
        <v>-70198.700087040663</v>
      </c>
      <c r="F85" s="6">
        <f t="shared" si="11"/>
        <v>8558402.4299999606</v>
      </c>
      <c r="G85" s="85">
        <v>1</v>
      </c>
    </row>
    <row r="86" spans="1:7">
      <c r="A86" s="38">
        <v>45291</v>
      </c>
      <c r="B86" s="6">
        <v>158993905.19999999</v>
      </c>
      <c r="C86" s="11">
        <v>3.6400000000000002E-2</v>
      </c>
      <c r="D86" s="6">
        <f t="shared" si="9"/>
        <v>5608002.7647279995</v>
      </c>
      <c r="E86" s="6">
        <f t="shared" si="10"/>
        <v>-680107.58472800255</v>
      </c>
      <c r="F86" s="6">
        <f t="shared" si="11"/>
        <v>4927895.1799999969</v>
      </c>
      <c r="G86" s="85">
        <v>1</v>
      </c>
    </row>
    <row r="87" spans="1:7">
      <c r="A87" s="38">
        <v>45322</v>
      </c>
      <c r="B87" s="6">
        <v>162527120.91000003</v>
      </c>
      <c r="C87" s="11">
        <v>9.2999999999999992E-3</v>
      </c>
      <c r="D87" s="6">
        <f t="shared" si="9"/>
        <v>1478643.3183599997</v>
      </c>
      <c r="E87" s="6">
        <f t="shared" si="10"/>
        <v>2054572.3916400373</v>
      </c>
      <c r="F87" s="6">
        <f t="shared" si="11"/>
        <v>2054572.3916400373</v>
      </c>
      <c r="G87" s="85">
        <v>1</v>
      </c>
    </row>
    <row r="88" spans="1:7">
      <c r="A88" s="38">
        <v>45351</v>
      </c>
      <c r="B88" s="6">
        <v>159039016.85999992</v>
      </c>
      <c r="C88" s="11">
        <v>2.7000000000000003E-2</v>
      </c>
      <c r="D88" s="6">
        <f t="shared" si="9"/>
        <v>4388232.2645700015</v>
      </c>
      <c r="E88" s="6">
        <f t="shared" si="10"/>
        <v>-7876336.3145700991</v>
      </c>
      <c r="F88" s="6">
        <f t="shared" si="11"/>
        <v>-3488104.0500000976</v>
      </c>
      <c r="G88" s="85">
        <v>1</v>
      </c>
    </row>
    <row r="89" spans="1:7">
      <c r="A89" s="38">
        <v>45382</v>
      </c>
      <c r="B89" s="6">
        <v>105884485.57000004</v>
      </c>
      <c r="C89" s="11">
        <v>3.0899999999999997E-2</v>
      </c>
      <c r="D89" s="6">
        <f t="shared" si="9"/>
        <v>4914305.6209739968</v>
      </c>
      <c r="E89" s="6">
        <f t="shared" si="10"/>
        <v>-58068836.910973892</v>
      </c>
      <c r="F89" s="6">
        <f t="shared" si="11"/>
        <v>-53154531.289999895</v>
      </c>
      <c r="G89" s="85">
        <v>1</v>
      </c>
    </row>
    <row r="90" spans="1:7">
      <c r="A90" s="38">
        <v>45412</v>
      </c>
      <c r="B90" s="6">
        <v>103743792.28999996</v>
      </c>
      <c r="C90" s="11">
        <v>-2.6499999999999999E-2</v>
      </c>
      <c r="D90" s="6">
        <f t="shared" si="9"/>
        <v>-2805938.8676050007</v>
      </c>
      <c r="E90" s="6">
        <f t="shared" si="10"/>
        <v>665245.58760492504</v>
      </c>
      <c r="F90" s="6">
        <f t="shared" si="11"/>
        <v>665245.58760492504</v>
      </c>
      <c r="G90" s="85">
        <v>1</v>
      </c>
    </row>
    <row r="91" spans="1:7">
      <c r="A91" s="38">
        <v>45443</v>
      </c>
      <c r="B91" s="6">
        <v>105078720.04000002</v>
      </c>
      <c r="C91" s="11">
        <v>2.2099999999999998E-2</v>
      </c>
      <c r="D91" s="6">
        <f t="shared" si="9"/>
        <v>2292737.8096089992</v>
      </c>
      <c r="E91" s="6">
        <f t="shared" si="10"/>
        <v>-957810.05960893631</v>
      </c>
      <c r="F91" s="6">
        <f t="shared" si="11"/>
        <v>1334927.7500000629</v>
      </c>
      <c r="G91" s="85">
        <v>1</v>
      </c>
    </row>
    <row r="92" spans="1:7">
      <c r="A92" s="38">
        <v>45473</v>
      </c>
      <c r="B92" s="6">
        <v>105470926.98</v>
      </c>
      <c r="C92" s="11">
        <v>2.0999999999999999E-3</v>
      </c>
      <c r="D92" s="6">
        <f t="shared" si="9"/>
        <v>220665.31208400003</v>
      </c>
      <c r="E92" s="6">
        <f t="shared" si="10"/>
        <v>171541.62791597843</v>
      </c>
      <c r="F92" s="6">
        <f t="shared" si="11"/>
        <v>171541.62791597843</v>
      </c>
      <c r="G92" s="85">
        <v>1</v>
      </c>
    </row>
    <row r="93" spans="1:7">
      <c r="A93" s="38">
        <v>45504</v>
      </c>
      <c r="B93" s="6">
        <v>104721489.62999998</v>
      </c>
      <c r="C93" s="11">
        <v>2.5499999999999998E-2</v>
      </c>
      <c r="D93" s="6">
        <f t="shared" si="9"/>
        <v>2689508.6379899997</v>
      </c>
      <c r="E93" s="6">
        <f t="shared" si="10"/>
        <v>-3438945.9879900217</v>
      </c>
      <c r="F93" s="6">
        <f t="shared" si="11"/>
        <v>-749437.35000002198</v>
      </c>
      <c r="G93" s="85">
        <v>1</v>
      </c>
    </row>
    <row r="94" spans="1:7">
      <c r="A94" s="38">
        <v>45535</v>
      </c>
      <c r="B94" s="6">
        <v>108081889.55</v>
      </c>
      <c r="C94" s="11">
        <v>3.6499999999999998E-2</v>
      </c>
      <c r="D94" s="6">
        <f t="shared" si="9"/>
        <v>3822334.3714949992</v>
      </c>
      <c r="E94" s="6">
        <f t="shared" si="10"/>
        <v>-461934.45149497688</v>
      </c>
      <c r="F94" s="6">
        <f t="shared" si="11"/>
        <v>3360399.9200000223</v>
      </c>
      <c r="G94" s="85">
        <v>1</v>
      </c>
    </row>
    <row r="95" spans="1:7">
      <c r="A95" s="38">
        <v>45565</v>
      </c>
      <c r="B95" s="6">
        <v>107700624.52999997</v>
      </c>
      <c r="C95" s="11">
        <v>-5.0000000000000001E-4</v>
      </c>
      <c r="D95" s="6">
        <f t="shared" si="9"/>
        <v>-54040.944774999996</v>
      </c>
      <c r="E95" s="6">
        <f t="shared" si="10"/>
        <v>-327224.07522502542</v>
      </c>
      <c r="F95" s="6">
        <f t="shared" si="11"/>
        <v>-381265.0200000254</v>
      </c>
      <c r="G95" s="85">
        <v>1</v>
      </c>
    </row>
    <row r="96" spans="1:7">
      <c r="A96" s="38">
        <v>45596</v>
      </c>
      <c r="B96" s="6">
        <v>104030136.49000001</v>
      </c>
      <c r="C96" s="11">
        <v>-3.4705010000000001E-2</v>
      </c>
      <c r="D96" s="6">
        <f t="shared" si="9"/>
        <v>-3737751.2513198946</v>
      </c>
      <c r="E96" s="6">
        <f t="shared" si="10"/>
        <v>67263.211319938302</v>
      </c>
      <c r="F96" s="6">
        <f t="shared" si="11"/>
        <v>67263.211319938302</v>
      </c>
      <c r="G96" s="85">
        <v>1</v>
      </c>
    </row>
    <row r="97" spans="1:7">
      <c r="A97" s="38">
        <v>45626</v>
      </c>
      <c r="B97" s="6">
        <v>108499335.91000003</v>
      </c>
      <c r="C97" s="11">
        <v>3.9804829999999999E-2</v>
      </c>
      <c r="D97" s="6">
        <f t="shared" si="9"/>
        <v>4140901.897861247</v>
      </c>
      <c r="E97" s="6">
        <f t="shared" si="10"/>
        <v>328297.52213877439</v>
      </c>
      <c r="F97" s="6">
        <f t="shared" si="11"/>
        <v>328297.52213877439</v>
      </c>
      <c r="G97" s="85">
        <v>1</v>
      </c>
    </row>
    <row r="98" spans="1:7">
      <c r="A98" s="38">
        <v>45657</v>
      </c>
      <c r="B98" s="6">
        <v>103893919.96000001</v>
      </c>
      <c r="C98" s="11">
        <v>-3.9078729999999999E-2</v>
      </c>
      <c r="D98" s="6">
        <f t="shared" si="9"/>
        <v>-4240016.2532061953</v>
      </c>
      <c r="E98" s="6">
        <f t="shared" si="10"/>
        <v>-365399.69679382443</v>
      </c>
      <c r="F98" s="6">
        <f t="shared" si="11"/>
        <v>-4605415.9500000197</v>
      </c>
      <c r="G98" s="85">
        <v>1</v>
      </c>
    </row>
    <row r="99" spans="1:7">
      <c r="A99" s="38">
        <v>45688</v>
      </c>
      <c r="B99" s="6">
        <v>102543070.85000002</v>
      </c>
      <c r="C99" s="11">
        <v>2.5239620000000001E-2</v>
      </c>
      <c r="D99" s="6">
        <f t="shared" ref="D99" si="12">SUM(C99*B98)</f>
        <v>2622243.0601008157</v>
      </c>
      <c r="E99" s="6">
        <f t="shared" ref="E99" si="13">B99-(B98+D99)</f>
        <v>-3973092.1701007932</v>
      </c>
      <c r="F99" s="6">
        <f t="shared" ref="F99" si="14">IF(E99&gt;0,E99,E99+D99)</f>
        <v>-1350849.1099999775</v>
      </c>
      <c r="G99" s="85">
        <v>1</v>
      </c>
    </row>
    <row r="100" spans="1:7">
      <c r="A100" s="38">
        <v>45716</v>
      </c>
      <c r="B100" s="6">
        <v>109010114.29000004</v>
      </c>
      <c r="C100" s="11">
        <v>1.2776570000000001E-2</v>
      </c>
      <c r="D100" s="6">
        <f t="shared" ref="D100:D101" si="15">SUM(C100*B99)</f>
        <v>1310148.7227299849</v>
      </c>
      <c r="E100" s="6">
        <f t="shared" ref="E100:E101" si="16">B100-(B99+D100)</f>
        <v>5156894.7172700316</v>
      </c>
      <c r="F100" s="6">
        <f t="shared" ref="F100:F101" si="17">IF(E100&gt;0,E100,E100+D100)</f>
        <v>5156894.7172700316</v>
      </c>
      <c r="G100" s="85">
        <v>1</v>
      </c>
    </row>
    <row r="101" spans="1:7">
      <c r="A101" s="38">
        <v>45747</v>
      </c>
      <c r="B101" s="6">
        <v>93344477.769999996</v>
      </c>
      <c r="C101" s="11">
        <v>4.3076920000000001E-3</v>
      </c>
      <c r="D101" s="6">
        <f t="shared" si="15"/>
        <v>469581.99724611884</v>
      </c>
      <c r="E101" s="6">
        <f t="shared" si="16"/>
        <v>-16135218.517246157</v>
      </c>
      <c r="F101" s="6">
        <f t="shared" si="17"/>
        <v>-15665636.520000039</v>
      </c>
      <c r="G101" s="85">
        <v>1</v>
      </c>
    </row>
    <row r="102" spans="1:7">
      <c r="A102" s="38">
        <v>45777</v>
      </c>
      <c r="B102" s="6">
        <v>93009003.269999996</v>
      </c>
      <c r="C102" s="11">
        <v>-8.9999999999999998E-4</v>
      </c>
      <c r="D102" s="6">
        <f t="shared" ref="D102" si="18">SUM(C102*B101)</f>
        <v>-84010.029992999989</v>
      </c>
      <c r="E102" s="6">
        <f t="shared" ref="E102" si="19">B102-(B101+D102)</f>
        <v>-251464.47000700235</v>
      </c>
      <c r="F102" s="6">
        <f t="shared" ref="F102" si="20">IF(E102&gt;0,E102,E102+D102)</f>
        <v>-335474.50000000233</v>
      </c>
      <c r="G102" s="85">
        <v>1</v>
      </c>
    </row>
    <row r="103" spans="1:7">
      <c r="A103" s="38">
        <v>45808</v>
      </c>
      <c r="B103" s="6">
        <v>95060031.450000003</v>
      </c>
      <c r="C103" s="11">
        <v>1.9299999999999998E-2</v>
      </c>
      <c r="D103" s="6">
        <f t="shared" ref="D103" si="21">SUM(C103*B102)</f>
        <v>1795073.7631109997</v>
      </c>
      <c r="E103" s="6">
        <f t="shared" ref="E103" si="22">B103-(B102+D103)</f>
        <v>255954.41688901186</v>
      </c>
      <c r="F103" s="6">
        <f t="shared" ref="F103" si="23">IF(E103&gt;0,E103,E103+D103)</f>
        <v>255954.41688901186</v>
      </c>
      <c r="G103" s="85">
        <v>1</v>
      </c>
    </row>
    <row r="104" spans="1:7">
      <c r="A104" s="38">
        <v>45838</v>
      </c>
      <c r="B104" s="6">
        <v>95504245.630000025</v>
      </c>
      <c r="C104" s="11">
        <v>1.0500000000000001E-2</v>
      </c>
      <c r="D104" s="6">
        <f t="shared" ref="D104" si="24">SUM(C104*B103)</f>
        <v>998130.33022500004</v>
      </c>
      <c r="E104" s="6">
        <f t="shared" ref="E104" si="25">B104-(B103+D104)</f>
        <v>-553916.15022498369</v>
      </c>
      <c r="F104" s="6">
        <f t="shared" ref="F104" si="26">IF(E104&gt;0,E104,E104+D104)</f>
        <v>444214.18000001635</v>
      </c>
      <c r="G104" s="85">
        <v>1</v>
      </c>
    </row>
    <row r="105" spans="1:7">
      <c r="B105" s="6"/>
    </row>
    <row r="106" spans="1:7">
      <c r="B106" s="6">
        <f>B104-B101</f>
        <v>2159767.8600000292</v>
      </c>
    </row>
    <row r="107" spans="1:7">
      <c r="B107" s="6">
        <f>B104-B98</f>
        <v>-8389674.3299999833</v>
      </c>
    </row>
    <row r="108" spans="1:7">
      <c r="B108" s="6"/>
    </row>
    <row r="109" spans="1:7">
      <c r="B109" s="6"/>
    </row>
    <row r="110" spans="1:7">
      <c r="B110" s="6"/>
    </row>
  </sheetData>
  <conditionalFormatting sqref="H23:H500">
    <cfRule type="cellIs" dxfId="10" priority="5" operator="lessThan">
      <formula>$H22</formula>
    </cfRule>
    <cfRule type="cellIs" dxfId="9" priority="6" operator="greaterThan">
      <formula>$H22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68FE8-0F39-2947-881B-E4F7BBCC398E}">
  <sheetPr>
    <tabColor theme="4" tint="0.59999389629810485"/>
  </sheetPr>
  <dimension ref="A1:H56"/>
  <sheetViews>
    <sheetView topLeftCell="A21" workbookViewId="0">
      <selection activeCell="B56" sqref="B56"/>
    </sheetView>
  </sheetViews>
  <sheetFormatPr baseColWidth="10" defaultRowHeight="16"/>
  <cols>
    <col min="2" max="2" width="16" bestFit="1" customWidth="1"/>
    <col min="4" max="4" width="15.6640625" bestFit="1" customWidth="1"/>
    <col min="5" max="6" width="16.83203125" bestFit="1" customWidth="1"/>
  </cols>
  <sheetData>
    <row r="1" spans="1:8">
      <c r="A1" s="55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10</v>
      </c>
      <c r="G1" s="3" t="s">
        <v>69</v>
      </c>
      <c r="H1" s="31"/>
    </row>
    <row r="2" spans="1:8">
      <c r="A2" s="38">
        <v>44286</v>
      </c>
      <c r="B2" s="2">
        <v>85117891.310000017</v>
      </c>
      <c r="C2" s="11">
        <v>2.1399999999999999E-2</v>
      </c>
      <c r="G2">
        <v>1</v>
      </c>
    </row>
    <row r="3" spans="1:8">
      <c r="A3" s="38">
        <v>44316</v>
      </c>
      <c r="B3" s="2">
        <v>86420238.649999976</v>
      </c>
      <c r="C3" s="11">
        <v>2.4400000000000002E-2</v>
      </c>
      <c r="D3" s="6">
        <f t="shared" ref="D3:D8" si="0">SUM(C3*B2)</f>
        <v>2076876.5479640006</v>
      </c>
      <c r="E3" s="6">
        <f t="shared" ref="E3:E8" si="1">B3-(B2+D3)</f>
        <v>-774529.20796404779</v>
      </c>
      <c r="F3" s="6">
        <f t="shared" ref="F3:F8" si="2">IF(E3&gt;0,E3,E3+D3)</f>
        <v>1302347.3399999528</v>
      </c>
      <c r="G3">
        <v>1</v>
      </c>
    </row>
    <row r="4" spans="1:8">
      <c r="A4" s="38">
        <v>44347</v>
      </c>
      <c r="B4" s="2">
        <v>86603053.679999992</v>
      </c>
      <c r="C4" s="11">
        <v>1.5299999999999999E-2</v>
      </c>
      <c r="D4" s="6">
        <f t="shared" si="0"/>
        <v>1322229.6513449997</v>
      </c>
      <c r="E4" s="6">
        <f t="shared" si="1"/>
        <v>-1139414.6213449836</v>
      </c>
      <c r="F4" s="6">
        <f t="shared" si="2"/>
        <v>182815.03000001609</v>
      </c>
      <c r="G4">
        <v>1</v>
      </c>
    </row>
    <row r="5" spans="1:8">
      <c r="A5" s="38">
        <v>44377</v>
      </c>
      <c r="B5" s="2">
        <v>86616880.590000004</v>
      </c>
      <c r="C5" s="11">
        <v>1.0699999999999999E-2</v>
      </c>
      <c r="D5" s="6">
        <f t="shared" si="0"/>
        <v>926652.67437599984</v>
      </c>
      <c r="E5" s="6">
        <f t="shared" si="1"/>
        <v>-912825.76437598467</v>
      </c>
      <c r="F5" s="6">
        <f t="shared" si="2"/>
        <v>13826.910000015167</v>
      </c>
      <c r="G5">
        <v>1</v>
      </c>
    </row>
    <row r="6" spans="1:8">
      <c r="A6" s="38">
        <v>44408</v>
      </c>
      <c r="B6" s="2">
        <v>97188135.099999994</v>
      </c>
      <c r="C6" s="11">
        <v>-1.9699999999999999E-2</v>
      </c>
      <c r="D6" s="6">
        <f t="shared" si="0"/>
        <v>-1706352.5476229999</v>
      </c>
      <c r="E6" s="6">
        <f t="shared" si="1"/>
        <v>12277607.057622984</v>
      </c>
      <c r="F6" s="6">
        <f t="shared" si="2"/>
        <v>12277607.057622984</v>
      </c>
      <c r="G6">
        <v>1</v>
      </c>
    </row>
    <row r="7" spans="1:8">
      <c r="A7" s="38">
        <v>44439</v>
      </c>
      <c r="B7" s="2">
        <v>97514327.830000013</v>
      </c>
      <c r="C7" s="11">
        <v>-3.5999999999999999E-3</v>
      </c>
      <c r="D7" s="6">
        <f t="shared" si="0"/>
        <v>-349877.28635999997</v>
      </c>
      <c r="E7" s="6">
        <f t="shared" si="1"/>
        <v>676070.01636001468</v>
      </c>
      <c r="F7" s="6">
        <f t="shared" si="2"/>
        <v>676070.01636001468</v>
      </c>
      <c r="G7">
        <v>1</v>
      </c>
    </row>
    <row r="8" spans="1:8">
      <c r="A8" s="38">
        <v>44469</v>
      </c>
      <c r="B8" s="2">
        <v>95675494.120000005</v>
      </c>
      <c r="C8" s="11">
        <v>-2.64E-2</v>
      </c>
      <c r="D8" s="6">
        <f t="shared" si="0"/>
        <v>-2574378.2547120005</v>
      </c>
      <c r="E8" s="6">
        <f t="shared" si="1"/>
        <v>735544.54471199214</v>
      </c>
      <c r="F8" s="6">
        <f t="shared" si="2"/>
        <v>735544.54471199214</v>
      </c>
      <c r="G8">
        <v>1</v>
      </c>
    </row>
    <row r="9" spans="1:8">
      <c r="A9" s="38">
        <v>44500</v>
      </c>
      <c r="B9" s="2">
        <v>97868978.38000001</v>
      </c>
      <c r="C9" s="11">
        <v>3.0300000000000001E-2</v>
      </c>
      <c r="D9" s="6">
        <f t="shared" ref="D9:D47" si="3">SUM(C9*B8)</f>
        <v>2898967.4718360002</v>
      </c>
      <c r="E9" s="6">
        <f t="shared" ref="E9:E47" si="4">B9-(B8+D9)</f>
        <v>-705483.21183599532</v>
      </c>
      <c r="F9" s="6">
        <f t="shared" ref="F9:F47" si="5">IF(E9&gt;0,E9,E9+D9)</f>
        <v>2193484.2600000049</v>
      </c>
      <c r="G9">
        <v>1</v>
      </c>
    </row>
    <row r="10" spans="1:8">
      <c r="A10" s="38">
        <v>44530</v>
      </c>
      <c r="B10" s="2">
        <v>92770073.859999999</v>
      </c>
      <c r="C10" s="11">
        <v>-4.41E-2</v>
      </c>
      <c r="D10" s="6">
        <f t="shared" si="3"/>
        <v>-4316021.9465580005</v>
      </c>
      <c r="E10" s="6">
        <f t="shared" si="4"/>
        <v>-782882.57344201207</v>
      </c>
      <c r="F10" s="6">
        <f t="shared" si="5"/>
        <v>-5098904.5200000126</v>
      </c>
      <c r="G10">
        <v>1</v>
      </c>
    </row>
    <row r="11" spans="1:8">
      <c r="A11" s="38">
        <v>44561</v>
      </c>
      <c r="B11" s="2">
        <v>98433396.520000011</v>
      </c>
      <c r="C11" s="11">
        <v>5.16E-2</v>
      </c>
      <c r="D11" s="6">
        <f t="shared" si="3"/>
        <v>4786935.8111760002</v>
      </c>
      <c r="E11" s="6">
        <f t="shared" si="4"/>
        <v>876386.8488240093</v>
      </c>
      <c r="F11" s="6">
        <f t="shared" si="5"/>
        <v>876386.8488240093</v>
      </c>
      <c r="G11">
        <v>1</v>
      </c>
    </row>
    <row r="12" spans="1:8">
      <c r="A12" s="38">
        <v>44592</v>
      </c>
      <c r="B12" s="2">
        <v>91685411.730000004</v>
      </c>
      <c r="C12" s="11">
        <v>-7.0300000000000001E-2</v>
      </c>
      <c r="D12" s="6">
        <f t="shared" si="3"/>
        <v>-6919867.7753560012</v>
      </c>
      <c r="E12" s="6">
        <f t="shared" si="4"/>
        <v>171882.98535598814</v>
      </c>
      <c r="F12" s="6">
        <f t="shared" si="5"/>
        <v>171882.98535598814</v>
      </c>
      <c r="G12">
        <v>1</v>
      </c>
    </row>
    <row r="13" spans="1:8">
      <c r="A13" s="38">
        <v>44620</v>
      </c>
      <c r="B13" s="2">
        <v>92340241.270000011</v>
      </c>
      <c r="C13" s="11">
        <v>7.9000000000000008E-3</v>
      </c>
      <c r="D13" s="6">
        <f t="shared" si="3"/>
        <v>724314.75266700005</v>
      </c>
      <c r="E13" s="6">
        <f t="shared" si="4"/>
        <v>-69485.212666988373</v>
      </c>
      <c r="F13" s="6">
        <f t="shared" si="5"/>
        <v>654829.54000001168</v>
      </c>
      <c r="G13">
        <v>1</v>
      </c>
    </row>
    <row r="14" spans="1:8">
      <c r="A14" s="38">
        <v>44651</v>
      </c>
      <c r="B14" s="2">
        <v>94464974.299999997</v>
      </c>
      <c r="C14" s="11">
        <v>6.9999999999999999E-4</v>
      </c>
      <c r="D14" s="6">
        <f t="shared" si="3"/>
        <v>64638.168889000008</v>
      </c>
      <c r="E14" s="6">
        <f t="shared" si="4"/>
        <v>2060094.8611109853</v>
      </c>
      <c r="F14" s="6">
        <f t="shared" si="5"/>
        <v>2060094.8611109853</v>
      </c>
      <c r="G14">
        <v>1</v>
      </c>
    </row>
    <row r="15" spans="1:8">
      <c r="A15" s="38">
        <v>44681</v>
      </c>
      <c r="B15" s="2">
        <v>88330308.690000013</v>
      </c>
      <c r="C15" s="11">
        <v>-6.2300000000000001E-2</v>
      </c>
      <c r="D15" s="6">
        <f t="shared" si="3"/>
        <v>-5885167.8988899998</v>
      </c>
      <c r="E15" s="6">
        <f t="shared" si="4"/>
        <v>-249497.71110998094</v>
      </c>
      <c r="F15" s="6">
        <f t="shared" si="5"/>
        <v>-6134665.6099999808</v>
      </c>
      <c r="G15">
        <v>1</v>
      </c>
    </row>
    <row r="16" spans="1:8">
      <c r="A16" s="38">
        <v>44712</v>
      </c>
      <c r="B16" s="2">
        <v>91727100.969999999</v>
      </c>
      <c r="C16" s="11">
        <v>2.9399999999999999E-2</v>
      </c>
      <c r="D16" s="6">
        <f t="shared" si="3"/>
        <v>2596911.0754860002</v>
      </c>
      <c r="E16" s="6">
        <f t="shared" si="4"/>
        <v>799881.20451398194</v>
      </c>
      <c r="F16" s="6">
        <f t="shared" si="5"/>
        <v>799881.20451398194</v>
      </c>
      <c r="G16">
        <v>1</v>
      </c>
    </row>
    <row r="17" spans="1:7">
      <c r="A17" s="38">
        <v>44742</v>
      </c>
      <c r="B17" s="2">
        <v>84482014.75</v>
      </c>
      <c r="C17" s="11">
        <v>-8.43E-2</v>
      </c>
      <c r="D17" s="6">
        <f t="shared" si="3"/>
        <v>-7732594.6117709996</v>
      </c>
      <c r="E17" s="6">
        <f t="shared" si="4"/>
        <v>487508.3917710036</v>
      </c>
      <c r="F17" s="6">
        <f t="shared" si="5"/>
        <v>487508.3917710036</v>
      </c>
      <c r="G17">
        <v>1</v>
      </c>
    </row>
    <row r="18" spans="1:7">
      <c r="A18" s="38">
        <v>44773</v>
      </c>
      <c r="B18" s="2">
        <v>93733217.379999995</v>
      </c>
      <c r="C18" s="11">
        <v>0.1072</v>
      </c>
      <c r="D18" s="6">
        <f t="shared" si="3"/>
        <v>9056471.9812000003</v>
      </c>
      <c r="E18" s="6">
        <f t="shared" si="4"/>
        <v>194730.64880000055</v>
      </c>
      <c r="F18" s="6">
        <f t="shared" si="5"/>
        <v>194730.64880000055</v>
      </c>
      <c r="G18">
        <v>1</v>
      </c>
    </row>
    <row r="19" spans="1:7">
      <c r="A19" s="38">
        <v>44804</v>
      </c>
      <c r="B19" s="2">
        <v>89800138.409999996</v>
      </c>
      <c r="C19" s="11">
        <v>-2.6700000000000002E-2</v>
      </c>
      <c r="D19" s="6">
        <f t="shared" si="3"/>
        <v>-2502676.904046</v>
      </c>
      <c r="E19" s="6">
        <f t="shared" si="4"/>
        <v>-1430402.0659539998</v>
      </c>
      <c r="F19" s="6">
        <f t="shared" si="5"/>
        <v>-3933078.9699999997</v>
      </c>
      <c r="G19">
        <v>1</v>
      </c>
    </row>
    <row r="20" spans="1:7">
      <c r="A20" s="38">
        <v>44834</v>
      </c>
      <c r="B20" s="2">
        <v>81630744.5</v>
      </c>
      <c r="C20" s="11">
        <v>-9.4398750000000003E-2</v>
      </c>
      <c r="D20" s="6">
        <f t="shared" si="3"/>
        <v>-8477020.8157309871</v>
      </c>
      <c r="E20" s="6">
        <f t="shared" si="4"/>
        <v>307626.90573099256</v>
      </c>
      <c r="F20" s="6">
        <f t="shared" si="5"/>
        <v>307626.90573099256</v>
      </c>
      <c r="G20">
        <v>1</v>
      </c>
    </row>
    <row r="21" spans="1:7">
      <c r="A21" s="38">
        <v>44865</v>
      </c>
      <c r="B21" s="2">
        <v>91885548.920000002</v>
      </c>
      <c r="C21" s="11">
        <v>0.1099</v>
      </c>
      <c r="D21" s="6">
        <f t="shared" si="3"/>
        <v>8971218.8205500003</v>
      </c>
      <c r="E21" s="6">
        <f t="shared" si="4"/>
        <v>1283585.5994500071</v>
      </c>
      <c r="F21" s="6">
        <f t="shared" si="5"/>
        <v>1283585.5994500071</v>
      </c>
      <c r="G21">
        <v>1</v>
      </c>
    </row>
    <row r="22" spans="1:7">
      <c r="A22" s="38">
        <v>44895</v>
      </c>
      <c r="B22" s="2">
        <v>95155669.489999995</v>
      </c>
      <c r="C22" s="11">
        <v>3.0800000000000001E-2</v>
      </c>
      <c r="D22" s="6">
        <f t="shared" si="3"/>
        <v>2830074.906736</v>
      </c>
      <c r="E22" s="6">
        <f t="shared" si="4"/>
        <v>440045.66326399148</v>
      </c>
      <c r="F22" s="6">
        <f t="shared" si="5"/>
        <v>440045.66326399148</v>
      </c>
      <c r="G22">
        <v>1</v>
      </c>
    </row>
    <row r="23" spans="1:7">
      <c r="A23" s="38">
        <v>44926</v>
      </c>
      <c r="B23" s="2">
        <v>89287886.640000001</v>
      </c>
      <c r="C23" s="11">
        <v>-6.2399999999999997E-2</v>
      </c>
      <c r="D23" s="6">
        <f t="shared" si="3"/>
        <v>-5937713.7761759991</v>
      </c>
      <c r="E23" s="6">
        <f t="shared" si="4"/>
        <v>69930.926176011562</v>
      </c>
      <c r="F23" s="6">
        <f t="shared" si="5"/>
        <v>69930.926176011562</v>
      </c>
      <c r="G23">
        <v>1</v>
      </c>
    </row>
    <row r="24" spans="1:7">
      <c r="A24" s="38">
        <v>44957</v>
      </c>
      <c r="B24" s="2">
        <v>96989415.929999992</v>
      </c>
      <c r="C24" s="11">
        <v>9.0499999999999997E-2</v>
      </c>
      <c r="D24" s="6">
        <f t="shared" si="3"/>
        <v>8080553.7409199998</v>
      </c>
      <c r="E24" s="6">
        <f t="shared" si="4"/>
        <v>-379024.45092000067</v>
      </c>
      <c r="F24" s="6">
        <f t="shared" si="5"/>
        <v>7701529.2899999991</v>
      </c>
      <c r="G24">
        <v>1</v>
      </c>
    </row>
    <row r="25" spans="1:7">
      <c r="A25" s="38">
        <v>44985</v>
      </c>
      <c r="B25" s="2">
        <v>97065430.810000002</v>
      </c>
      <c r="C25" s="11">
        <v>1.23E-2</v>
      </c>
      <c r="D25" s="6">
        <f t="shared" si="3"/>
        <v>1192969.8159389999</v>
      </c>
      <c r="E25" s="6">
        <f t="shared" si="4"/>
        <v>-1116954.9359389842</v>
      </c>
      <c r="F25" s="6">
        <f t="shared" si="5"/>
        <v>76014.880000015721</v>
      </c>
      <c r="G25">
        <v>1</v>
      </c>
    </row>
    <row r="26" spans="1:7">
      <c r="A26" s="38">
        <v>45016</v>
      </c>
      <c r="B26" s="2">
        <v>92432623.120000005</v>
      </c>
      <c r="C26" s="11">
        <v>-4.9200000000000001E-2</v>
      </c>
      <c r="D26" s="6">
        <f t="shared" si="3"/>
        <v>-4775619.1958520003</v>
      </c>
      <c r="E26" s="6">
        <f t="shared" si="4"/>
        <v>142811.50585199893</v>
      </c>
      <c r="F26" s="6">
        <f t="shared" si="5"/>
        <v>142811.50585199893</v>
      </c>
      <c r="G26">
        <v>1</v>
      </c>
    </row>
    <row r="27" spans="1:7">
      <c r="A27" s="38">
        <v>45046</v>
      </c>
      <c r="B27" s="2">
        <v>91430687.090000004</v>
      </c>
      <c r="C27" s="11">
        <v>-1.5800000000000002E-2</v>
      </c>
      <c r="D27" s="6">
        <f t="shared" si="3"/>
        <v>-1460435.4452960002</v>
      </c>
      <c r="E27" s="6">
        <f t="shared" si="4"/>
        <v>458499.41529600322</v>
      </c>
      <c r="F27" s="6">
        <f t="shared" si="5"/>
        <v>458499.41529600322</v>
      </c>
      <c r="G27">
        <v>1</v>
      </c>
    </row>
    <row r="28" spans="1:7">
      <c r="A28" s="38">
        <v>45077</v>
      </c>
      <c r="B28" s="2">
        <v>89557469.649999991</v>
      </c>
      <c r="C28" s="11">
        <v>-2.3199999999999998E-2</v>
      </c>
      <c r="D28" s="6">
        <f t="shared" si="3"/>
        <v>-2121191.9404879999</v>
      </c>
      <c r="E28" s="6">
        <f t="shared" si="4"/>
        <v>247974.50048798323</v>
      </c>
      <c r="F28" s="6">
        <f t="shared" si="5"/>
        <v>247974.50048798323</v>
      </c>
      <c r="G28">
        <v>1</v>
      </c>
    </row>
    <row r="29" spans="1:7">
      <c r="A29" s="38">
        <v>45107</v>
      </c>
      <c r="B29" s="2">
        <v>99799428.49000001</v>
      </c>
      <c r="C29" s="11">
        <v>0.1086</v>
      </c>
      <c r="D29" s="6">
        <f t="shared" si="3"/>
        <v>9725941.2039899994</v>
      </c>
      <c r="E29" s="6">
        <f t="shared" si="4"/>
        <v>516017.63601002097</v>
      </c>
      <c r="F29" s="6">
        <f t="shared" si="5"/>
        <v>516017.63601002097</v>
      </c>
      <c r="G29">
        <v>1</v>
      </c>
    </row>
    <row r="30" spans="1:7">
      <c r="A30" s="38">
        <v>45138</v>
      </c>
      <c r="B30" s="2">
        <v>104570165.95999998</v>
      </c>
      <c r="C30" s="11">
        <v>4.4299999999999999E-2</v>
      </c>
      <c r="D30" s="6">
        <f t="shared" si="3"/>
        <v>4421114.6821070006</v>
      </c>
      <c r="E30" s="6">
        <f t="shared" si="4"/>
        <v>349622.78789296746</v>
      </c>
      <c r="F30" s="6">
        <f t="shared" si="5"/>
        <v>349622.78789296746</v>
      </c>
      <c r="G30">
        <v>1</v>
      </c>
    </row>
    <row r="31" spans="1:7">
      <c r="A31" s="38">
        <v>45169</v>
      </c>
      <c r="B31" s="2">
        <v>103143443.64</v>
      </c>
      <c r="C31" s="11">
        <v>-4.48E-2</v>
      </c>
      <c r="D31" s="6">
        <f t="shared" si="3"/>
        <v>-4684743.4350079987</v>
      </c>
      <c r="E31" s="6">
        <f t="shared" si="4"/>
        <v>3258021.1150080264</v>
      </c>
      <c r="F31" s="6">
        <f t="shared" si="5"/>
        <v>3258021.1150080264</v>
      </c>
      <c r="G31">
        <v>1</v>
      </c>
    </row>
    <row r="32" spans="1:7">
      <c r="A32" s="38">
        <v>45199</v>
      </c>
      <c r="B32" s="2">
        <v>98542952.439999998</v>
      </c>
      <c r="C32" s="11">
        <v>-4.9799999999999997E-2</v>
      </c>
      <c r="D32" s="6">
        <f t="shared" si="3"/>
        <v>-5136543.493272</v>
      </c>
      <c r="E32" s="6">
        <f t="shared" si="4"/>
        <v>536052.29327200353</v>
      </c>
      <c r="F32" s="6">
        <f t="shared" si="5"/>
        <v>536052.29327200353</v>
      </c>
      <c r="G32">
        <v>1</v>
      </c>
    </row>
    <row r="33" spans="1:7">
      <c r="A33" s="38">
        <v>45230</v>
      </c>
      <c r="B33" s="2">
        <v>93542181.189999968</v>
      </c>
      <c r="C33" s="11">
        <v>-6.3100000000000003E-2</v>
      </c>
      <c r="D33" s="6">
        <f t="shared" si="3"/>
        <v>-6218060.2989640003</v>
      </c>
      <c r="E33" s="6">
        <f t="shared" si="4"/>
        <v>1217289.048963964</v>
      </c>
      <c r="F33" s="6">
        <f t="shared" si="5"/>
        <v>1217289.048963964</v>
      </c>
      <c r="G33">
        <v>1</v>
      </c>
    </row>
    <row r="34" spans="1:7">
      <c r="A34" s="38">
        <v>45260</v>
      </c>
      <c r="B34" s="2">
        <v>101664541.96000004</v>
      </c>
      <c r="C34" s="11">
        <v>8.5000000000000006E-2</v>
      </c>
      <c r="D34" s="6">
        <f t="shared" si="3"/>
        <v>7951085.4011499975</v>
      </c>
      <c r="E34" s="6">
        <f t="shared" si="4"/>
        <v>171275.36885006726</v>
      </c>
      <c r="F34" s="6">
        <f t="shared" si="5"/>
        <v>171275.36885006726</v>
      </c>
      <c r="G34">
        <v>1</v>
      </c>
    </row>
    <row r="35" spans="1:7">
      <c r="A35" s="38">
        <v>45291</v>
      </c>
      <c r="B35" s="2">
        <v>139348484.1800001</v>
      </c>
      <c r="C35" s="11">
        <v>0.1242</v>
      </c>
      <c r="D35" s="6">
        <f t="shared" si="3"/>
        <v>12626736.111432005</v>
      </c>
      <c r="E35" s="6">
        <f t="shared" si="4"/>
        <v>25057206.108568057</v>
      </c>
      <c r="F35" s="6">
        <f t="shared" si="5"/>
        <v>25057206.108568057</v>
      </c>
      <c r="G35">
        <v>1</v>
      </c>
    </row>
    <row r="36" spans="1:7">
      <c r="A36" s="38">
        <v>45322</v>
      </c>
      <c r="B36" s="2">
        <v>139042143.74000007</v>
      </c>
      <c r="C36" s="11">
        <v>-1.61E-2</v>
      </c>
      <c r="D36" s="6">
        <f t="shared" si="3"/>
        <v>-2243510.5952980015</v>
      </c>
      <c r="E36" s="6">
        <f t="shared" si="4"/>
        <v>1937170.1552979648</v>
      </c>
      <c r="F36" s="6">
        <f t="shared" si="5"/>
        <v>1937170.1552979648</v>
      </c>
      <c r="G36">
        <v>1</v>
      </c>
    </row>
    <row r="37" spans="1:7">
      <c r="A37" s="38">
        <v>45351</v>
      </c>
      <c r="B37" s="2">
        <v>145015379.16000003</v>
      </c>
      <c r="C37" s="11">
        <v>3.0599999999999999E-2</v>
      </c>
      <c r="D37" s="6">
        <f t="shared" si="3"/>
        <v>4254689.5984440017</v>
      </c>
      <c r="E37" s="6">
        <f t="shared" si="4"/>
        <v>1718545.8215559423</v>
      </c>
      <c r="F37" s="6">
        <f t="shared" si="5"/>
        <v>1718545.8215559423</v>
      </c>
      <c r="G37">
        <v>1</v>
      </c>
    </row>
    <row r="38" spans="1:7">
      <c r="A38" s="38">
        <v>45382</v>
      </c>
      <c r="B38" s="2">
        <v>124457301.53000002</v>
      </c>
      <c r="C38" s="11">
        <v>4.0599999999999997E-2</v>
      </c>
      <c r="D38" s="6">
        <f t="shared" si="3"/>
        <v>5887624.3938960005</v>
      </c>
      <c r="E38" s="6">
        <f t="shared" si="4"/>
        <v>-26445702.023896024</v>
      </c>
      <c r="F38" s="6">
        <f t="shared" si="5"/>
        <v>-20558077.630000025</v>
      </c>
      <c r="G38">
        <v>1</v>
      </c>
    </row>
    <row r="39" spans="1:7">
      <c r="A39" s="38">
        <v>45412</v>
      </c>
      <c r="B39" s="2">
        <v>116318139.89000006</v>
      </c>
      <c r="C39" s="11">
        <v>-6.9800000000000001E-2</v>
      </c>
      <c r="D39" s="6">
        <f t="shared" si="3"/>
        <v>-8687119.6467940006</v>
      </c>
      <c r="E39" s="6">
        <f t="shared" si="4"/>
        <v>547958.00679405034</v>
      </c>
      <c r="F39" s="6">
        <f t="shared" si="5"/>
        <v>547958.00679405034</v>
      </c>
      <c r="G39">
        <v>1</v>
      </c>
    </row>
    <row r="40" spans="1:7">
      <c r="A40" s="38">
        <v>45443</v>
      </c>
      <c r="B40" s="2">
        <v>121105132.50000001</v>
      </c>
      <c r="C40" s="11">
        <v>4.7800000000000002E-2</v>
      </c>
      <c r="D40" s="6">
        <f t="shared" si="3"/>
        <v>5560007.0867420034</v>
      </c>
      <c r="E40" s="6">
        <f t="shared" si="4"/>
        <v>-773014.47674204409</v>
      </c>
      <c r="F40" s="6">
        <f t="shared" si="5"/>
        <v>4786992.6099999594</v>
      </c>
      <c r="G40">
        <v>1</v>
      </c>
    </row>
    <row r="41" spans="1:7">
      <c r="A41" s="38">
        <v>45473</v>
      </c>
      <c r="B41" s="2">
        <v>118390787.51000001</v>
      </c>
      <c r="C41" s="11">
        <v>-2.47E-2</v>
      </c>
      <c r="D41" s="6">
        <f t="shared" si="3"/>
        <v>-2991296.7727500005</v>
      </c>
      <c r="E41" s="6">
        <f t="shared" si="4"/>
        <v>276951.78274999559</v>
      </c>
      <c r="F41" s="6">
        <f t="shared" si="5"/>
        <v>276951.78274999559</v>
      </c>
      <c r="G41">
        <v>1</v>
      </c>
    </row>
    <row r="42" spans="1:7">
      <c r="A42" s="38">
        <v>45504</v>
      </c>
      <c r="B42" s="2">
        <v>128413872.41999996</v>
      </c>
      <c r="C42" s="11">
        <v>9.8500000000000004E-2</v>
      </c>
      <c r="D42" s="6">
        <f t="shared" si="3"/>
        <v>11661492.569735002</v>
      </c>
      <c r="E42" s="6">
        <f t="shared" si="4"/>
        <v>-1638407.6597350538</v>
      </c>
      <c r="F42" s="6">
        <f t="shared" si="5"/>
        <v>10023084.909999948</v>
      </c>
      <c r="G42">
        <v>1</v>
      </c>
    </row>
    <row r="43" spans="1:7">
      <c r="A43" s="38">
        <v>45535</v>
      </c>
      <c r="B43" s="2">
        <v>124782649.92999992</v>
      </c>
      <c r="C43" s="11">
        <v>-1.8800000000000001E-2</v>
      </c>
      <c r="D43" s="6">
        <f t="shared" si="3"/>
        <v>-2414180.8014959991</v>
      </c>
      <c r="E43" s="6">
        <f t="shared" si="4"/>
        <v>-1217041.6885040402</v>
      </c>
      <c r="F43" s="6">
        <f t="shared" si="5"/>
        <v>-3631222.4900000393</v>
      </c>
      <c r="G43">
        <v>1</v>
      </c>
    </row>
    <row r="44" spans="1:7">
      <c r="A44" s="38">
        <v>45565</v>
      </c>
      <c r="B44" s="2">
        <v>126291123.71999994</v>
      </c>
      <c r="C44" s="11">
        <v>1.24E-2</v>
      </c>
      <c r="D44" s="6">
        <f t="shared" si="3"/>
        <v>1547304.8591319988</v>
      </c>
      <c r="E44" s="6">
        <f t="shared" si="4"/>
        <v>-38831.069131970406</v>
      </c>
      <c r="F44" s="6">
        <f t="shared" si="5"/>
        <v>1508473.7900000284</v>
      </c>
      <c r="G44">
        <v>1</v>
      </c>
    </row>
    <row r="45" spans="1:7">
      <c r="A45" s="38">
        <v>45596</v>
      </c>
      <c r="B45" s="2">
        <v>122800758.47000003</v>
      </c>
      <c r="C45" s="11">
        <v>-2.9987759999999999E-2</v>
      </c>
      <c r="D45" s="6">
        <f t="shared" si="3"/>
        <v>-3787187.908245665</v>
      </c>
      <c r="E45" s="6">
        <f t="shared" si="4"/>
        <v>296822.65824575722</v>
      </c>
      <c r="F45" s="6">
        <f t="shared" si="5"/>
        <v>296822.65824575722</v>
      </c>
      <c r="G45">
        <v>1</v>
      </c>
    </row>
    <row r="46" spans="1:7">
      <c r="A46" s="38">
        <v>45626</v>
      </c>
      <c r="B46" s="2">
        <v>133754741.04000001</v>
      </c>
      <c r="C46" s="11">
        <v>8.8643529999999998E-2</v>
      </c>
      <c r="D46" s="6">
        <f t="shared" si="3"/>
        <v>10885492.717458202</v>
      </c>
      <c r="E46" s="6">
        <f t="shared" si="4"/>
        <v>68489.852541774511</v>
      </c>
      <c r="F46" s="6">
        <f t="shared" si="5"/>
        <v>68489.852541774511</v>
      </c>
      <c r="G46">
        <v>1</v>
      </c>
    </row>
    <row r="47" spans="1:7">
      <c r="A47" s="38">
        <v>45657</v>
      </c>
      <c r="B47" s="2">
        <v>122301213.79999998</v>
      </c>
      <c r="C47" s="11">
        <v>-8.8147210000000004E-2</v>
      </c>
      <c r="D47" s="6">
        <f t="shared" si="3"/>
        <v>-11790107.246948499</v>
      </c>
      <c r="E47" s="6">
        <f t="shared" si="4"/>
        <v>336580.00694847107</v>
      </c>
      <c r="F47" s="6">
        <f t="shared" si="5"/>
        <v>336580.00694847107</v>
      </c>
      <c r="G47">
        <v>1</v>
      </c>
    </row>
    <row r="48" spans="1:7">
      <c r="A48" s="38">
        <v>45688</v>
      </c>
      <c r="B48" s="2">
        <v>127483071.53999999</v>
      </c>
      <c r="C48" s="11">
        <v>4.0584420000000003E-2</v>
      </c>
      <c r="D48" s="6">
        <f t="shared" ref="D48" si="6">SUM(C48*B47)</f>
        <v>4963523.8273689952</v>
      </c>
      <c r="E48" s="6">
        <f t="shared" ref="E48" si="7">B48-(B47+D48)</f>
        <v>218333.91263101995</v>
      </c>
      <c r="F48" s="6">
        <f t="shared" ref="F48" si="8">IF(E48&gt;0,E48,E48+D48)</f>
        <v>218333.91263101995</v>
      </c>
      <c r="G48">
        <v>1</v>
      </c>
    </row>
    <row r="49" spans="1:7">
      <c r="A49" s="38">
        <v>45716</v>
      </c>
      <c r="B49" s="2">
        <v>115161444.16000012</v>
      </c>
      <c r="C49" s="11">
        <v>-5.7722309999999999E-2</v>
      </c>
      <c r="D49" s="6">
        <f t="shared" ref="D49:D50" si="9">SUM(C49*B48)</f>
        <v>-7358617.3751840563</v>
      </c>
      <c r="E49" s="6">
        <f t="shared" ref="E49:E50" si="10">B49-(B48+D49)</f>
        <v>-4963010.0048158169</v>
      </c>
      <c r="F49" s="6">
        <f t="shared" ref="F49:F50" si="11">IF(E49&gt;0,E49,E49+D49)</f>
        <v>-12321627.379999872</v>
      </c>
      <c r="G49">
        <v>1</v>
      </c>
    </row>
    <row r="50" spans="1:7">
      <c r="A50" s="38">
        <v>45747</v>
      </c>
      <c r="B50" s="2">
        <v>105065269.78</v>
      </c>
      <c r="C50" s="11">
        <v>-5.0662249999999999E-2</v>
      </c>
      <c r="D50" s="6">
        <f t="shared" si="9"/>
        <v>-5834337.8743949654</v>
      </c>
      <c r="E50" s="6">
        <f t="shared" si="10"/>
        <v>-4261836.5056051463</v>
      </c>
      <c r="F50" s="6">
        <f t="shared" si="11"/>
        <v>-10096174.380000111</v>
      </c>
      <c r="G50">
        <v>1</v>
      </c>
    </row>
    <row r="51" spans="1:7">
      <c r="A51" s="38">
        <v>45777</v>
      </c>
      <c r="B51" s="2">
        <v>102119338.93999991</v>
      </c>
      <c r="C51" s="11">
        <v>-2.1600000000000001E-2</v>
      </c>
      <c r="D51" s="6">
        <f t="shared" ref="D51" si="12">SUM(C51*B50)</f>
        <v>-2269409.8272480001</v>
      </c>
      <c r="E51" s="6">
        <f t="shared" ref="E51" si="13">B51-(B50+D51)</f>
        <v>-676521.01275208592</v>
      </c>
      <c r="F51" s="6">
        <f t="shared" ref="F51" si="14">IF(E51&gt;0,E51,E51+D51)</f>
        <v>-2945930.840000086</v>
      </c>
      <c r="G51">
        <v>1</v>
      </c>
    </row>
    <row r="52" spans="1:7">
      <c r="A52" s="38">
        <v>45808</v>
      </c>
      <c r="B52" s="2">
        <v>107740731.54999997</v>
      </c>
      <c r="C52" s="11">
        <v>5.1699999999999996E-2</v>
      </c>
      <c r="D52" s="6">
        <f t="shared" ref="D52" si="15">SUM(C52*B51)</f>
        <v>5279569.8231979944</v>
      </c>
      <c r="E52" s="6">
        <f t="shared" ref="E52" si="16">B52-(B51+D52)</f>
        <v>341822.78680206835</v>
      </c>
      <c r="F52" s="6">
        <f t="shared" ref="F52" si="17">IF(E52&gt;0,E52,E52+D52)</f>
        <v>341822.78680206835</v>
      </c>
      <c r="G52">
        <v>1</v>
      </c>
    </row>
    <row r="53" spans="1:7">
      <c r="A53" s="38">
        <v>45838</v>
      </c>
      <c r="B53" s="2">
        <v>111955121.47999994</v>
      </c>
      <c r="C53" s="11">
        <v>0.04</v>
      </c>
      <c r="D53" s="6">
        <f t="shared" ref="D53" si="18">SUM(C53*B52)</f>
        <v>4309629.2619999992</v>
      </c>
      <c r="E53" s="6">
        <f t="shared" ref="E53" si="19">B53-(B52+D53)</f>
        <v>-95239.332000017166</v>
      </c>
      <c r="F53" s="6">
        <f t="shared" ref="F53" si="20">IF(E53&gt;0,E53,E53+D53)</f>
        <v>4214389.929999982</v>
      </c>
      <c r="G53">
        <v>1</v>
      </c>
    </row>
    <row r="54" spans="1:7">
      <c r="B54" s="2"/>
    </row>
    <row r="55" spans="1:7">
      <c r="B55" s="2">
        <f>B53-B50</f>
        <v>6889851.6999999434</v>
      </c>
    </row>
    <row r="56" spans="1:7">
      <c r="B56" s="6">
        <f>B53-B47</f>
        <v>-10346092.320000038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ADAC7-CF4E-4D8D-B3A2-DDA99F9341C3}">
  <sheetPr>
    <tabColor theme="4" tint="0.59999389629810485"/>
  </sheetPr>
  <dimension ref="A1:AE65"/>
  <sheetViews>
    <sheetView workbookViewId="0">
      <pane ySplit="1" topLeftCell="A33" activePane="bottomLeft" state="frozen"/>
      <selection pane="bottomLeft" activeCell="L64" sqref="L64:L65"/>
    </sheetView>
  </sheetViews>
  <sheetFormatPr baseColWidth="10" defaultColWidth="8.83203125" defaultRowHeight="16"/>
  <cols>
    <col min="1" max="1" width="9.83203125" bestFit="1" customWidth="1"/>
    <col min="2" max="3" width="15" style="2" bestFit="1" customWidth="1"/>
    <col min="4" max="5" width="14.1640625" style="2" bestFit="1" customWidth="1"/>
    <col min="6" max="11" width="14.1640625" style="2" customWidth="1"/>
    <col min="12" max="12" width="15" style="161" bestFit="1" customWidth="1"/>
    <col min="13" max="13" width="15" style="2" bestFit="1" customWidth="1"/>
    <col min="14" max="15" width="14.1640625" style="2" bestFit="1" customWidth="1"/>
    <col min="16" max="20" width="14.1640625" style="2" customWidth="1"/>
    <col min="21" max="21" width="14.1640625" style="161" bestFit="1" customWidth="1"/>
    <col min="22" max="22" width="12.5" style="2" bestFit="1" customWidth="1"/>
    <col min="23" max="23" width="11.6640625" style="2" bestFit="1" customWidth="1"/>
    <col min="24" max="27" width="11.6640625" style="2" customWidth="1"/>
    <col min="28" max="28" width="15" style="161" bestFit="1" customWidth="1"/>
    <col min="29" max="29" width="15.33203125" bestFit="1" customWidth="1"/>
    <col min="30" max="30" width="19.83203125" style="159" bestFit="1" customWidth="1"/>
    <col min="31" max="31" width="5.5" bestFit="1" customWidth="1"/>
  </cols>
  <sheetData>
    <row r="1" spans="1:31">
      <c r="B1" s="12" t="s">
        <v>124</v>
      </c>
      <c r="C1" s="162" t="s">
        <v>6</v>
      </c>
      <c r="D1" s="162" t="s">
        <v>18</v>
      </c>
      <c r="E1" s="162" t="s">
        <v>56</v>
      </c>
      <c r="F1" s="162" t="s">
        <v>135</v>
      </c>
      <c r="G1" s="162" t="s">
        <v>162</v>
      </c>
      <c r="H1" s="162" t="s">
        <v>163</v>
      </c>
      <c r="I1" s="162" t="s">
        <v>173</v>
      </c>
      <c r="J1" s="162" t="s">
        <v>174</v>
      </c>
      <c r="K1" s="162" t="s">
        <v>176</v>
      </c>
      <c r="L1" s="163" t="s">
        <v>125</v>
      </c>
      <c r="M1" s="162" t="s">
        <v>6</v>
      </c>
      <c r="N1" s="162" t="s">
        <v>18</v>
      </c>
      <c r="O1" s="162" t="s">
        <v>56</v>
      </c>
      <c r="P1" s="162" t="s">
        <v>135</v>
      </c>
      <c r="Q1" s="162" t="s">
        <v>162</v>
      </c>
      <c r="R1" s="162" t="s">
        <v>163</v>
      </c>
      <c r="S1" s="162" t="s">
        <v>173</v>
      </c>
      <c r="T1" s="162" t="s">
        <v>174</v>
      </c>
      <c r="U1" s="163" t="s">
        <v>126</v>
      </c>
      <c r="V1" s="162" t="s">
        <v>6</v>
      </c>
      <c r="W1" s="162" t="s">
        <v>18</v>
      </c>
      <c r="X1" s="162" t="s">
        <v>56</v>
      </c>
      <c r="Y1" s="162" t="s">
        <v>135</v>
      </c>
      <c r="Z1" s="162" t="s">
        <v>162</v>
      </c>
      <c r="AA1" s="162" t="s">
        <v>163</v>
      </c>
      <c r="AB1" s="164" t="s">
        <v>127</v>
      </c>
      <c r="AC1" s="36" t="s">
        <v>128</v>
      </c>
      <c r="AD1" s="17" t="s">
        <v>167</v>
      </c>
      <c r="AE1" s="160" t="s">
        <v>69</v>
      </c>
    </row>
    <row r="2" spans="1:31">
      <c r="A2" s="38">
        <v>44012</v>
      </c>
      <c r="B2" s="2">
        <v>5243507.87</v>
      </c>
      <c r="C2" s="2">
        <v>1362773.18</v>
      </c>
      <c r="D2" s="2">
        <v>1469657.73</v>
      </c>
      <c r="E2" s="2">
        <v>1449838.31</v>
      </c>
      <c r="L2" s="161">
        <v>3665913.1156599997</v>
      </c>
      <c r="M2" s="2">
        <v>653372.63003999996</v>
      </c>
      <c r="N2" s="2">
        <v>515529.78119999991</v>
      </c>
      <c r="O2" s="2">
        <v>729663.35441999999</v>
      </c>
      <c r="U2" s="161">
        <v>1185811.8600000001</v>
      </c>
      <c r="V2" s="2">
        <v>77558.350000000006</v>
      </c>
      <c r="W2" s="2">
        <v>31207.119999999999</v>
      </c>
      <c r="AB2" s="161">
        <f t="shared" ref="AB2:AB13" si="0">B2+L2+U2</f>
        <v>10095232.845659999</v>
      </c>
      <c r="AC2" s="6">
        <f t="shared" ref="AC2:AC9" si="1">C2+D2+E2+M2+N2+O2+V2+W2</f>
        <v>6289600.4556600004</v>
      </c>
      <c r="AD2" s="165">
        <f t="shared" ref="AD2:AD13" si="2">AB2-AC2</f>
        <v>3805632.3899999987</v>
      </c>
      <c r="AE2">
        <f t="shared" ref="AE2:AE13" si="3">COUNT(B2,L2,U2)</f>
        <v>3</v>
      </c>
    </row>
    <row r="3" spans="1:31">
      <c r="A3" s="38">
        <v>44043</v>
      </c>
      <c r="B3" s="2">
        <v>6430391.7378300009</v>
      </c>
      <c r="C3" s="2">
        <v>1694414.7849300001</v>
      </c>
      <c r="D3" s="2">
        <v>1795688.8780800002</v>
      </c>
      <c r="E3" s="2">
        <v>1783764.37482</v>
      </c>
      <c r="L3" s="161">
        <v>5161736.96</v>
      </c>
      <c r="M3" s="2">
        <v>930729.03</v>
      </c>
      <c r="N3" s="2">
        <v>722132.57</v>
      </c>
      <c r="O3" s="2">
        <v>1029666.98</v>
      </c>
      <c r="U3" s="161">
        <v>1250974.7073700002</v>
      </c>
      <c r="V3" s="2">
        <v>82631.648610000004</v>
      </c>
      <c r="W3" s="2">
        <v>32718.908760000002</v>
      </c>
      <c r="AB3" s="161">
        <f t="shared" si="0"/>
        <v>12843103.405200001</v>
      </c>
      <c r="AC3" s="6">
        <f t="shared" si="1"/>
        <v>8071747.1752000004</v>
      </c>
      <c r="AD3" s="165">
        <f t="shared" si="2"/>
        <v>4771356.2300000004</v>
      </c>
      <c r="AE3">
        <f t="shared" si="3"/>
        <v>3</v>
      </c>
    </row>
    <row r="4" spans="1:31">
      <c r="A4" s="38">
        <v>44074</v>
      </c>
      <c r="B4" s="2">
        <v>7260919.2365900008</v>
      </c>
      <c r="C4" s="2">
        <v>1913578.5939000002</v>
      </c>
      <c r="D4" s="2">
        <v>1988481.0403199999</v>
      </c>
      <c r="E4" s="2">
        <v>2043807.3323699995</v>
      </c>
      <c r="L4" s="161">
        <v>6401093.78431</v>
      </c>
      <c r="M4" s="2">
        <v>1161697.9690500002</v>
      </c>
      <c r="N4" s="2">
        <v>866569.20181000012</v>
      </c>
      <c r="O4" s="2">
        <v>1306140.9534499997</v>
      </c>
      <c r="U4" s="161">
        <v>640961.43854</v>
      </c>
      <c r="V4" s="2">
        <v>42588.345600000001</v>
      </c>
      <c r="W4" s="2">
        <v>16440.152940000004</v>
      </c>
      <c r="AB4" s="161">
        <f t="shared" si="0"/>
        <v>14302974.45944</v>
      </c>
      <c r="AC4" s="6">
        <f t="shared" si="1"/>
        <v>9339303.5894399993</v>
      </c>
      <c r="AD4" s="165">
        <f t="shared" si="2"/>
        <v>4963670.870000001</v>
      </c>
      <c r="AE4">
        <f t="shared" si="3"/>
        <v>3</v>
      </c>
    </row>
    <row r="5" spans="1:31">
      <c r="A5" s="38">
        <v>44104</v>
      </c>
      <c r="B5" s="2">
        <v>7331031.5700000003</v>
      </c>
      <c r="C5" s="2">
        <v>1924541.04</v>
      </c>
      <c r="D5" s="2">
        <v>2036376.55</v>
      </c>
      <c r="E5" s="2">
        <v>2030019.55</v>
      </c>
      <c r="L5" s="161">
        <v>7026846.9100000011</v>
      </c>
      <c r="M5" s="2">
        <v>1256263.1100000001</v>
      </c>
      <c r="N5" s="2">
        <v>973394.07</v>
      </c>
      <c r="O5" s="2">
        <v>1392519.78</v>
      </c>
      <c r="U5" s="161">
        <v>926236.68</v>
      </c>
      <c r="V5" s="2">
        <v>60172.49</v>
      </c>
      <c r="W5" s="2">
        <v>23853.49</v>
      </c>
      <c r="AB5" s="161">
        <f t="shared" si="0"/>
        <v>15284115.16</v>
      </c>
      <c r="AC5" s="6">
        <f t="shared" si="1"/>
        <v>9697140.0800000001</v>
      </c>
      <c r="AD5" s="165">
        <f t="shared" si="2"/>
        <v>5586975.0800000001</v>
      </c>
      <c r="AE5">
        <f t="shared" si="3"/>
        <v>3</v>
      </c>
    </row>
    <row r="6" spans="1:31">
      <c r="A6" s="38">
        <v>44135</v>
      </c>
      <c r="B6" s="2">
        <v>7304706.6099999994</v>
      </c>
      <c r="C6" s="2">
        <v>1885078.84</v>
      </c>
      <c r="D6" s="2">
        <v>2063724.58</v>
      </c>
      <c r="E6" s="2">
        <v>1966066.97</v>
      </c>
      <c r="L6" s="161">
        <v>7138324.2800000012</v>
      </c>
      <c r="M6" s="2">
        <v>1240070.6599999999</v>
      </c>
      <c r="N6" s="2">
        <v>988286.21</v>
      </c>
      <c r="O6" s="2">
        <v>1386732.28</v>
      </c>
      <c r="U6" s="161">
        <v>1366741.2299999997</v>
      </c>
      <c r="V6" s="2">
        <v>84400.66</v>
      </c>
      <c r="W6" s="2">
        <v>34307.53</v>
      </c>
      <c r="AB6" s="161">
        <f t="shared" si="0"/>
        <v>15809772.120000001</v>
      </c>
      <c r="AC6" s="6">
        <f t="shared" si="1"/>
        <v>9648667.7299999986</v>
      </c>
      <c r="AD6" s="165">
        <f t="shared" si="2"/>
        <v>6161104.3900000025</v>
      </c>
      <c r="AE6">
        <f t="shared" si="3"/>
        <v>3</v>
      </c>
    </row>
    <row r="7" spans="1:31">
      <c r="A7" s="38">
        <v>44165</v>
      </c>
      <c r="B7" s="2">
        <v>7204151.5700000012</v>
      </c>
      <c r="C7" s="2">
        <v>1893515.84</v>
      </c>
      <c r="D7" s="2">
        <v>1935551.44</v>
      </c>
      <c r="E7" s="2">
        <v>2047175.62</v>
      </c>
      <c r="L7" s="161">
        <v>7805988.8622000003</v>
      </c>
      <c r="M7" s="2">
        <v>1335349.8960000002</v>
      </c>
      <c r="N7" s="2">
        <v>1030266.4931999999</v>
      </c>
      <c r="O7" s="2">
        <v>1488754.183</v>
      </c>
      <c r="U7" s="161">
        <v>1418227.68</v>
      </c>
      <c r="V7" s="2">
        <v>90335.44</v>
      </c>
      <c r="W7" s="2">
        <v>35986.19</v>
      </c>
      <c r="AB7" s="161">
        <f t="shared" si="0"/>
        <v>16428368.112200001</v>
      </c>
      <c r="AC7" s="6">
        <f t="shared" si="1"/>
        <v>9856935.1021999996</v>
      </c>
      <c r="AD7" s="165">
        <f t="shared" si="2"/>
        <v>6571433.0100000016</v>
      </c>
      <c r="AE7">
        <f t="shared" si="3"/>
        <v>3</v>
      </c>
    </row>
    <row r="8" spans="1:31">
      <c r="A8" s="38">
        <v>44196</v>
      </c>
      <c r="B8" s="2">
        <v>8544130.6400000006</v>
      </c>
      <c r="C8" s="2">
        <v>2206942.6</v>
      </c>
      <c r="D8" s="2">
        <v>2336271.69</v>
      </c>
      <c r="E8" s="2">
        <v>2362829.12</v>
      </c>
      <c r="L8" s="161">
        <v>8614549.3300000001</v>
      </c>
      <c r="M8" s="2">
        <v>1534414.63</v>
      </c>
      <c r="N8" s="2">
        <v>1189503.2</v>
      </c>
      <c r="O8" s="2">
        <v>1726295.18</v>
      </c>
      <c r="U8" s="161">
        <v>1344354.62</v>
      </c>
      <c r="V8" s="2">
        <v>86831.25</v>
      </c>
      <c r="W8" s="2">
        <v>34332.83</v>
      </c>
      <c r="AB8" s="161">
        <f t="shared" si="0"/>
        <v>18503034.59</v>
      </c>
      <c r="AC8" s="6">
        <f t="shared" si="1"/>
        <v>11477420.499999998</v>
      </c>
      <c r="AD8" s="165">
        <f t="shared" si="2"/>
        <v>7025614.0900000017</v>
      </c>
      <c r="AE8">
        <f t="shared" si="3"/>
        <v>3</v>
      </c>
    </row>
    <row r="9" spans="1:31">
      <c r="A9" s="38">
        <v>44227</v>
      </c>
      <c r="B9" s="2">
        <v>8619100.9800000004</v>
      </c>
      <c r="C9" s="2">
        <v>2246121.91</v>
      </c>
      <c r="D9" s="6">
        <v>2410294.48</v>
      </c>
      <c r="E9" s="6">
        <v>2412384.5499999998</v>
      </c>
      <c r="F9" s="6"/>
      <c r="G9" s="6"/>
      <c r="H9" s="6"/>
      <c r="I9" s="6"/>
      <c r="J9" s="6"/>
      <c r="K9" s="6"/>
      <c r="L9" s="161">
        <v>8111499.5800000001</v>
      </c>
      <c r="M9" s="6">
        <v>1425043.12</v>
      </c>
      <c r="N9" s="6">
        <v>1126825.1399999999</v>
      </c>
      <c r="O9" s="6">
        <v>1615473.03</v>
      </c>
      <c r="P9" s="6"/>
      <c r="Q9" s="6"/>
      <c r="R9" s="6"/>
      <c r="S9" s="6"/>
      <c r="T9" s="6"/>
      <c r="U9" s="161">
        <v>1584122.6399999997</v>
      </c>
      <c r="V9" s="6">
        <v>100688.21</v>
      </c>
      <c r="W9" s="2">
        <v>40032.199999999997</v>
      </c>
      <c r="AB9" s="161">
        <f t="shared" si="0"/>
        <v>18314723.199999999</v>
      </c>
      <c r="AC9" s="6">
        <f t="shared" si="1"/>
        <v>11376862.640000001</v>
      </c>
      <c r="AD9" s="165">
        <f t="shared" si="2"/>
        <v>6937860.5599999987</v>
      </c>
      <c r="AE9">
        <f t="shared" si="3"/>
        <v>3</v>
      </c>
    </row>
    <row r="10" spans="1:31">
      <c r="A10" s="38">
        <v>44255</v>
      </c>
      <c r="B10" s="2">
        <v>9141695.2200000007</v>
      </c>
      <c r="C10" s="2">
        <v>1353591.72</v>
      </c>
      <c r="D10" s="2">
        <v>989603.13</v>
      </c>
      <c r="E10" s="6">
        <v>2713415.9</v>
      </c>
      <c r="F10" s="6"/>
      <c r="G10" s="6"/>
      <c r="H10" s="6"/>
      <c r="I10" s="6"/>
      <c r="J10" s="6"/>
      <c r="K10" s="6"/>
      <c r="L10" s="161">
        <v>8473254.6600000001</v>
      </c>
      <c r="M10" s="2">
        <v>1026227.86</v>
      </c>
      <c r="N10" s="2">
        <v>617619.86</v>
      </c>
      <c r="O10" s="2">
        <v>2037470.74</v>
      </c>
      <c r="U10" s="161">
        <v>1510702.8900000001</v>
      </c>
      <c r="V10" s="2">
        <v>65514.62</v>
      </c>
      <c r="W10" s="2">
        <v>14651.07</v>
      </c>
      <c r="X10" s="2">
        <v>58602.48</v>
      </c>
      <c r="AB10" s="161">
        <f t="shared" si="0"/>
        <v>19125652.770000003</v>
      </c>
      <c r="AC10" s="6">
        <f>C10+D10+E10+M10+N10+O10+V10+W10+X10</f>
        <v>8876697.3800000008</v>
      </c>
      <c r="AD10" s="165">
        <f t="shared" si="2"/>
        <v>10248955.390000002</v>
      </c>
      <c r="AE10">
        <f t="shared" si="3"/>
        <v>3</v>
      </c>
    </row>
    <row r="11" spans="1:31">
      <c r="A11" s="38">
        <v>44286</v>
      </c>
      <c r="B11" s="2">
        <v>10276971.59</v>
      </c>
      <c r="C11" s="2">
        <v>1539766.04</v>
      </c>
      <c r="D11" s="2">
        <v>1120731.1299999999</v>
      </c>
      <c r="E11" s="6">
        <v>3065599.74</v>
      </c>
      <c r="F11" s="6">
        <v>1656309.74</v>
      </c>
      <c r="G11" s="6"/>
      <c r="H11" s="6"/>
      <c r="I11" s="6"/>
      <c r="J11" s="6"/>
      <c r="K11" s="6"/>
      <c r="L11" s="161">
        <v>8696344.1899999976</v>
      </c>
      <c r="M11" s="2">
        <v>1060929.8999999999</v>
      </c>
      <c r="N11" s="2">
        <v>623642.75</v>
      </c>
      <c r="O11" s="2">
        <v>2080365.47</v>
      </c>
      <c r="P11" s="2">
        <v>522477.8</v>
      </c>
      <c r="U11" s="161">
        <v>1203612.8499999996</v>
      </c>
      <c r="V11" s="2">
        <v>55159.95</v>
      </c>
      <c r="W11" s="2">
        <v>12105.49</v>
      </c>
      <c r="X11" s="2">
        <v>48266.96</v>
      </c>
      <c r="AB11" s="161">
        <f t="shared" si="0"/>
        <v>20176928.629999995</v>
      </c>
      <c r="AC11" s="6">
        <f>C11+D11+E11+F11+M11+N11+O11+P11+V11+W11+X11</f>
        <v>11785354.970000003</v>
      </c>
      <c r="AD11" s="165">
        <f t="shared" si="2"/>
        <v>8391573.6599999927</v>
      </c>
      <c r="AE11">
        <f t="shared" si="3"/>
        <v>3</v>
      </c>
    </row>
    <row r="12" spans="1:31">
      <c r="A12" s="38">
        <v>44316</v>
      </c>
      <c r="B12" s="2">
        <v>11040921.644900002</v>
      </c>
      <c r="C12" s="2">
        <v>1654404.2025000001</v>
      </c>
      <c r="D12" s="2">
        <v>1212905.2650000001</v>
      </c>
      <c r="E12" s="6">
        <v>3314103.0173999998</v>
      </c>
      <c r="F12" s="6">
        <v>1757284.94</v>
      </c>
      <c r="G12" s="6"/>
      <c r="H12" s="6"/>
      <c r="I12" s="6"/>
      <c r="J12" s="6"/>
      <c r="K12" s="6"/>
      <c r="L12" s="161">
        <v>9373686.4568000007</v>
      </c>
      <c r="M12" s="2">
        <v>1121181.6624</v>
      </c>
      <c r="N12" s="2">
        <v>677462.20739999996</v>
      </c>
      <c r="O12" s="2">
        <v>2222109.0044999998</v>
      </c>
      <c r="P12" s="2">
        <v>556752.59250000003</v>
      </c>
      <c r="U12" s="161">
        <v>1323153.716</v>
      </c>
      <c r="V12" s="2">
        <v>59129.874299999996</v>
      </c>
      <c r="W12" s="2">
        <v>13165.305999999999</v>
      </c>
      <c r="X12" s="2">
        <v>52653.755699999994</v>
      </c>
      <c r="AB12" s="161">
        <f t="shared" si="0"/>
        <v>21737761.817699999</v>
      </c>
      <c r="AC12" s="6">
        <f>C12+D12+E12+F12+M12+N12+O12+P12+V12+W12+X12</f>
        <v>12641151.827699997</v>
      </c>
      <c r="AD12" s="165">
        <f t="shared" si="2"/>
        <v>9096609.9900000021</v>
      </c>
      <c r="AE12">
        <f t="shared" si="3"/>
        <v>3</v>
      </c>
    </row>
    <row r="13" spans="1:31">
      <c r="A13" s="38">
        <v>44347</v>
      </c>
      <c r="B13" s="2">
        <v>10124497.1435</v>
      </c>
      <c r="C13" s="2">
        <v>1825297.378</v>
      </c>
      <c r="D13" s="2">
        <v>1113878.493</v>
      </c>
      <c r="E13" s="6">
        <v>3044178.4767000005</v>
      </c>
      <c r="F13" s="6">
        <v>1614484.6858000001</v>
      </c>
      <c r="G13" s="6"/>
      <c r="H13" s="6"/>
      <c r="I13" s="6"/>
      <c r="J13" s="6"/>
      <c r="K13" s="6"/>
      <c r="L13" s="161">
        <v>10519326.119399998</v>
      </c>
      <c r="M13" s="2">
        <v>1263361.412</v>
      </c>
      <c r="N13" s="2">
        <v>762523.66979999992</v>
      </c>
      <c r="O13" s="2">
        <v>2501914.4068</v>
      </c>
      <c r="P13" s="2">
        <v>628870.99080000003</v>
      </c>
      <c r="U13" s="161">
        <v>1331510.5014999998</v>
      </c>
      <c r="V13" s="2">
        <v>59864.573999999993</v>
      </c>
      <c r="W13" s="2">
        <v>13108.850999999999</v>
      </c>
      <c r="X13" s="2">
        <v>53235.906500000005</v>
      </c>
      <c r="AB13" s="161">
        <f t="shared" si="0"/>
        <v>21975333.764399998</v>
      </c>
      <c r="AC13" s="6">
        <f>C13+D13+E13+F13+M13+N13+O13+P13+V13+W13+X13</f>
        <v>12880718.844400002</v>
      </c>
      <c r="AD13" s="165">
        <f t="shared" si="2"/>
        <v>9094614.9199999962</v>
      </c>
      <c r="AE13">
        <f t="shared" si="3"/>
        <v>3</v>
      </c>
    </row>
    <row r="14" spans="1:31">
      <c r="A14" s="38">
        <v>44377</v>
      </c>
      <c r="B14" s="2">
        <v>10400681.74</v>
      </c>
      <c r="C14" s="2">
        <v>1893872.48</v>
      </c>
      <c r="D14" s="2">
        <v>1125890.58</v>
      </c>
      <c r="E14" s="6">
        <v>3096158.24</v>
      </c>
      <c r="F14" s="6">
        <v>1647734.57</v>
      </c>
      <c r="G14" s="6"/>
      <c r="H14" s="6"/>
      <c r="I14" s="6"/>
      <c r="J14" s="6"/>
      <c r="K14" s="6"/>
      <c r="L14" s="161">
        <v>10798985.739999998</v>
      </c>
      <c r="M14" s="2">
        <v>1311288.67</v>
      </c>
      <c r="N14" s="2">
        <v>782327.21</v>
      </c>
      <c r="O14" s="2">
        <v>2565592.9500000002</v>
      </c>
      <c r="P14" s="2">
        <v>655967.30000000005</v>
      </c>
      <c r="U14" s="161">
        <v>1360338.78</v>
      </c>
      <c r="V14" s="2">
        <v>61794.85</v>
      </c>
      <c r="W14" s="2">
        <v>13131.39</v>
      </c>
      <c r="X14" s="2">
        <v>54145.03</v>
      </c>
      <c r="AB14" s="161">
        <f t="shared" ref="AB14:AB20" si="4">B14+L14+U14</f>
        <v>22560006.259999998</v>
      </c>
      <c r="AC14" s="6">
        <f>C14+D14+E14+F14+M14+N14+O14+P14+V14+W14+X14</f>
        <v>13207903.27</v>
      </c>
      <c r="AD14" s="165">
        <f t="shared" ref="AD14:AD19" si="5">AB14-AC14</f>
        <v>9352102.9899999984</v>
      </c>
      <c r="AE14">
        <f t="shared" ref="AE14:AE19" si="6">COUNT(B14,L14,U14)</f>
        <v>3</v>
      </c>
    </row>
    <row r="15" spans="1:31">
      <c r="A15" s="38">
        <v>44408</v>
      </c>
      <c r="B15" s="2">
        <v>11061989.500000002</v>
      </c>
      <c r="C15" s="2">
        <v>1993064.48</v>
      </c>
      <c r="D15" s="2">
        <v>675341.23</v>
      </c>
      <c r="E15" s="6">
        <v>3304396.9</v>
      </c>
      <c r="F15" s="6">
        <v>2335345.52</v>
      </c>
      <c r="G15" s="6"/>
      <c r="H15" s="6"/>
      <c r="I15" s="6"/>
      <c r="J15" s="6"/>
      <c r="K15" s="6"/>
      <c r="L15" s="161">
        <v>10745080.890000002</v>
      </c>
      <c r="M15" s="2">
        <v>1294525.96</v>
      </c>
      <c r="N15" s="2">
        <v>433960.01</v>
      </c>
      <c r="O15" s="2">
        <v>2444869.42</v>
      </c>
      <c r="P15" s="2">
        <v>997235.38</v>
      </c>
      <c r="U15" s="161">
        <v>1282966.3299999998</v>
      </c>
      <c r="V15" s="2">
        <v>58114.32</v>
      </c>
      <c r="W15" s="2">
        <v>0</v>
      </c>
      <c r="X15" s="2">
        <v>51333.919999999998</v>
      </c>
      <c r="Y15" s="2">
        <v>12742.41</v>
      </c>
      <c r="AB15" s="161">
        <f t="shared" si="4"/>
        <v>23090036.720000003</v>
      </c>
      <c r="AC15" s="6">
        <f t="shared" ref="AC15:AC20" si="7">C15+D15+E15+F15+M15+N15+O15+P15+V15+W15+X15+Y15</f>
        <v>13600929.550000001</v>
      </c>
      <c r="AD15" s="165">
        <f t="shared" si="5"/>
        <v>9489107.1700000018</v>
      </c>
      <c r="AE15">
        <f t="shared" si="6"/>
        <v>3</v>
      </c>
    </row>
    <row r="16" spans="1:31">
      <c r="A16" s="38">
        <v>44439</v>
      </c>
      <c r="B16" s="2">
        <v>10960830.018259998</v>
      </c>
      <c r="C16" s="2">
        <v>1969949.0285200002</v>
      </c>
      <c r="D16" s="2">
        <v>659773.56555000006</v>
      </c>
      <c r="E16" s="6">
        <v>3286721.5682699997</v>
      </c>
      <c r="F16" s="6">
        <v>2304649.10592</v>
      </c>
      <c r="G16" s="6"/>
      <c r="H16" s="6"/>
      <c r="I16" s="6"/>
      <c r="J16" s="6"/>
      <c r="K16" s="6"/>
      <c r="L16" s="161">
        <v>10826796.950000001</v>
      </c>
      <c r="M16" s="2">
        <v>1311872.3700000001</v>
      </c>
      <c r="N16" s="2">
        <v>436894.65</v>
      </c>
      <c r="O16" s="2">
        <v>2459759.1800000002</v>
      </c>
      <c r="P16" s="2">
        <v>1022574.49</v>
      </c>
      <c r="U16" s="161">
        <v>1408210.94</v>
      </c>
      <c r="V16" s="2">
        <v>64708.25</v>
      </c>
      <c r="W16" s="2">
        <v>0</v>
      </c>
      <c r="X16" s="2">
        <v>56913.15</v>
      </c>
      <c r="Y16" s="2">
        <v>14581.07</v>
      </c>
      <c r="AB16" s="161">
        <f t="shared" si="4"/>
        <v>23195837.908259999</v>
      </c>
      <c r="AC16" s="6">
        <f t="shared" si="7"/>
        <v>13588396.42826</v>
      </c>
      <c r="AD16" s="165">
        <f t="shared" si="5"/>
        <v>9607441.4799999986</v>
      </c>
      <c r="AE16">
        <f t="shared" si="6"/>
        <v>3</v>
      </c>
    </row>
    <row r="17" spans="1:31">
      <c r="A17" s="38">
        <v>44469</v>
      </c>
      <c r="B17" s="2">
        <v>11087049.659999998</v>
      </c>
      <c r="C17" s="2">
        <v>1970257.03</v>
      </c>
      <c r="D17" s="2">
        <v>671477.41</v>
      </c>
      <c r="E17" s="6">
        <v>3313336.01</v>
      </c>
      <c r="F17" s="6">
        <v>2380178.4300000002</v>
      </c>
      <c r="G17" s="6"/>
      <c r="H17" s="6"/>
      <c r="I17" s="6"/>
      <c r="J17" s="6"/>
      <c r="K17" s="6"/>
      <c r="L17" s="161">
        <v>10626488.589999998</v>
      </c>
      <c r="M17" s="2">
        <v>1261188.95</v>
      </c>
      <c r="N17" s="2">
        <v>431235.67</v>
      </c>
      <c r="O17" s="2">
        <v>2411288.9</v>
      </c>
      <c r="P17" s="2">
        <v>1005570.94</v>
      </c>
      <c r="U17" s="161">
        <v>1311339.2699999996</v>
      </c>
      <c r="V17" s="2">
        <v>57310.02</v>
      </c>
      <c r="W17" s="2">
        <v>0</v>
      </c>
      <c r="X17" s="2">
        <v>51654.5</v>
      </c>
      <c r="Y17" s="2">
        <v>13226.85</v>
      </c>
      <c r="AB17" s="161">
        <f t="shared" si="4"/>
        <v>23024877.519999996</v>
      </c>
      <c r="AC17" s="6">
        <f t="shared" si="7"/>
        <v>13566724.709999997</v>
      </c>
      <c r="AD17" s="165">
        <f t="shared" si="5"/>
        <v>9458152.8099999987</v>
      </c>
      <c r="AE17">
        <f t="shared" si="6"/>
        <v>3</v>
      </c>
    </row>
    <row r="18" spans="1:31">
      <c r="A18" s="38">
        <v>44500</v>
      </c>
      <c r="B18" s="2">
        <v>12180600.879999999</v>
      </c>
      <c r="C18" s="2">
        <v>2208110.4300000002</v>
      </c>
      <c r="D18" s="2">
        <v>728146.89</v>
      </c>
      <c r="E18" s="6">
        <v>3669031.08</v>
      </c>
      <c r="F18" s="6">
        <v>2534512.9900000002</v>
      </c>
      <c r="G18" s="6"/>
      <c r="H18" s="6"/>
      <c r="I18" s="6"/>
      <c r="J18" s="6"/>
      <c r="K18" s="6"/>
      <c r="L18" s="161">
        <v>11307250.23</v>
      </c>
      <c r="M18" s="2">
        <v>1364183.25</v>
      </c>
      <c r="N18" s="2">
        <v>449535.42</v>
      </c>
      <c r="O18" s="2">
        <v>2576950.23</v>
      </c>
      <c r="P18" s="2">
        <v>1033323.62</v>
      </c>
      <c r="U18" s="161">
        <v>1344280.67</v>
      </c>
      <c r="V18" s="2">
        <v>62455.91</v>
      </c>
      <c r="W18" s="2">
        <v>0</v>
      </c>
      <c r="X18" s="2">
        <v>54423.79</v>
      </c>
      <c r="Y18" s="2">
        <v>13627.67</v>
      </c>
      <c r="AB18" s="161">
        <f t="shared" si="4"/>
        <v>24832131.780000001</v>
      </c>
      <c r="AC18" s="6">
        <f t="shared" si="7"/>
        <v>14694301.279999999</v>
      </c>
      <c r="AD18" s="165">
        <f t="shared" si="5"/>
        <v>10137830.500000002</v>
      </c>
      <c r="AE18">
        <f t="shared" si="6"/>
        <v>3</v>
      </c>
    </row>
    <row r="19" spans="1:31">
      <c r="A19" s="38">
        <v>44530</v>
      </c>
      <c r="B19" s="2">
        <v>11478436.93</v>
      </c>
      <c r="C19" s="2">
        <v>2125484.54</v>
      </c>
      <c r="D19" s="2">
        <v>704409.88</v>
      </c>
      <c r="E19" s="6">
        <v>3553492.47</v>
      </c>
      <c r="F19" s="2">
        <v>2448169.19</v>
      </c>
      <c r="L19" s="161">
        <v>11377836.9</v>
      </c>
      <c r="M19" s="2">
        <v>1432655.22</v>
      </c>
      <c r="N19" s="2">
        <v>475071.64</v>
      </c>
      <c r="O19" s="2">
        <v>2723871.78</v>
      </c>
      <c r="P19" s="2">
        <v>1090552.67</v>
      </c>
      <c r="U19" s="161">
        <v>1345512.6900000002</v>
      </c>
      <c r="V19" s="2">
        <v>58520.18</v>
      </c>
      <c r="W19" s="2">
        <v>0</v>
      </c>
      <c r="X19" s="2">
        <v>52082.54</v>
      </c>
      <c r="Y19" s="2">
        <v>13026.45</v>
      </c>
      <c r="AB19" s="161">
        <f t="shared" si="4"/>
        <v>24201786.52</v>
      </c>
      <c r="AC19" s="6">
        <f t="shared" si="7"/>
        <v>14677336.559999999</v>
      </c>
      <c r="AD19" s="165">
        <f t="shared" si="5"/>
        <v>9524449.9600000009</v>
      </c>
      <c r="AE19">
        <f t="shared" si="6"/>
        <v>3</v>
      </c>
    </row>
    <row r="20" spans="1:31">
      <c r="A20" s="38">
        <v>44561</v>
      </c>
      <c r="B20" s="2">
        <v>13159973.380000001</v>
      </c>
      <c r="C20" s="2">
        <v>2402335.1</v>
      </c>
      <c r="D20" s="2">
        <v>804201.74</v>
      </c>
      <c r="E20" s="6">
        <v>3995142.24</v>
      </c>
      <c r="F20" s="6">
        <v>2811758.62</v>
      </c>
      <c r="G20" s="6"/>
      <c r="H20" s="6"/>
      <c r="I20" s="6"/>
      <c r="J20" s="6"/>
      <c r="K20" s="6"/>
      <c r="L20" s="161">
        <v>12634563.620000001</v>
      </c>
      <c r="M20" s="2">
        <v>1531414.19</v>
      </c>
      <c r="N20" s="2">
        <v>517972.09</v>
      </c>
      <c r="O20" s="2">
        <v>2893751.37</v>
      </c>
      <c r="P20" s="2">
        <v>1202690.7</v>
      </c>
      <c r="U20" s="161">
        <v>13237.54</v>
      </c>
      <c r="V20" s="2">
        <v>0</v>
      </c>
      <c r="W20" s="2">
        <v>0</v>
      </c>
      <c r="X20" s="2">
        <v>0</v>
      </c>
      <c r="Y20" s="2">
        <v>0</v>
      </c>
      <c r="AB20" s="161">
        <f t="shared" si="4"/>
        <v>25807774.539999999</v>
      </c>
      <c r="AC20" s="6">
        <f t="shared" si="7"/>
        <v>16159266.049999997</v>
      </c>
      <c r="AD20" s="165">
        <f>AB20-AC20</f>
        <v>9648508.4900000021</v>
      </c>
      <c r="AE20">
        <f>COUNT(B20,L20,U20)</f>
        <v>3</v>
      </c>
    </row>
    <row r="21" spans="1:31">
      <c r="A21" s="38">
        <v>44592</v>
      </c>
      <c r="B21" s="2">
        <v>13344166.120000001</v>
      </c>
      <c r="C21" s="2">
        <v>2379704.56</v>
      </c>
      <c r="D21" s="2">
        <v>780220.14</v>
      </c>
      <c r="E21" s="6">
        <v>3990217.02</v>
      </c>
      <c r="F21" s="6">
        <v>2789655.53</v>
      </c>
      <c r="G21" s="6"/>
      <c r="H21" s="6"/>
      <c r="I21" s="6"/>
      <c r="J21" s="6"/>
      <c r="K21" s="6"/>
      <c r="L21" s="161">
        <v>12153945.549999999</v>
      </c>
      <c r="M21" s="2">
        <v>1464276.01</v>
      </c>
      <c r="N21" s="2">
        <v>482683.47</v>
      </c>
      <c r="O21" s="2">
        <v>2791437.78</v>
      </c>
      <c r="P21" s="2">
        <v>1133521.82</v>
      </c>
      <c r="U21" s="161">
        <v>10770.46</v>
      </c>
      <c r="V21" s="2">
        <v>0</v>
      </c>
      <c r="W21" s="2">
        <v>0</v>
      </c>
      <c r="X21" s="2">
        <v>0</v>
      </c>
      <c r="Y21" s="2">
        <v>0</v>
      </c>
      <c r="AB21" s="161">
        <f t="shared" ref="AB21:AB26" si="8">B21+L21+U21</f>
        <v>25508882.130000003</v>
      </c>
      <c r="AC21" s="6">
        <f t="shared" ref="AC21:AC26" si="9">C21+D21+E21+F21+M21+N21+O21+P21+V21+W21+X21+Y21</f>
        <v>15811716.33</v>
      </c>
      <c r="AD21" s="165">
        <f t="shared" ref="AD21:AD28" si="10">AB21-AC21</f>
        <v>9697165.8000000026</v>
      </c>
      <c r="AE21">
        <v>3</v>
      </c>
    </row>
    <row r="22" spans="1:31">
      <c r="A22" s="38">
        <v>44620</v>
      </c>
      <c r="B22" s="2">
        <v>13418855.76</v>
      </c>
      <c r="C22" s="2">
        <v>2329001.11</v>
      </c>
      <c r="D22" s="2">
        <v>797625.65</v>
      </c>
      <c r="E22" s="6">
        <v>3915980.84</v>
      </c>
      <c r="F22" s="6">
        <v>2833012.68</v>
      </c>
      <c r="G22" s="6"/>
      <c r="H22" s="6"/>
      <c r="I22" s="6"/>
      <c r="J22" s="6"/>
      <c r="K22" s="6"/>
      <c r="L22" s="161">
        <v>11776684.580000002</v>
      </c>
      <c r="M22" s="2">
        <v>1368688.46</v>
      </c>
      <c r="N22" s="2">
        <v>468351.65</v>
      </c>
      <c r="O22" s="2">
        <v>2616611.9700000002</v>
      </c>
      <c r="P22" s="2">
        <v>1098964.5900000001</v>
      </c>
      <c r="U22" s="161">
        <v>9967.7199999999993</v>
      </c>
      <c r="V22" s="2">
        <v>0</v>
      </c>
      <c r="W22" s="2">
        <v>0</v>
      </c>
      <c r="X22" s="2">
        <v>0</v>
      </c>
      <c r="Y22" s="2">
        <v>0</v>
      </c>
      <c r="AB22" s="161">
        <f t="shared" si="8"/>
        <v>25205508.060000002</v>
      </c>
      <c r="AC22" s="6">
        <f t="shared" si="9"/>
        <v>15428236.949999999</v>
      </c>
      <c r="AD22" s="165">
        <f t="shared" si="10"/>
        <v>9777271.1100000031</v>
      </c>
      <c r="AE22">
        <v>3</v>
      </c>
    </row>
    <row r="23" spans="1:31">
      <c r="A23" s="38">
        <v>44651</v>
      </c>
      <c r="B23" s="2">
        <v>15491036.920000002</v>
      </c>
      <c r="C23" s="2">
        <v>2793083.44</v>
      </c>
      <c r="D23" s="2">
        <v>924767.19</v>
      </c>
      <c r="E23" s="6">
        <v>4624810.04</v>
      </c>
      <c r="F23" s="6">
        <v>3193182.45</v>
      </c>
      <c r="G23" s="6"/>
      <c r="H23" s="6"/>
      <c r="I23" s="6"/>
      <c r="J23" s="6"/>
      <c r="K23" s="6"/>
      <c r="L23" s="161">
        <v>12634389.91</v>
      </c>
      <c r="M23" s="2">
        <v>1567822.33</v>
      </c>
      <c r="N23" s="2">
        <v>507659.7</v>
      </c>
      <c r="O23" s="2">
        <v>2915679.38</v>
      </c>
      <c r="P23" s="2">
        <v>1160162.81</v>
      </c>
      <c r="U23" s="161">
        <v>9875.42</v>
      </c>
      <c r="V23" s="2">
        <v>0</v>
      </c>
      <c r="W23" s="2">
        <v>0</v>
      </c>
      <c r="X23" s="2">
        <v>0</v>
      </c>
      <c r="Y23" s="2">
        <v>0</v>
      </c>
      <c r="AB23" s="161">
        <f t="shared" si="8"/>
        <v>28135302.250000004</v>
      </c>
      <c r="AC23" s="6">
        <f t="shared" si="9"/>
        <v>17687167.34</v>
      </c>
      <c r="AD23" s="165">
        <f t="shared" si="10"/>
        <v>10448134.910000004</v>
      </c>
      <c r="AE23">
        <v>3</v>
      </c>
    </row>
    <row r="24" spans="1:31">
      <c r="A24" s="38">
        <v>44681</v>
      </c>
      <c r="B24" s="2">
        <v>13145977.879999999</v>
      </c>
      <c r="C24" s="2">
        <v>2363591.86</v>
      </c>
      <c r="D24" s="2">
        <v>785959.38</v>
      </c>
      <c r="E24" s="6">
        <v>3942227.94</v>
      </c>
      <c r="F24" s="6">
        <v>2782611.63</v>
      </c>
      <c r="G24" s="6"/>
      <c r="H24" s="6"/>
      <c r="I24" s="6"/>
      <c r="J24" s="6"/>
      <c r="K24" s="6"/>
      <c r="L24" s="161">
        <v>12451107.290000003</v>
      </c>
      <c r="M24" s="2">
        <v>1489943.47</v>
      </c>
      <c r="N24" s="2">
        <v>498461.72</v>
      </c>
      <c r="O24" s="2">
        <v>2831739.29</v>
      </c>
      <c r="P24" s="2">
        <v>1160946.06</v>
      </c>
      <c r="U24" s="161">
        <v>6850.25</v>
      </c>
      <c r="V24" s="2">
        <v>0</v>
      </c>
      <c r="W24" s="2">
        <v>0</v>
      </c>
      <c r="X24" s="2">
        <v>0</v>
      </c>
      <c r="Y24" s="2">
        <v>0</v>
      </c>
      <c r="AB24" s="161">
        <f t="shared" si="8"/>
        <v>25603935.420000002</v>
      </c>
      <c r="AC24" s="6">
        <f t="shared" si="9"/>
        <v>15855481.35</v>
      </c>
      <c r="AD24" s="165">
        <f t="shared" si="10"/>
        <v>9748454.0700000022</v>
      </c>
      <c r="AE24">
        <v>3</v>
      </c>
    </row>
    <row r="25" spans="1:31">
      <c r="A25" s="38">
        <v>44712</v>
      </c>
      <c r="B25" s="2">
        <v>14102826.719999997</v>
      </c>
      <c r="C25" s="2">
        <v>2507634.4500000002</v>
      </c>
      <c r="D25" s="2">
        <v>839762.75</v>
      </c>
      <c r="E25" s="6">
        <v>4200250.38</v>
      </c>
      <c r="F25" s="6">
        <v>3018715.51</v>
      </c>
      <c r="G25" s="6"/>
      <c r="H25" s="6"/>
      <c r="I25" s="6"/>
      <c r="J25" s="6"/>
      <c r="K25" s="6"/>
      <c r="L25" s="161">
        <v>12913597.360000001</v>
      </c>
      <c r="M25" s="2">
        <v>1552895.36</v>
      </c>
      <c r="N25" s="2">
        <v>518478.03</v>
      </c>
      <c r="O25" s="2">
        <v>2959437.26</v>
      </c>
      <c r="P25" s="2">
        <v>1235562.27</v>
      </c>
      <c r="U25" s="161">
        <v>6843.86</v>
      </c>
      <c r="V25" s="2">
        <v>0</v>
      </c>
      <c r="W25" s="2">
        <v>0</v>
      </c>
      <c r="X25" s="2">
        <v>0</v>
      </c>
      <c r="Y25" s="2">
        <v>0</v>
      </c>
      <c r="AB25" s="161">
        <f t="shared" si="8"/>
        <v>27023267.939999998</v>
      </c>
      <c r="AC25" s="6">
        <f t="shared" si="9"/>
        <v>16832736.009999998</v>
      </c>
      <c r="AD25" s="165">
        <f t="shared" si="10"/>
        <v>10190531.93</v>
      </c>
      <c r="AE25">
        <v>3</v>
      </c>
    </row>
    <row r="26" spans="1:31">
      <c r="A26" s="38">
        <v>44742</v>
      </c>
      <c r="B26" s="2">
        <v>13459717.880000003</v>
      </c>
      <c r="C26" s="2">
        <v>2441852.27</v>
      </c>
      <c r="D26" s="2">
        <v>827936.23</v>
      </c>
      <c r="E26" s="6">
        <v>4036386.8</v>
      </c>
      <c r="F26" s="6">
        <v>2860744.7</v>
      </c>
      <c r="G26" s="6"/>
      <c r="H26" s="6"/>
      <c r="I26" s="6"/>
      <c r="J26" s="6"/>
      <c r="K26" s="6"/>
      <c r="L26" s="161">
        <v>13221559.639999999</v>
      </c>
      <c r="M26" s="2">
        <v>1582790.73</v>
      </c>
      <c r="N26" s="2">
        <v>536731.87</v>
      </c>
      <c r="O26" s="2">
        <v>2977229.41</v>
      </c>
      <c r="P26" s="2">
        <v>1226333.82</v>
      </c>
      <c r="U26" s="161">
        <v>0</v>
      </c>
      <c r="V26" s="2">
        <v>0</v>
      </c>
      <c r="W26" s="2">
        <v>0</v>
      </c>
      <c r="X26" s="2">
        <v>0</v>
      </c>
      <c r="Y26" s="2">
        <v>0</v>
      </c>
      <c r="AB26" s="161">
        <f t="shared" si="8"/>
        <v>26681277.520000003</v>
      </c>
      <c r="AC26" s="6">
        <f t="shared" si="9"/>
        <v>16490005.83</v>
      </c>
      <c r="AD26" s="165">
        <f t="shared" si="10"/>
        <v>10191271.690000003</v>
      </c>
      <c r="AE26">
        <v>2</v>
      </c>
    </row>
    <row r="27" spans="1:31">
      <c r="A27" s="38">
        <v>44773</v>
      </c>
      <c r="B27" s="2">
        <v>14767675.060000001</v>
      </c>
      <c r="C27" s="2">
        <v>2742185.89</v>
      </c>
      <c r="D27" s="2">
        <v>909333.47</v>
      </c>
      <c r="E27" s="6">
        <v>4569269.63</v>
      </c>
      <c r="F27" s="6">
        <v>3211882.18</v>
      </c>
      <c r="G27" s="6"/>
      <c r="H27" s="6"/>
      <c r="I27" s="6"/>
      <c r="J27" s="6"/>
      <c r="K27" s="6"/>
      <c r="L27" s="161">
        <v>14931988.540000001</v>
      </c>
      <c r="M27" s="2">
        <v>1824701.18</v>
      </c>
      <c r="N27" s="2">
        <v>602391.27</v>
      </c>
      <c r="O27" s="2">
        <v>3459367.3</v>
      </c>
      <c r="P27" s="2">
        <v>1424204.2</v>
      </c>
      <c r="U27" s="161">
        <v>0</v>
      </c>
      <c r="V27" s="2">
        <v>0</v>
      </c>
      <c r="W27" s="2">
        <v>0</v>
      </c>
      <c r="X27" s="2">
        <v>0</v>
      </c>
      <c r="Y27" s="2">
        <v>0</v>
      </c>
      <c r="AB27" s="161">
        <f>B27+L27+U27</f>
        <v>29699663.600000001</v>
      </c>
      <c r="AC27" s="6">
        <f t="shared" ref="AC27:AC32" si="11">C27+D27+E27+F27+M27+N27+O27+P27+V27+W27+X27+Y27</f>
        <v>18743335.119999997</v>
      </c>
      <c r="AD27" s="165">
        <f t="shared" si="10"/>
        <v>10956328.480000004</v>
      </c>
      <c r="AE27">
        <v>2</v>
      </c>
    </row>
    <row r="28" spans="1:31">
      <c r="A28" s="38">
        <v>44804</v>
      </c>
      <c r="B28" s="2">
        <v>12994591.12658</v>
      </c>
      <c r="C28" s="2">
        <v>2345237.7799999998</v>
      </c>
      <c r="D28" s="2">
        <v>777911.64</v>
      </c>
      <c r="E28" s="6">
        <v>3897027.17</v>
      </c>
      <c r="F28" s="6">
        <v>2705490.69</v>
      </c>
      <c r="G28" s="6"/>
      <c r="H28" s="6"/>
      <c r="I28" s="6"/>
      <c r="J28" s="6"/>
      <c r="K28" s="6"/>
      <c r="L28" s="161">
        <v>15491378.74542</v>
      </c>
      <c r="M28" s="2">
        <v>1805254.16</v>
      </c>
      <c r="N28" s="2">
        <v>598995.11</v>
      </c>
      <c r="O28" s="2">
        <v>3413463.28</v>
      </c>
      <c r="P28" s="2">
        <v>1386196.46</v>
      </c>
      <c r="U28" s="161">
        <v>0</v>
      </c>
      <c r="V28" s="2">
        <v>0</v>
      </c>
      <c r="W28" s="2">
        <v>0</v>
      </c>
      <c r="X28" s="2">
        <v>0</v>
      </c>
      <c r="Y28" s="2">
        <v>0</v>
      </c>
      <c r="AB28" s="161">
        <f t="shared" ref="AB28:AB35" si="12">B28+L28+U28</f>
        <v>28485969.872000001</v>
      </c>
      <c r="AC28" s="6">
        <f t="shared" si="11"/>
        <v>16929576.289999999</v>
      </c>
      <c r="AD28" s="165">
        <f t="shared" si="10"/>
        <v>11556393.582000002</v>
      </c>
      <c r="AE28">
        <v>2</v>
      </c>
    </row>
    <row r="29" spans="1:31">
      <c r="A29" s="38">
        <v>44834</v>
      </c>
      <c r="B29" s="2">
        <v>12042264.449999999</v>
      </c>
      <c r="C29" s="2">
        <v>2162611.42</v>
      </c>
      <c r="D29" s="2">
        <v>723430.24</v>
      </c>
      <c r="E29" s="6">
        <v>3592645.37</v>
      </c>
      <c r="F29" s="6">
        <v>2450095.7599999998</v>
      </c>
      <c r="G29" s="6"/>
      <c r="H29" s="6"/>
      <c r="I29" s="6"/>
      <c r="J29" s="6"/>
      <c r="K29" s="6"/>
      <c r="L29" s="161">
        <v>15189761.750000002</v>
      </c>
      <c r="M29" s="2">
        <v>1762628.07</v>
      </c>
      <c r="N29" s="2">
        <v>598970.28</v>
      </c>
      <c r="O29" s="2">
        <v>3372240.04</v>
      </c>
      <c r="P29" s="2">
        <v>1364220.15</v>
      </c>
      <c r="U29" s="161">
        <v>0</v>
      </c>
      <c r="V29" s="2">
        <v>0</v>
      </c>
      <c r="W29" s="2">
        <v>0</v>
      </c>
      <c r="X29" s="2">
        <v>0</v>
      </c>
      <c r="Y29" s="2">
        <v>0</v>
      </c>
      <c r="AB29" s="161">
        <f t="shared" si="12"/>
        <v>27232026.200000003</v>
      </c>
      <c r="AC29" s="6">
        <f t="shared" si="11"/>
        <v>16026841.33</v>
      </c>
      <c r="AD29" s="165">
        <f t="shared" ref="AD29:AD35" si="13">AB29-AC29</f>
        <v>11205184.870000003</v>
      </c>
      <c r="AE29">
        <v>2</v>
      </c>
    </row>
    <row r="30" spans="1:31">
      <c r="A30" s="38">
        <v>44865</v>
      </c>
      <c r="B30" s="2">
        <v>13258535.82</v>
      </c>
      <c r="C30" s="2">
        <v>2413817.7200000002</v>
      </c>
      <c r="D30" s="2">
        <v>797911.14</v>
      </c>
      <c r="E30" s="6">
        <v>3937638.01</v>
      </c>
      <c r="F30" s="6">
        <v>2783284.03</v>
      </c>
      <c r="G30" s="6"/>
      <c r="H30" s="6"/>
      <c r="I30" s="6"/>
      <c r="J30" s="6"/>
      <c r="K30" s="6"/>
      <c r="L30" s="161">
        <v>16244596.919999996</v>
      </c>
      <c r="M30" s="2">
        <v>2003324.07</v>
      </c>
      <c r="N30" s="2">
        <v>660637.39</v>
      </c>
      <c r="O30" s="2">
        <v>3717999.05</v>
      </c>
      <c r="P30" s="2">
        <v>1526301.63</v>
      </c>
      <c r="U30" s="161">
        <v>0</v>
      </c>
      <c r="V30" s="2">
        <v>0</v>
      </c>
      <c r="W30" s="2">
        <v>0</v>
      </c>
      <c r="X30" s="2">
        <v>0</v>
      </c>
      <c r="Y30" s="2">
        <v>0</v>
      </c>
      <c r="AB30" s="161">
        <f t="shared" si="12"/>
        <v>29503132.739999995</v>
      </c>
      <c r="AC30" s="6">
        <f t="shared" si="11"/>
        <v>17840913.039999999</v>
      </c>
      <c r="AD30" s="165">
        <f t="shared" si="13"/>
        <v>11662219.699999996</v>
      </c>
      <c r="AE30">
        <v>2</v>
      </c>
    </row>
    <row r="31" spans="1:31">
      <c r="A31" s="38">
        <v>44895</v>
      </c>
      <c r="B31" s="2">
        <v>13876593.93</v>
      </c>
      <c r="C31" s="2">
        <v>2531985.92</v>
      </c>
      <c r="D31" s="2">
        <v>822738.11</v>
      </c>
      <c r="E31" s="6">
        <v>4181178.39</v>
      </c>
      <c r="F31" s="6">
        <v>2868973.6</v>
      </c>
      <c r="G31" s="6"/>
      <c r="H31" s="6"/>
      <c r="I31" s="6"/>
      <c r="J31" s="6"/>
      <c r="K31" s="6"/>
      <c r="L31" s="161">
        <v>17219167.140000001</v>
      </c>
      <c r="M31" s="2">
        <v>2101396.59</v>
      </c>
      <c r="N31" s="2">
        <v>681193.09</v>
      </c>
      <c r="O31" s="2">
        <v>3947954.9</v>
      </c>
      <c r="P31" s="2">
        <v>1573292.21</v>
      </c>
      <c r="U31" s="161">
        <v>0</v>
      </c>
      <c r="V31" s="2">
        <v>0</v>
      </c>
      <c r="W31" s="2">
        <v>0</v>
      </c>
      <c r="X31" s="2">
        <v>0</v>
      </c>
      <c r="Y31" s="2">
        <v>0</v>
      </c>
      <c r="AB31" s="161">
        <f t="shared" si="12"/>
        <v>31095761.07</v>
      </c>
      <c r="AC31" s="6">
        <f t="shared" si="11"/>
        <v>18708712.809999999</v>
      </c>
      <c r="AD31" s="165">
        <f t="shared" si="13"/>
        <v>12387048.260000002</v>
      </c>
      <c r="AE31">
        <v>2</v>
      </c>
    </row>
    <row r="32" spans="1:31">
      <c r="A32" s="38">
        <v>44926</v>
      </c>
      <c r="B32" s="2">
        <v>13290036.379999999</v>
      </c>
      <c r="C32" s="2">
        <v>2430233.2799999998</v>
      </c>
      <c r="D32" s="2">
        <v>775366.07</v>
      </c>
      <c r="E32" s="6">
        <v>3968905.43</v>
      </c>
      <c r="F32" s="6">
        <v>2689971.36</v>
      </c>
      <c r="G32" s="6"/>
      <c r="H32" s="6"/>
      <c r="I32" s="6"/>
      <c r="J32" s="6"/>
      <c r="K32" s="6"/>
      <c r="L32" s="161">
        <v>17128175.07</v>
      </c>
      <c r="M32" s="2">
        <v>2016948</v>
      </c>
      <c r="N32" s="2">
        <v>666213.81999999995</v>
      </c>
      <c r="O32" s="2">
        <v>3794085.42</v>
      </c>
      <c r="P32" s="2">
        <v>1544028.62</v>
      </c>
      <c r="U32" s="161">
        <v>0</v>
      </c>
      <c r="V32" s="2">
        <v>0</v>
      </c>
      <c r="W32" s="2">
        <v>0</v>
      </c>
      <c r="X32" s="2">
        <v>0</v>
      </c>
      <c r="Y32" s="2">
        <v>0</v>
      </c>
      <c r="AB32" s="161">
        <f t="shared" si="12"/>
        <v>30418211.449999999</v>
      </c>
      <c r="AC32" s="6">
        <f t="shared" si="11"/>
        <v>17885752</v>
      </c>
      <c r="AD32" s="165">
        <f t="shared" si="13"/>
        <v>12532459.449999999</v>
      </c>
      <c r="AE32">
        <v>2</v>
      </c>
    </row>
    <row r="33" spans="1:31">
      <c r="A33" s="38">
        <v>44957</v>
      </c>
      <c r="B33" s="2">
        <v>14627252.479999999</v>
      </c>
      <c r="C33" s="2">
        <v>2621939.04</v>
      </c>
      <c r="D33" s="2">
        <v>880452.61</v>
      </c>
      <c r="E33" s="6">
        <v>4379871.5199999996</v>
      </c>
      <c r="F33" s="6">
        <v>3104722.31</v>
      </c>
      <c r="G33" s="6"/>
      <c r="H33" s="6"/>
      <c r="I33" s="6"/>
      <c r="J33" s="6"/>
      <c r="K33" s="6"/>
      <c r="L33" s="161">
        <v>18462435.260000002</v>
      </c>
      <c r="M33" s="2">
        <v>2209764.9500000002</v>
      </c>
      <c r="N33" s="2">
        <v>742178.92</v>
      </c>
      <c r="O33" s="2">
        <v>4199923.84</v>
      </c>
      <c r="P33" s="2">
        <v>1729518.95</v>
      </c>
      <c r="U33" s="161">
        <v>0</v>
      </c>
      <c r="V33" s="2">
        <v>0</v>
      </c>
      <c r="W33" s="2">
        <v>0</v>
      </c>
      <c r="X33" s="2">
        <v>0</v>
      </c>
      <c r="Y33" s="2">
        <v>0</v>
      </c>
      <c r="AB33" s="161">
        <f t="shared" si="12"/>
        <v>33089687.740000002</v>
      </c>
      <c r="AC33" s="6">
        <f>C33+D33+E33+F33+M33+N33+O33+P33+V33+W33+X33+Y33</f>
        <v>19868372.139999997</v>
      </c>
      <c r="AD33" s="165">
        <f t="shared" si="13"/>
        <v>13221315.600000005</v>
      </c>
      <c r="AE33">
        <v>2</v>
      </c>
    </row>
    <row r="34" spans="1:31">
      <c r="A34" s="38">
        <v>44985</v>
      </c>
      <c r="B34" s="2">
        <v>14680426.550000001</v>
      </c>
      <c r="C34" s="2">
        <v>2592523.36</v>
      </c>
      <c r="D34" s="2">
        <v>865984.97</v>
      </c>
      <c r="E34" s="6">
        <v>4328235.75</v>
      </c>
      <c r="F34" s="6">
        <v>3107987.2</v>
      </c>
      <c r="G34" s="6"/>
      <c r="H34" s="6"/>
      <c r="I34" s="6"/>
      <c r="J34" s="6"/>
      <c r="K34" s="6"/>
      <c r="L34" s="161">
        <v>18240447.460000001</v>
      </c>
      <c r="M34" s="2">
        <v>2173589.9300000002</v>
      </c>
      <c r="N34" s="2">
        <v>726227.49</v>
      </c>
      <c r="O34" s="2">
        <v>4127697.79</v>
      </c>
      <c r="P34" s="2">
        <v>1722495.2</v>
      </c>
      <c r="U34" s="161">
        <v>0</v>
      </c>
      <c r="V34" s="2">
        <v>0</v>
      </c>
      <c r="W34" s="2">
        <v>0</v>
      </c>
      <c r="X34" s="2">
        <v>0</v>
      </c>
      <c r="Y34" s="2">
        <v>0</v>
      </c>
      <c r="AB34" s="161">
        <f t="shared" si="12"/>
        <v>32920874.010000002</v>
      </c>
      <c r="AC34" s="6">
        <f>C34+D34+E34+F34+M34+N34+O34+P34+V34+W34+X34+Y34</f>
        <v>19644741.690000001</v>
      </c>
      <c r="AD34" s="165">
        <f t="shared" si="13"/>
        <v>13276132.32</v>
      </c>
      <c r="AE34">
        <v>2</v>
      </c>
    </row>
    <row r="35" spans="1:31">
      <c r="A35" s="38">
        <v>45016</v>
      </c>
      <c r="B35" s="2">
        <v>14832909.41</v>
      </c>
      <c r="C35" s="2">
        <v>2657788.5299999998</v>
      </c>
      <c r="D35" s="2">
        <v>871628.58</v>
      </c>
      <c r="E35" s="6">
        <v>4445695.66</v>
      </c>
      <c r="F35" s="6">
        <v>3073202.05</v>
      </c>
      <c r="G35" s="6"/>
      <c r="H35" s="6"/>
      <c r="I35" s="6"/>
      <c r="J35" s="6"/>
      <c r="K35" s="6"/>
      <c r="L35" s="161">
        <v>19427288.779999994</v>
      </c>
      <c r="M35" s="2">
        <v>2405967.37</v>
      </c>
      <c r="N35" s="2">
        <v>798984.61</v>
      </c>
      <c r="O35" s="2">
        <v>4529628.2300000004</v>
      </c>
      <c r="P35" s="2">
        <v>1864862.1</v>
      </c>
      <c r="U35" s="161">
        <v>0</v>
      </c>
      <c r="V35" s="2">
        <v>0</v>
      </c>
      <c r="W35" s="2">
        <v>0</v>
      </c>
      <c r="X35" s="2">
        <v>0</v>
      </c>
      <c r="Y35" s="2">
        <v>0</v>
      </c>
      <c r="AB35" s="161">
        <f t="shared" si="12"/>
        <v>34260198.189999998</v>
      </c>
      <c r="AC35" s="6">
        <f>C35+D35+E35+F35+M35+N35+O35+P35+V35+W35+X35+Y35</f>
        <v>20647757.130000003</v>
      </c>
      <c r="AD35" s="165">
        <f t="shared" si="13"/>
        <v>13612441.059999995</v>
      </c>
      <c r="AE35">
        <v>2</v>
      </c>
    </row>
    <row r="36" spans="1:31">
      <c r="A36" s="38">
        <v>45046</v>
      </c>
      <c r="B36" s="2">
        <v>15416294.630000001</v>
      </c>
      <c r="C36" s="2">
        <v>2792491.65</v>
      </c>
      <c r="D36" s="2">
        <v>922287.69</v>
      </c>
      <c r="E36" s="6">
        <v>4654730.3899999997</v>
      </c>
      <c r="F36" s="6">
        <v>3243409.64</v>
      </c>
      <c r="G36" s="6">
        <v>1547515.2</v>
      </c>
      <c r="H36" s="6">
        <v>1253266.7</v>
      </c>
      <c r="I36" s="6"/>
      <c r="J36" s="6"/>
      <c r="K36" s="6"/>
      <c r="L36" s="161">
        <v>19749388</v>
      </c>
      <c r="M36" s="2">
        <v>2399907.3199999998</v>
      </c>
      <c r="N36" s="2">
        <v>792617.05</v>
      </c>
      <c r="O36" s="2">
        <v>4550823.28</v>
      </c>
      <c r="P36" s="2">
        <v>1841793.25</v>
      </c>
      <c r="Q36" s="2">
        <v>3591364.8</v>
      </c>
      <c r="R36" s="2">
        <v>1918894.6</v>
      </c>
      <c r="U36" s="161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161">
        <f t="shared" ref="AB36:AB41" si="14">B36+L36+U36</f>
        <v>35165682.630000003</v>
      </c>
      <c r="AC36" s="6">
        <f t="shared" ref="AC36:AC41" si="15">C36+D36+E36+F36+M36+N36+O36+P36+V36+W36+X36+Y36+G36+H36+Q36+R36+Z36+AA36</f>
        <v>29509101.57</v>
      </c>
      <c r="AD36" s="165">
        <f t="shared" ref="AD36:AD56" si="16">AB36-AC36</f>
        <v>5656581.0600000024</v>
      </c>
      <c r="AE36">
        <v>2</v>
      </c>
    </row>
    <row r="37" spans="1:31">
      <c r="A37" s="38">
        <v>45077</v>
      </c>
      <c r="B37" s="2">
        <v>15670972.640000001</v>
      </c>
      <c r="C37" s="2">
        <v>2793160.69</v>
      </c>
      <c r="D37" s="2">
        <v>928090.07</v>
      </c>
      <c r="E37" s="6">
        <v>4620484.13</v>
      </c>
      <c r="F37" s="6">
        <v>3294819.08</v>
      </c>
      <c r="G37" s="6">
        <v>1578533.12</v>
      </c>
      <c r="H37" s="6">
        <v>1273395.2</v>
      </c>
      <c r="I37" s="6"/>
      <c r="J37" s="6"/>
      <c r="K37" s="6"/>
      <c r="L37" s="161">
        <v>19961628.890000001</v>
      </c>
      <c r="M37" s="2">
        <v>2331029.85</v>
      </c>
      <c r="N37" s="2">
        <v>770599.91</v>
      </c>
      <c r="O37" s="2">
        <v>4426198.26</v>
      </c>
      <c r="P37" s="2">
        <v>1799112.26</v>
      </c>
      <c r="Q37" s="2">
        <v>3555225.28</v>
      </c>
      <c r="R37" s="2">
        <v>1913710.4</v>
      </c>
      <c r="U37" s="161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161">
        <f t="shared" si="14"/>
        <v>35632601.530000001</v>
      </c>
      <c r="AC37" s="6">
        <f t="shared" si="15"/>
        <v>29284358.25</v>
      </c>
      <c r="AD37" s="165">
        <f t="shared" si="16"/>
        <v>6348243.2800000012</v>
      </c>
      <c r="AE37">
        <v>2</v>
      </c>
    </row>
    <row r="38" spans="1:31">
      <c r="A38" s="38">
        <v>45107</v>
      </c>
      <c r="B38" s="2">
        <v>16617639.120000001</v>
      </c>
      <c r="C38" s="2">
        <v>2930714.95</v>
      </c>
      <c r="D38" s="2">
        <v>984545.32</v>
      </c>
      <c r="E38" s="2">
        <v>4820523.25</v>
      </c>
      <c r="F38" s="2">
        <v>3652519.59</v>
      </c>
      <c r="G38" s="2">
        <v>1628138.07</v>
      </c>
      <c r="H38" s="2">
        <v>1348630.98</v>
      </c>
      <c r="L38" s="161">
        <v>19270772.209999997</v>
      </c>
      <c r="M38" s="2">
        <v>2317478.6800000002</v>
      </c>
      <c r="N38" s="2">
        <v>770109.03</v>
      </c>
      <c r="O38" s="2">
        <v>4350540.0599999996</v>
      </c>
      <c r="P38" s="2">
        <v>1798579.93</v>
      </c>
      <c r="Q38" s="2">
        <v>3449533.12</v>
      </c>
      <c r="R38" s="2">
        <v>1827274.56</v>
      </c>
      <c r="U38" s="161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161">
        <f t="shared" si="14"/>
        <v>35888411.329999998</v>
      </c>
      <c r="AC38" s="6">
        <f t="shared" si="15"/>
        <v>29878587.539999999</v>
      </c>
      <c r="AD38" s="165">
        <f t="shared" si="16"/>
        <v>6009823.7899999991</v>
      </c>
      <c r="AE38">
        <v>2</v>
      </c>
    </row>
    <row r="39" spans="1:31">
      <c r="A39" s="38">
        <v>45138</v>
      </c>
      <c r="B39" s="2">
        <v>17218250.690000001</v>
      </c>
      <c r="C39" s="2">
        <v>2977645.23</v>
      </c>
      <c r="D39" s="2">
        <v>1017905.23</v>
      </c>
      <c r="E39" s="2">
        <v>4872281.63</v>
      </c>
      <c r="F39" s="2">
        <v>3814147.22</v>
      </c>
      <c r="G39" s="2">
        <v>1669168.4</v>
      </c>
      <c r="H39" s="2">
        <v>1410625.22</v>
      </c>
      <c r="L39" s="161">
        <v>20152637.670000002</v>
      </c>
      <c r="M39" s="2">
        <v>2354589.0499999998</v>
      </c>
      <c r="N39" s="2">
        <v>796203.08</v>
      </c>
      <c r="O39" s="2">
        <v>4397252.18</v>
      </c>
      <c r="P39" s="2">
        <v>1878168.88</v>
      </c>
      <c r="Q39" s="2">
        <v>3536464</v>
      </c>
      <c r="R39" s="2">
        <v>1911271.22</v>
      </c>
      <c r="U39" s="161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161">
        <f t="shared" si="14"/>
        <v>37370888.359999999</v>
      </c>
      <c r="AC39" s="6">
        <f t="shared" si="15"/>
        <v>30635721.339999992</v>
      </c>
      <c r="AD39" s="165">
        <f t="shared" si="16"/>
        <v>6735167.020000007</v>
      </c>
      <c r="AE39">
        <v>2</v>
      </c>
    </row>
    <row r="40" spans="1:31">
      <c r="A40" s="38">
        <v>45169</v>
      </c>
      <c r="B40" s="2">
        <v>19455075.34</v>
      </c>
      <c r="C40" s="2">
        <v>3464706.98</v>
      </c>
      <c r="D40" s="2">
        <v>1152578.5</v>
      </c>
      <c r="E40" s="2">
        <v>5766597.8899999997</v>
      </c>
      <c r="F40" s="2">
        <v>4097896.74</v>
      </c>
      <c r="G40" s="2">
        <v>1954531.5</v>
      </c>
      <c r="H40" s="2">
        <v>1554840</v>
      </c>
      <c r="L40" s="161">
        <v>21252094.400000002</v>
      </c>
      <c r="M40" s="2">
        <v>2527556.94</v>
      </c>
      <c r="N40" s="2">
        <v>826725.48</v>
      </c>
      <c r="O40" s="2">
        <v>4819043.75</v>
      </c>
      <c r="P40" s="2">
        <v>1920591.89</v>
      </c>
      <c r="Q40" s="2">
        <v>3878584.5</v>
      </c>
      <c r="R40" s="2">
        <v>2040920</v>
      </c>
      <c r="U40" s="161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161">
        <f t="shared" si="14"/>
        <v>40707169.740000002</v>
      </c>
      <c r="AC40" s="6">
        <f t="shared" si="15"/>
        <v>34004574.170000002</v>
      </c>
      <c r="AD40" s="165">
        <f t="shared" si="16"/>
        <v>6702595.5700000003</v>
      </c>
      <c r="AE40">
        <v>2</v>
      </c>
    </row>
    <row r="41" spans="1:31">
      <c r="A41" s="38">
        <v>45199</v>
      </c>
      <c r="B41" s="2">
        <v>19478881.93</v>
      </c>
      <c r="C41" s="2">
        <v>3464635.71</v>
      </c>
      <c r="D41" s="2">
        <v>1162974.95</v>
      </c>
      <c r="E41" s="2">
        <v>5741541.2999999998</v>
      </c>
      <c r="F41" s="2">
        <v>4074962.58</v>
      </c>
      <c r="G41" s="2">
        <v>1913045.4</v>
      </c>
      <c r="H41" s="2">
        <v>1541520.9</v>
      </c>
      <c r="L41" s="161">
        <v>20801980.449999996</v>
      </c>
      <c r="M41" s="2">
        <v>2502074.5099999998</v>
      </c>
      <c r="N41" s="2">
        <v>839853.34</v>
      </c>
      <c r="O41" s="2">
        <v>4716402.42</v>
      </c>
      <c r="P41" s="2">
        <v>1944356.79</v>
      </c>
      <c r="Q41" s="2">
        <v>3730015.4</v>
      </c>
      <c r="R41" s="2">
        <v>1983191.1</v>
      </c>
      <c r="U41" s="161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161">
        <f t="shared" si="14"/>
        <v>40280862.379999995</v>
      </c>
      <c r="AC41" s="6">
        <f t="shared" si="15"/>
        <v>33614574.399999999</v>
      </c>
      <c r="AD41" s="165">
        <f t="shared" si="16"/>
        <v>6666287.9799999967</v>
      </c>
      <c r="AE41">
        <v>2</v>
      </c>
    </row>
    <row r="42" spans="1:31">
      <c r="A42" s="38">
        <v>45230</v>
      </c>
      <c r="B42" s="2">
        <v>19452748.649999999</v>
      </c>
      <c r="C42" s="2">
        <v>3510739.42</v>
      </c>
      <c r="D42" s="2">
        <v>1163993.8700000001</v>
      </c>
      <c r="E42" s="2">
        <v>5821913.1799999997</v>
      </c>
      <c r="F42" s="2">
        <v>4077299.5</v>
      </c>
      <c r="G42" s="2">
        <v>1948779.11</v>
      </c>
      <c r="H42" s="2">
        <v>1567961.7</v>
      </c>
      <c r="L42" s="161">
        <v>21175426.869999997</v>
      </c>
      <c r="M42" s="2">
        <v>2551804.58</v>
      </c>
      <c r="N42" s="2">
        <v>846054.81</v>
      </c>
      <c r="O42" s="2">
        <v>4813536.5199999996</v>
      </c>
      <c r="P42" s="2">
        <v>1958059.8</v>
      </c>
      <c r="Q42" s="2">
        <v>3824439.25</v>
      </c>
      <c r="R42" s="2">
        <v>2029872.6</v>
      </c>
      <c r="U42" s="161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161">
        <f t="shared" ref="AB42:AB56" si="17">B42+L42+U42</f>
        <v>40628175.519999996</v>
      </c>
      <c r="AC42" s="6">
        <f>C42+D42+E42+F42+M42+N42+O42+P42+V42+W42+X42+Y42+G42+H42+Q42+R42+Z42+AA42</f>
        <v>34114454.339999996</v>
      </c>
      <c r="AD42" s="165">
        <f t="shared" si="16"/>
        <v>6513721.1799999997</v>
      </c>
      <c r="AE42">
        <v>2</v>
      </c>
    </row>
    <row r="43" spans="1:31">
      <c r="A43" s="38">
        <v>45260</v>
      </c>
      <c r="B43" s="2">
        <v>21363704.300000001</v>
      </c>
      <c r="C43" s="2">
        <v>3835828.46</v>
      </c>
      <c r="D43" s="2">
        <v>1255753.69</v>
      </c>
      <c r="E43" s="2">
        <v>6352072.7300000004</v>
      </c>
      <c r="F43" s="2">
        <v>4428335.33</v>
      </c>
      <c r="G43" s="2">
        <v>2113039.8199999998</v>
      </c>
      <c r="H43" s="2">
        <v>1708632.98</v>
      </c>
      <c r="L43" s="161">
        <v>22590124.310000002</v>
      </c>
      <c r="M43" s="2">
        <v>2742983.44</v>
      </c>
      <c r="N43" s="2">
        <v>897963.32</v>
      </c>
      <c r="O43" s="2">
        <v>5166692.2</v>
      </c>
      <c r="P43" s="2">
        <v>2124430.9</v>
      </c>
      <c r="Q43" s="2">
        <v>4079520.89</v>
      </c>
      <c r="R43" s="2">
        <v>2211984.6800000002</v>
      </c>
      <c r="U43" s="161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161">
        <f t="shared" si="17"/>
        <v>43953828.609999999</v>
      </c>
      <c r="AC43" s="6">
        <f>C43+D43+E43+F43+M43+N43+O43+P43+V43+W43+X43+Y43+G43+H43+Q43+R43+Z43+AA43</f>
        <v>36917238.439999998</v>
      </c>
      <c r="AD43" s="165">
        <f t="shared" si="16"/>
        <v>7036590.1700000018</v>
      </c>
      <c r="AE43">
        <v>2</v>
      </c>
    </row>
    <row r="44" spans="1:31">
      <c r="A44" s="38">
        <v>45291</v>
      </c>
      <c r="B44" s="2">
        <v>22803909.210000001</v>
      </c>
      <c r="C44" s="2">
        <v>4046870.64</v>
      </c>
      <c r="D44" s="2">
        <v>0</v>
      </c>
      <c r="E44" s="2">
        <v>6845538.6699999999</v>
      </c>
      <c r="F44" s="2">
        <v>6113908.5800000001</v>
      </c>
      <c r="G44" s="2">
        <v>2237019.2000000002</v>
      </c>
      <c r="H44" s="2">
        <v>1784273.41</v>
      </c>
      <c r="L44" s="161">
        <v>23576375.990000002</v>
      </c>
      <c r="M44" s="2">
        <v>2839114.78</v>
      </c>
      <c r="N44" s="2">
        <v>0</v>
      </c>
      <c r="O44" s="2">
        <v>5419486.0800000001</v>
      </c>
      <c r="P44" s="2">
        <v>3132917.26</v>
      </c>
      <c r="Q44" s="2">
        <v>4252580.8</v>
      </c>
      <c r="R44" s="2">
        <v>2279575.37</v>
      </c>
      <c r="U44" s="161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161">
        <f t="shared" si="17"/>
        <v>46380285.200000003</v>
      </c>
      <c r="AC44" s="6">
        <f>C44+D44+E44+F44+M44+N44+O44+P44+V44+W44+X44+Y44+G44+H44+Q44+R44+Z44+AA44</f>
        <v>38951284.789999992</v>
      </c>
      <c r="AD44" s="165">
        <f t="shared" si="16"/>
        <v>7429000.4100000113</v>
      </c>
      <c r="AE44">
        <v>2</v>
      </c>
    </row>
    <row r="45" spans="1:31">
      <c r="A45" s="38">
        <v>45322</v>
      </c>
      <c r="B45" s="2">
        <v>21635103.419999998</v>
      </c>
      <c r="C45" s="2">
        <v>3930353.31</v>
      </c>
      <c r="D45" s="2">
        <v>0</v>
      </c>
      <c r="E45" s="2">
        <v>6530850.6100000003</v>
      </c>
      <c r="F45" s="2">
        <v>5855499.8099999996</v>
      </c>
      <c r="G45" s="2">
        <v>2173226.2999999998</v>
      </c>
      <c r="H45" s="2">
        <v>1742196.75</v>
      </c>
      <c r="L45" s="161">
        <v>23508692.039999999</v>
      </c>
      <c r="M45" s="2">
        <v>2808892.47</v>
      </c>
      <c r="N45" s="2">
        <v>0</v>
      </c>
      <c r="O45" s="2">
        <v>5269896.5</v>
      </c>
      <c r="P45" s="2">
        <v>3082555.56</v>
      </c>
      <c r="Q45" s="2">
        <v>4105467.1</v>
      </c>
      <c r="R45" s="2">
        <v>2172912</v>
      </c>
      <c r="U45" s="161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161">
        <f t="shared" si="17"/>
        <v>45143795.459999993</v>
      </c>
      <c r="AC45" s="6">
        <f>C45+D45+E45+F45+M45+N45+O45+P45+V45+W45+X45+Y45+G45+H45+Q45+R45+Z45+AA45</f>
        <v>37671850.409999996</v>
      </c>
      <c r="AD45" s="165">
        <f t="shared" si="16"/>
        <v>7471945.049999997</v>
      </c>
      <c r="AE45">
        <v>2</v>
      </c>
    </row>
    <row r="46" spans="1:31">
      <c r="A46" s="38">
        <v>45351</v>
      </c>
      <c r="B46" s="2">
        <v>23794486.359999999</v>
      </c>
      <c r="C46" s="2">
        <v>4198411.82</v>
      </c>
      <c r="D46" s="2">
        <v>0</v>
      </c>
      <c r="E46" s="2">
        <v>6975188.5599999996</v>
      </c>
      <c r="F46" s="2">
        <v>6341152.1799999997</v>
      </c>
      <c r="G46" s="2">
        <v>2356824</v>
      </c>
      <c r="H46" s="2">
        <v>1895627.28</v>
      </c>
      <c r="L46" s="161">
        <v>24640203.060000002</v>
      </c>
      <c r="M46" s="2">
        <v>2961683.01</v>
      </c>
      <c r="N46" s="2">
        <v>0</v>
      </c>
      <c r="O46" s="2">
        <v>5597120.9800000004</v>
      </c>
      <c r="P46" s="2">
        <v>3292402.33</v>
      </c>
      <c r="Q46" s="2">
        <v>4489229</v>
      </c>
      <c r="R46" s="2">
        <v>2381953.5</v>
      </c>
      <c r="U46" s="161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161">
        <f t="shared" si="17"/>
        <v>48434689.420000002</v>
      </c>
      <c r="AC46" s="6">
        <f>C46+D46+E46+F46+M46+N46+O46+P46+V46+W46+X46+Y46+G46+H46+Q46+R46+Z46+AA46</f>
        <v>40489592.660000004</v>
      </c>
      <c r="AD46" s="165">
        <f t="shared" si="16"/>
        <v>7945096.7599999979</v>
      </c>
      <c r="AE46">
        <v>2</v>
      </c>
    </row>
    <row r="47" spans="1:31">
      <c r="A47" s="38">
        <v>45382</v>
      </c>
      <c r="B47" s="2">
        <v>24706809.079999998</v>
      </c>
      <c r="C47" s="2">
        <v>7132292.4800000004</v>
      </c>
      <c r="D47" s="2">
        <v>0</v>
      </c>
      <c r="E47" s="2">
        <v>3449717.58</v>
      </c>
      <c r="F47" s="2">
        <v>4375591.53</v>
      </c>
      <c r="G47" s="2">
        <v>2474559.36</v>
      </c>
      <c r="H47" s="2">
        <v>3225468.1</v>
      </c>
      <c r="I47" s="2">
        <v>3675784.96</v>
      </c>
      <c r="J47" s="2">
        <v>242537.49</v>
      </c>
      <c r="L47" s="161">
        <v>25094937.069999997</v>
      </c>
      <c r="M47" s="2">
        <v>7544770.1799999997</v>
      </c>
      <c r="N47" s="2">
        <v>0</v>
      </c>
      <c r="O47" s="2">
        <v>2275085.0699999998</v>
      </c>
      <c r="P47" s="2">
        <v>2110625.98</v>
      </c>
      <c r="Q47" s="2">
        <v>1267331.52</v>
      </c>
      <c r="R47" s="2">
        <v>2286923.13</v>
      </c>
      <c r="S47" s="2">
        <v>2259043.5099999998</v>
      </c>
      <c r="T47" s="2">
        <v>2235769.29</v>
      </c>
      <c r="U47" s="161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161">
        <f t="shared" si="17"/>
        <v>49801746.149999991</v>
      </c>
      <c r="AC47" s="6">
        <f t="shared" ref="AC47:AC56" si="18">C47+D47+E47+F47+M47+N47+O47+P47+V47+W47+X47+Y47+G47+H47+Q47+R47+Z47+AA47+I47+J47+S47+T47</f>
        <v>44555500.180000007</v>
      </c>
      <c r="AD47" s="165">
        <f t="shared" si="16"/>
        <v>5246245.9699999839</v>
      </c>
      <c r="AE47">
        <v>2</v>
      </c>
    </row>
    <row r="48" spans="1:31">
      <c r="A48" s="38">
        <v>45412</v>
      </c>
      <c r="B48" s="2">
        <v>23928710.82</v>
      </c>
      <c r="C48" s="2">
        <v>6887592.6600000001</v>
      </c>
      <c r="D48" s="2">
        <v>0</v>
      </c>
      <c r="E48" s="2">
        <v>3372478.43</v>
      </c>
      <c r="F48" s="2">
        <v>4070091.65</v>
      </c>
      <c r="G48" s="2">
        <v>2393419.86</v>
      </c>
      <c r="H48" s="2">
        <v>3093697.7</v>
      </c>
      <c r="I48" s="2">
        <v>3598893.09</v>
      </c>
      <c r="J48" s="2">
        <v>243986.34</v>
      </c>
      <c r="L48" s="161">
        <v>23847954.870000005</v>
      </c>
      <c r="M48" s="2">
        <v>7177856.8200000003</v>
      </c>
      <c r="N48" s="2">
        <v>0</v>
      </c>
      <c r="O48" s="2">
        <v>2161312.0099999998</v>
      </c>
      <c r="P48" s="2">
        <v>1918767.13</v>
      </c>
      <c r="Q48" s="2">
        <v>1201782.27</v>
      </c>
      <c r="R48" s="2">
        <v>2155179.21</v>
      </c>
      <c r="S48" s="2">
        <v>2168527.54</v>
      </c>
      <c r="T48" s="2">
        <v>2155663.14</v>
      </c>
      <c r="U48" s="161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161">
        <f t="shared" si="17"/>
        <v>47776665.690000005</v>
      </c>
      <c r="AC48" s="6">
        <f t="shared" si="18"/>
        <v>42599247.850000001</v>
      </c>
      <c r="AD48" s="165">
        <f t="shared" si="16"/>
        <v>5177417.8400000036</v>
      </c>
      <c r="AE48">
        <v>2</v>
      </c>
    </row>
    <row r="49" spans="1:31">
      <c r="A49" s="38">
        <v>45443</v>
      </c>
      <c r="B49" s="2">
        <v>26054831.930000003</v>
      </c>
      <c r="C49" s="2">
        <v>7487510.3200000003</v>
      </c>
      <c r="D49" s="2">
        <v>0</v>
      </c>
      <c r="E49" s="2">
        <v>3653492.67</v>
      </c>
      <c r="F49" s="2">
        <v>4397555.7</v>
      </c>
      <c r="G49" s="2">
        <v>2605576.4</v>
      </c>
      <c r="H49" s="2">
        <v>3408656.2</v>
      </c>
      <c r="I49" s="2">
        <v>3856047.84</v>
      </c>
      <c r="J49" s="2">
        <v>262846.84999999998</v>
      </c>
      <c r="L49" s="161">
        <v>26184182.98</v>
      </c>
      <c r="M49" s="2">
        <v>7815804.8600000003</v>
      </c>
      <c r="N49" s="2">
        <v>0</v>
      </c>
      <c r="O49" s="2">
        <v>2345015.5099999998</v>
      </c>
      <c r="P49" s="2">
        <v>2080977.9</v>
      </c>
      <c r="Q49" s="2">
        <v>1309952</v>
      </c>
      <c r="R49" s="2">
        <v>2375011.2000000002</v>
      </c>
      <c r="S49" s="2">
        <v>2326585.85</v>
      </c>
      <c r="T49" s="2">
        <v>2378089.7000000002</v>
      </c>
      <c r="U49" s="161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161">
        <f t="shared" si="17"/>
        <v>52239014.910000004</v>
      </c>
      <c r="AC49" s="6">
        <f t="shared" si="18"/>
        <v>46303123.000000015</v>
      </c>
      <c r="AD49" s="165">
        <f t="shared" si="16"/>
        <v>5935891.909999989</v>
      </c>
      <c r="AE49">
        <v>2</v>
      </c>
    </row>
    <row r="50" spans="1:31">
      <c r="A50" s="38">
        <v>45473</v>
      </c>
      <c r="B50" s="2">
        <v>26307728.350000001</v>
      </c>
      <c r="C50" s="2">
        <v>7631355.3099999996</v>
      </c>
      <c r="D50" s="2">
        <v>0</v>
      </c>
      <c r="E50" s="2">
        <v>3719754.4</v>
      </c>
      <c r="F50" s="2">
        <v>4498612.82</v>
      </c>
      <c r="G50" s="2">
        <v>2675973.2999999998</v>
      </c>
      <c r="H50" s="2">
        <v>3510242</v>
      </c>
      <c r="I50" s="2">
        <v>3879870.72</v>
      </c>
      <c r="J50" s="2">
        <v>264344.7</v>
      </c>
      <c r="L50" s="161">
        <v>25170711.690000001</v>
      </c>
      <c r="M50" s="2">
        <v>7672854.0700000003</v>
      </c>
      <c r="N50" s="2">
        <v>0</v>
      </c>
      <c r="O50" s="2">
        <v>2293249.2200000002</v>
      </c>
      <c r="P50" s="2">
        <v>2029478.61</v>
      </c>
      <c r="Q50" s="2">
        <v>1264563.3</v>
      </c>
      <c r="R50" s="2">
        <v>2283856</v>
      </c>
      <c r="S50" s="2">
        <v>2267169.08</v>
      </c>
      <c r="T50" s="2">
        <v>2278277.7000000002</v>
      </c>
      <c r="U50" s="161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161">
        <f t="shared" si="17"/>
        <v>51478440.040000007</v>
      </c>
      <c r="AC50" s="6">
        <f t="shared" si="18"/>
        <v>46269601.230000004</v>
      </c>
      <c r="AD50" s="165">
        <f t="shared" si="16"/>
        <v>5208838.8100000024</v>
      </c>
      <c r="AE50">
        <v>2</v>
      </c>
    </row>
    <row r="51" spans="1:31">
      <c r="A51" s="38">
        <v>45504</v>
      </c>
      <c r="B51" s="2">
        <v>27909356.130000003</v>
      </c>
      <c r="C51" s="2">
        <v>8018458.3300000001</v>
      </c>
      <c r="D51" s="2">
        <v>0</v>
      </c>
      <c r="E51" s="2">
        <v>3879748.54</v>
      </c>
      <c r="F51" s="2">
        <v>4941714.92</v>
      </c>
      <c r="G51" s="2">
        <v>2707161.8</v>
      </c>
      <c r="H51" s="2">
        <v>3555436.5</v>
      </c>
      <c r="I51" s="2">
        <v>4107653.79</v>
      </c>
      <c r="J51" s="2">
        <v>275146.25</v>
      </c>
      <c r="L51" s="161">
        <v>26837770.579999998</v>
      </c>
      <c r="M51" s="2">
        <v>8018812.2800000003</v>
      </c>
      <c r="N51" s="2">
        <v>0</v>
      </c>
      <c r="O51" s="2">
        <v>2393247.4900000002</v>
      </c>
      <c r="P51" s="2">
        <v>2229377.17</v>
      </c>
      <c r="Q51" s="2">
        <v>1320314.8</v>
      </c>
      <c r="R51" s="2">
        <v>2361744</v>
      </c>
      <c r="S51" s="2">
        <v>2385021.17</v>
      </c>
      <c r="T51" s="2">
        <v>2392364.65</v>
      </c>
      <c r="U51" s="161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161">
        <f t="shared" si="17"/>
        <v>54747126.710000001</v>
      </c>
      <c r="AC51" s="6">
        <f t="shared" si="18"/>
        <v>48586201.689999998</v>
      </c>
      <c r="AD51" s="165">
        <f t="shared" si="16"/>
        <v>6160925.0200000033</v>
      </c>
      <c r="AE51">
        <v>2</v>
      </c>
    </row>
    <row r="52" spans="1:31">
      <c r="A52" s="38">
        <v>45535</v>
      </c>
      <c r="B52" s="2">
        <v>28048905.800000001</v>
      </c>
      <c r="C52" s="2">
        <v>8257602.5499999998</v>
      </c>
      <c r="D52" s="2">
        <v>0</v>
      </c>
      <c r="E52" s="2">
        <v>3955071.14</v>
      </c>
      <c r="F52" s="2">
        <v>4848588.38</v>
      </c>
      <c r="G52" s="2">
        <v>2720528.3</v>
      </c>
      <c r="H52" s="2">
        <v>3615463.35</v>
      </c>
      <c r="I52" s="2">
        <v>4158920.7</v>
      </c>
      <c r="J52" s="2">
        <v>277350</v>
      </c>
      <c r="L52" s="161">
        <v>26969310.299999997</v>
      </c>
      <c r="M52" s="2">
        <v>8162943.9199999999</v>
      </c>
      <c r="N52" s="2">
        <v>0</v>
      </c>
      <c r="O52" s="2">
        <v>2403963.61</v>
      </c>
      <c r="P52" s="2">
        <v>2166131.84</v>
      </c>
      <c r="Q52" s="2">
        <v>1326833.8</v>
      </c>
      <c r="R52" s="2">
        <v>2401617.6</v>
      </c>
      <c r="S52" s="2">
        <v>2414788.2000000002</v>
      </c>
      <c r="T52" s="2">
        <v>2286138</v>
      </c>
      <c r="U52" s="161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161">
        <f t="shared" si="17"/>
        <v>55018216.099999994</v>
      </c>
      <c r="AC52" s="6">
        <f t="shared" si="18"/>
        <v>48995941.390000008</v>
      </c>
      <c r="AD52" s="165">
        <f t="shared" si="16"/>
        <v>6022274.709999986</v>
      </c>
      <c r="AE52">
        <v>2</v>
      </c>
    </row>
    <row r="53" spans="1:31">
      <c r="A53" s="38">
        <v>45565</v>
      </c>
      <c r="B53" s="2">
        <v>27926049.870000001</v>
      </c>
      <c r="C53" s="2">
        <v>8025936.6399999997</v>
      </c>
      <c r="D53" s="2">
        <v>0</v>
      </c>
      <c r="E53" s="2">
        <v>3896963.85</v>
      </c>
      <c r="F53" s="2">
        <v>4908670.0199999996</v>
      </c>
      <c r="G53" s="2">
        <v>2762410</v>
      </c>
      <c r="H53" s="2">
        <v>3590480.11</v>
      </c>
      <c r="I53" s="2">
        <v>4139168.8</v>
      </c>
      <c r="J53" s="2">
        <v>279715</v>
      </c>
      <c r="L53" s="161">
        <v>28025251.860000003</v>
      </c>
      <c r="M53" s="2">
        <v>8513759.1699999999</v>
      </c>
      <c r="N53" s="2">
        <v>0</v>
      </c>
      <c r="O53" s="2">
        <v>2542109.29</v>
      </c>
      <c r="P53" s="2">
        <v>2347955.7799999998</v>
      </c>
      <c r="Q53" s="2">
        <v>1410190</v>
      </c>
      <c r="R53" s="2">
        <v>2539677.15</v>
      </c>
      <c r="S53" s="2">
        <v>2538553.6</v>
      </c>
      <c r="T53" s="2">
        <v>2510669.7999999998</v>
      </c>
      <c r="U53" s="161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161">
        <f t="shared" si="17"/>
        <v>55951301.730000004</v>
      </c>
      <c r="AC53" s="6">
        <f t="shared" si="18"/>
        <v>50006259.209999993</v>
      </c>
      <c r="AD53" s="165">
        <f t="shared" si="16"/>
        <v>5945042.5200000107</v>
      </c>
      <c r="AE53">
        <v>2</v>
      </c>
    </row>
    <row r="54" spans="1:31">
      <c r="A54" s="38">
        <v>45596</v>
      </c>
      <c r="B54" s="2">
        <v>27277336.280000001</v>
      </c>
      <c r="C54" s="2">
        <v>7790420.8499999996</v>
      </c>
      <c r="D54" s="2">
        <v>0</v>
      </c>
      <c r="E54" s="2">
        <v>3761719.69</v>
      </c>
      <c r="F54" s="2">
        <v>4761470</v>
      </c>
      <c r="G54" s="2">
        <v>2713862.87</v>
      </c>
      <c r="H54" s="2">
        <v>3517730.11</v>
      </c>
      <c r="I54" s="2">
        <v>4033233.1</v>
      </c>
      <c r="J54" s="2">
        <v>280682.5</v>
      </c>
      <c r="L54" s="161">
        <v>26317073.509999998</v>
      </c>
      <c r="M54" s="2">
        <v>7778991.6500000004</v>
      </c>
      <c r="N54" s="2">
        <v>0</v>
      </c>
      <c r="O54" s="2">
        <v>2374294.15</v>
      </c>
      <c r="P54" s="2">
        <v>2071630.69</v>
      </c>
      <c r="Q54" s="2">
        <v>1354038.19</v>
      </c>
      <c r="R54" s="2">
        <v>2359529.4700000002</v>
      </c>
      <c r="S54" s="2">
        <v>2364562.7000000002</v>
      </c>
      <c r="T54" s="2">
        <v>2433190.9</v>
      </c>
      <c r="U54" s="161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161">
        <f t="shared" si="17"/>
        <v>53594409.789999999</v>
      </c>
      <c r="AC54" s="6">
        <f t="shared" si="18"/>
        <v>47595356.869999997</v>
      </c>
      <c r="AD54" s="165">
        <f t="shared" si="16"/>
        <v>5999052.9200000018</v>
      </c>
      <c r="AE54">
        <v>2</v>
      </c>
    </row>
    <row r="55" spans="1:31">
      <c r="A55" s="38">
        <v>45626</v>
      </c>
      <c r="B55" s="2">
        <v>29218960.020000003</v>
      </c>
      <c r="C55" s="2">
        <v>8342410.9900000002</v>
      </c>
      <c r="D55" s="2">
        <v>0</v>
      </c>
      <c r="E55" s="2">
        <v>4022246.84</v>
      </c>
      <c r="F55" s="2">
        <v>5183543.53</v>
      </c>
      <c r="G55" s="2">
        <v>2887064</v>
      </c>
      <c r="H55" s="2">
        <v>3737319.32</v>
      </c>
      <c r="I55" s="2">
        <v>4292415</v>
      </c>
      <c r="J55" s="2">
        <v>282510</v>
      </c>
      <c r="L55" s="161">
        <v>28578373.600000001</v>
      </c>
      <c r="M55" s="2">
        <v>8442663.8699999992</v>
      </c>
      <c r="N55" s="2">
        <v>0</v>
      </c>
      <c r="O55" s="2">
        <v>2548791.36</v>
      </c>
      <c r="P55" s="2">
        <v>2277285.5299999998</v>
      </c>
      <c r="Q55" s="2">
        <v>1424943</v>
      </c>
      <c r="R55" s="2">
        <v>2527543.56</v>
      </c>
      <c r="S55" s="2">
        <v>2560516.5</v>
      </c>
      <c r="T55" s="2">
        <v>2523142.7999999998</v>
      </c>
      <c r="U55" s="161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161">
        <f t="shared" si="17"/>
        <v>57797333.620000005</v>
      </c>
      <c r="AC55" s="6">
        <f t="shared" si="18"/>
        <v>51052396.299999997</v>
      </c>
      <c r="AD55" s="165">
        <f t="shared" si="16"/>
        <v>6744937.3200000077</v>
      </c>
      <c r="AE55">
        <v>2</v>
      </c>
    </row>
    <row r="56" spans="1:31">
      <c r="A56" s="38">
        <v>45657</v>
      </c>
      <c r="B56" s="2">
        <v>29068294.050000001</v>
      </c>
      <c r="C56" s="2">
        <v>8283158.1100000003</v>
      </c>
      <c r="D56" s="2">
        <v>0</v>
      </c>
      <c r="E56" s="2">
        <v>4049213.45</v>
      </c>
      <c r="F56" s="2">
        <v>4899702.16</v>
      </c>
      <c r="G56" s="2">
        <v>2911590.3999999999</v>
      </c>
      <c r="H56" s="2">
        <v>3765865.92</v>
      </c>
      <c r="I56" s="2">
        <v>4367715</v>
      </c>
      <c r="J56" s="2">
        <v>289594.8</v>
      </c>
      <c r="L56" s="161">
        <v>28472741.550000004</v>
      </c>
      <c r="M56" s="2">
        <v>8511779.8399999999</v>
      </c>
      <c r="N56" s="2">
        <v>0</v>
      </c>
      <c r="O56" s="2">
        <v>2558548.17</v>
      </c>
      <c r="P56" s="2">
        <v>2282586.98</v>
      </c>
      <c r="Q56" s="2">
        <v>1438319</v>
      </c>
      <c r="R56" s="2">
        <v>2581556.7000000002</v>
      </c>
      <c r="S56" s="2">
        <v>2594055</v>
      </c>
      <c r="T56" s="2">
        <v>2581048.7999999998</v>
      </c>
      <c r="U56" s="161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161">
        <f t="shared" si="17"/>
        <v>57541035.600000009</v>
      </c>
      <c r="AC56" s="6">
        <f t="shared" si="18"/>
        <v>51114734.329999991</v>
      </c>
      <c r="AD56" s="165">
        <f t="shared" si="16"/>
        <v>6426301.2700000182</v>
      </c>
      <c r="AE56">
        <v>2</v>
      </c>
    </row>
    <row r="57" spans="1:31">
      <c r="A57" s="38">
        <v>45688</v>
      </c>
      <c r="B57" s="2">
        <v>41398631.140000001</v>
      </c>
      <c r="C57" s="2">
        <v>0</v>
      </c>
      <c r="D57" s="2">
        <v>0</v>
      </c>
      <c r="E57" s="2">
        <v>0</v>
      </c>
      <c r="F57" s="2">
        <v>4157817.91</v>
      </c>
      <c r="G57" s="2">
        <v>3822792</v>
      </c>
      <c r="H57" s="2">
        <v>8277155.04</v>
      </c>
      <c r="I57" s="2">
        <v>6170889.5999999996</v>
      </c>
      <c r="J57" s="2">
        <v>415150.9</v>
      </c>
      <c r="K57" s="2">
        <v>8321225.4800000004</v>
      </c>
      <c r="L57" s="161">
        <v>38815781.399999991</v>
      </c>
      <c r="M57" s="2">
        <v>11683704.66</v>
      </c>
      <c r="N57" s="2">
        <v>0</v>
      </c>
      <c r="O57" s="2">
        <v>3508332.7</v>
      </c>
      <c r="P57" s="2">
        <v>3124065.42</v>
      </c>
      <c r="Q57" s="2">
        <v>1927188</v>
      </c>
      <c r="R57" s="2">
        <v>3501836.8</v>
      </c>
      <c r="S57" s="2">
        <v>3471724.8</v>
      </c>
      <c r="T57" s="2">
        <v>3503699.55</v>
      </c>
      <c r="U57" s="161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161">
        <f t="shared" ref="AB57" si="19">B57+L57+U57</f>
        <v>80214412.539999992</v>
      </c>
      <c r="AC57" s="6">
        <f>C57+D57+E57+F57+M57+N57+O57+P57+V57+W57+X57+Y57+G57+H57+Q57+R57+Z57+AA57+I57+J57+S57+T57+K57</f>
        <v>61885582.859999985</v>
      </c>
      <c r="AD57" s="165">
        <f t="shared" ref="AD57" si="20">AB57-AC57</f>
        <v>18328829.680000007</v>
      </c>
      <c r="AE57">
        <v>2</v>
      </c>
    </row>
    <row r="58" spans="1:31">
      <c r="A58" s="38">
        <v>45716</v>
      </c>
      <c r="B58" s="2">
        <v>42382127.769999996</v>
      </c>
      <c r="C58" s="2">
        <v>0</v>
      </c>
      <c r="D58" s="2">
        <v>0</v>
      </c>
      <c r="E58" s="2">
        <v>0</v>
      </c>
      <c r="F58" s="2">
        <v>4049211.92</v>
      </c>
      <c r="G58" s="2">
        <v>3974619</v>
      </c>
      <c r="H58" s="2">
        <v>8354370.9000000004</v>
      </c>
      <c r="I58" s="2">
        <v>6548335.25</v>
      </c>
      <c r="J58" s="2">
        <v>415880.8</v>
      </c>
      <c r="K58" s="2">
        <v>8379680.7599999998</v>
      </c>
      <c r="L58" s="161">
        <v>39644442.18</v>
      </c>
      <c r="M58" s="2">
        <v>11426157.439999999</v>
      </c>
      <c r="N58" s="2">
        <v>0</v>
      </c>
      <c r="O58" s="2">
        <v>4289577.08</v>
      </c>
      <c r="P58" s="2">
        <v>3125777.28</v>
      </c>
      <c r="Q58" s="2">
        <v>1939489.2</v>
      </c>
      <c r="R58" s="2">
        <v>1523652.84</v>
      </c>
      <c r="S58" s="2">
        <v>3979185.63</v>
      </c>
      <c r="T58" s="2">
        <v>5836946</v>
      </c>
      <c r="U58" s="161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161">
        <f t="shared" ref="AB58:AB59" si="21">B58+L58+U58</f>
        <v>82026569.949999988</v>
      </c>
      <c r="AC58" s="6">
        <f t="shared" ref="AC58:AC59" si="22">C58+D58+E58+F58+M58+N58+O58+P58+V58+W58+X58+Y58+G58+H58+Q58+R58+Z58+AA58+I58+J58+S58+T58+K58</f>
        <v>63842884.100000001</v>
      </c>
      <c r="AD58" s="165">
        <f t="shared" ref="AD58:AD59" si="23">AB58-AC58</f>
        <v>18183685.849999987</v>
      </c>
      <c r="AE58">
        <v>2</v>
      </c>
    </row>
    <row r="59" spans="1:31">
      <c r="A59" s="38">
        <v>45747</v>
      </c>
      <c r="B59" s="2">
        <v>41414969.329999998</v>
      </c>
      <c r="C59" s="25">
        <v>0</v>
      </c>
      <c r="D59" s="25">
        <v>0</v>
      </c>
      <c r="E59" s="25">
        <v>0</v>
      </c>
      <c r="F59" s="25">
        <v>4902613.03</v>
      </c>
      <c r="G59" s="25">
        <v>4081875.2</v>
      </c>
      <c r="H59" s="25">
        <v>8257405</v>
      </c>
      <c r="I59" s="25">
        <v>0</v>
      </c>
      <c r="J59" s="25">
        <v>4065614.6</v>
      </c>
      <c r="K59" s="25">
        <v>7860234.7999999998</v>
      </c>
      <c r="L59" s="161">
        <v>43193644.519999996</v>
      </c>
      <c r="M59" s="25">
        <v>12458822.869999999</v>
      </c>
      <c r="N59" s="25">
        <v>0</v>
      </c>
      <c r="O59" s="25">
        <v>4713060.8</v>
      </c>
      <c r="P59" s="25">
        <v>3392365.94</v>
      </c>
      <c r="Q59" s="25">
        <v>2139888.7999999998</v>
      </c>
      <c r="R59" s="25">
        <v>1722962.16</v>
      </c>
      <c r="S59" s="25">
        <v>4276885.2</v>
      </c>
      <c r="T59" s="25">
        <v>6383102.2000000002</v>
      </c>
      <c r="U59" s="161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161">
        <f t="shared" si="21"/>
        <v>84608613.849999994</v>
      </c>
      <c r="AC59" s="6">
        <f t="shared" si="22"/>
        <v>64254830.600000001</v>
      </c>
      <c r="AD59" s="165">
        <f t="shared" si="23"/>
        <v>20353783.249999993</v>
      </c>
      <c r="AE59">
        <v>2</v>
      </c>
    </row>
    <row r="60" spans="1:31">
      <c r="A60" s="38">
        <v>45777</v>
      </c>
      <c r="B60" s="2">
        <v>42790825.830000006</v>
      </c>
      <c r="C60" s="208">
        <v>0</v>
      </c>
      <c r="D60" s="208">
        <v>0</v>
      </c>
      <c r="E60" s="208">
        <v>0</v>
      </c>
      <c r="F60" s="208">
        <v>5068370.46</v>
      </c>
      <c r="G60" s="208">
        <v>4248571</v>
      </c>
      <c r="H60" s="208">
        <v>8493655.0600000005</v>
      </c>
      <c r="I60" s="208">
        <v>0</v>
      </c>
      <c r="J60" s="208">
        <v>4233052.7</v>
      </c>
      <c r="K60" s="208">
        <v>8057971</v>
      </c>
      <c r="L60" s="161">
        <v>43441459.079999991</v>
      </c>
      <c r="M60" s="208">
        <v>12581159.199999999</v>
      </c>
      <c r="N60" s="208">
        <v>0</v>
      </c>
      <c r="O60" s="208">
        <v>4762043.13</v>
      </c>
      <c r="P60" s="208">
        <v>3407905.77</v>
      </c>
      <c r="Q60" s="208">
        <v>2146962.7599999998</v>
      </c>
      <c r="R60" s="208">
        <v>1701322.92</v>
      </c>
      <c r="S60" s="208">
        <v>4262312.46</v>
      </c>
      <c r="T60" s="208">
        <v>6420905.4000000004</v>
      </c>
      <c r="U60" s="161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161">
        <f t="shared" ref="AB60" si="24">B60+L60+U60</f>
        <v>86232284.909999996</v>
      </c>
      <c r="AC60" s="6">
        <f t="shared" ref="AC60" si="25">C60+D60+E60+F60+M60+N60+O60+P60+V60+W60+X60+Y60+G60+H60+Q60+R60+Z60+AA60+I60+J60+S60+T60+K60</f>
        <v>65384231.859999999</v>
      </c>
      <c r="AD60" s="165">
        <f t="shared" ref="AD60" si="26">AB60-AC60</f>
        <v>20848053.049999997</v>
      </c>
      <c r="AE60">
        <v>2</v>
      </c>
    </row>
    <row r="61" spans="1:31">
      <c r="A61" s="38">
        <v>45808</v>
      </c>
      <c r="B61" s="2">
        <v>46244828.510000005</v>
      </c>
      <c r="C61" s="209">
        <v>0</v>
      </c>
      <c r="D61" s="209">
        <v>0</v>
      </c>
      <c r="E61" s="209">
        <v>0</v>
      </c>
      <c r="F61" s="209">
        <v>5330371.79</v>
      </c>
      <c r="G61" s="209">
        <v>4551715</v>
      </c>
      <c r="H61" s="209">
        <v>9071751.4900000002</v>
      </c>
      <c r="I61" s="209">
        <v>0</v>
      </c>
      <c r="J61" s="209">
        <v>4553151.2</v>
      </c>
      <c r="K61" s="209">
        <v>8823297.1300000008</v>
      </c>
      <c r="L61" s="161">
        <v>47337054.029999994</v>
      </c>
      <c r="M61" s="208">
        <v>13325077.75</v>
      </c>
      <c r="N61" s="208">
        <v>0</v>
      </c>
      <c r="O61" s="208">
        <v>5111447.33</v>
      </c>
      <c r="P61" s="208">
        <v>3584072.03</v>
      </c>
      <c r="Q61" s="208">
        <v>2312658.6</v>
      </c>
      <c r="R61" s="208">
        <v>1835357.48</v>
      </c>
      <c r="S61" s="208">
        <v>4583918.9000000004</v>
      </c>
      <c r="T61" s="208">
        <v>6926902.4000000004</v>
      </c>
      <c r="U61" s="161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161">
        <f t="shared" ref="AB61" si="27">B61+L61+U61</f>
        <v>93581882.539999992</v>
      </c>
      <c r="AC61" s="6">
        <f t="shared" ref="AC61" si="28">C61+D61+E61+F61+M61+N61+O61+P61+V61+W61+X61+Y61+G61+H61+Q61+R61+Z61+AA61+I61+J61+S61+T61+K61</f>
        <v>70009721.099999994</v>
      </c>
      <c r="AD61" s="165">
        <f t="shared" ref="AD61" si="29">AB61-AC61</f>
        <v>23572161.439999998</v>
      </c>
      <c r="AE61">
        <v>2</v>
      </c>
    </row>
    <row r="62" spans="1:31">
      <c r="A62" s="38">
        <v>45838</v>
      </c>
      <c r="B62" s="2">
        <v>48904002.290000007</v>
      </c>
      <c r="C62" s="208">
        <v>0</v>
      </c>
      <c r="D62" s="208">
        <v>0</v>
      </c>
      <c r="E62" s="208">
        <v>0</v>
      </c>
      <c r="F62" s="208">
        <v>5753785.1900000004</v>
      </c>
      <c r="G62" s="208">
        <v>4836900</v>
      </c>
      <c r="H62" s="208">
        <v>9684745.5600000005</v>
      </c>
      <c r="I62" s="208">
        <v>0</v>
      </c>
      <c r="J62" s="208">
        <v>4837906.75</v>
      </c>
      <c r="K62" s="208">
        <v>9338948</v>
      </c>
      <c r="L62" s="161">
        <v>48792586.510000005</v>
      </c>
      <c r="M62" s="208">
        <v>14087268.890000001</v>
      </c>
      <c r="N62" s="208">
        <v>0</v>
      </c>
      <c r="O62" s="208">
        <v>5358698.66</v>
      </c>
      <c r="P62" s="208">
        <v>3912749.93</v>
      </c>
      <c r="Q62" s="208">
        <v>2391251.2000000002</v>
      </c>
      <c r="R62" s="208">
        <v>1952748</v>
      </c>
      <c r="S62" s="208">
        <v>4796320.9000000004</v>
      </c>
      <c r="T62" s="208">
        <v>7218121.9800000004</v>
      </c>
      <c r="U62" s="161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161">
        <f t="shared" ref="AB62" si="30">B62+L62+U62</f>
        <v>97696588.800000012</v>
      </c>
      <c r="AC62" s="6">
        <f t="shared" ref="AC62" si="31">C62+D62+E62+F62+M62+N62+O62+P62+V62+W62+X62+Y62+G62+H62+Q62+R62+Z62+AA62+I62+J62+S62+T62+K62</f>
        <v>74169445.060000002</v>
      </c>
      <c r="AD62" s="165">
        <f t="shared" ref="AD62" si="32">AB62-AC62</f>
        <v>23527143.74000001</v>
      </c>
      <c r="AE62">
        <v>2</v>
      </c>
    </row>
    <row r="64" spans="1:31">
      <c r="B64" s="2">
        <f>B62-B59</f>
        <v>7489032.9600000083</v>
      </c>
      <c r="L64" s="2">
        <f>L62-L59</f>
        <v>5598941.9900000095</v>
      </c>
    </row>
    <row r="65" spans="2:12">
      <c r="B65" s="2">
        <f>B62-B56</f>
        <v>19835708.240000006</v>
      </c>
      <c r="L65" s="2">
        <f>L62-L56</f>
        <v>20319844.960000001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C65B5-9D17-C54A-B628-051C76A9E4C1}">
  <sheetPr>
    <tabColor theme="4" tint="0.59999389629810485"/>
  </sheetPr>
  <dimension ref="A1:L44"/>
  <sheetViews>
    <sheetView workbookViewId="0">
      <selection activeCell="B29" sqref="B29"/>
    </sheetView>
  </sheetViews>
  <sheetFormatPr baseColWidth="10" defaultRowHeight="16"/>
  <cols>
    <col min="2" max="2" width="16" bestFit="1" customWidth="1"/>
    <col min="4" max="4" width="14.6640625" bestFit="1" customWidth="1"/>
    <col min="5" max="6" width="15.5" customWidth="1"/>
    <col min="7" max="7" width="15" bestFit="1" customWidth="1"/>
    <col min="8" max="9" width="15" customWidth="1"/>
    <col min="10" max="10" width="19" bestFit="1" customWidth="1"/>
    <col min="11" max="11" width="5.5" bestFit="1" customWidth="1"/>
  </cols>
  <sheetData>
    <row r="1" spans="1:12">
      <c r="A1" s="55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10</v>
      </c>
      <c r="G1" s="3" t="s">
        <v>163</v>
      </c>
      <c r="H1" s="3" t="s">
        <v>176</v>
      </c>
      <c r="I1" s="3" t="s">
        <v>174</v>
      </c>
      <c r="J1" s="17" t="s">
        <v>167</v>
      </c>
      <c r="K1" s="3" t="s">
        <v>69</v>
      </c>
      <c r="L1" s="3"/>
    </row>
    <row r="2" spans="1:12">
      <c r="A2" s="38">
        <v>45016</v>
      </c>
      <c r="B2" s="2">
        <v>12672900.000000002</v>
      </c>
      <c r="C2" s="11"/>
      <c r="D2" s="6"/>
      <c r="E2" s="6"/>
      <c r="F2" s="6"/>
      <c r="G2" s="2">
        <v>0</v>
      </c>
      <c r="H2" s="2"/>
      <c r="I2" s="2"/>
      <c r="J2" s="6">
        <f t="shared" ref="J2:J16" si="0">B2-G2</f>
        <v>12672900.000000002</v>
      </c>
      <c r="K2">
        <v>1</v>
      </c>
    </row>
    <row r="3" spans="1:12">
      <c r="A3" s="38">
        <v>45046</v>
      </c>
      <c r="B3" s="2">
        <v>70190907.5</v>
      </c>
      <c r="C3" s="11">
        <v>1.6000000000000001E-3</v>
      </c>
      <c r="D3" s="6">
        <f t="shared" ref="D3:D23" si="1">SUM(C3*B2)</f>
        <v>20276.640000000003</v>
      </c>
      <c r="E3" s="6">
        <f t="shared" ref="E3:E23" si="2">B3-(B2+D3)</f>
        <v>57497730.859999999</v>
      </c>
      <c r="F3" s="6">
        <f t="shared" ref="F3:F23" si="3">IF(E3&gt;0,E3,E3+D3)</f>
        <v>57497730.859999999</v>
      </c>
      <c r="G3" s="2">
        <v>7050681.0200000005</v>
      </c>
      <c r="H3" s="2"/>
      <c r="I3" s="2"/>
      <c r="J3" s="6">
        <f t="shared" si="0"/>
        <v>63140226.479999997</v>
      </c>
      <c r="K3">
        <v>1</v>
      </c>
    </row>
    <row r="4" spans="1:12">
      <c r="A4" s="38">
        <v>45077</v>
      </c>
      <c r="B4" s="2">
        <v>87531194.659999996</v>
      </c>
      <c r="C4" s="11">
        <v>-8.3000000000000001E-3</v>
      </c>
      <c r="D4" s="6">
        <f t="shared" si="1"/>
        <v>-582584.53225000005</v>
      </c>
      <c r="E4" s="6">
        <f t="shared" si="2"/>
        <v>17922871.692249998</v>
      </c>
      <c r="F4" s="6">
        <f t="shared" si="3"/>
        <v>17922871.692249998</v>
      </c>
      <c r="G4" s="2">
        <v>8829553.8399999999</v>
      </c>
      <c r="H4" s="2"/>
      <c r="I4" s="2"/>
      <c r="J4" s="6">
        <f t="shared" si="0"/>
        <v>78701640.819999993</v>
      </c>
      <c r="K4">
        <v>1</v>
      </c>
    </row>
    <row r="5" spans="1:12">
      <c r="A5" s="38">
        <v>45107</v>
      </c>
      <c r="B5" s="2">
        <v>94108809.730000004</v>
      </c>
      <c r="C5" s="11">
        <v>3.0759999999999999E-2</v>
      </c>
      <c r="D5" s="6">
        <f t="shared" si="1"/>
        <v>2692459.5477415998</v>
      </c>
      <c r="E5" s="6">
        <f t="shared" si="2"/>
        <v>3885155.5222584009</v>
      </c>
      <c r="F5" s="6">
        <f t="shared" si="3"/>
        <v>3885155.5222584009</v>
      </c>
      <c r="G5" s="6">
        <v>9753519.25</v>
      </c>
      <c r="H5" s="6"/>
      <c r="I5" s="6"/>
      <c r="J5" s="6">
        <f t="shared" si="0"/>
        <v>84355290.480000004</v>
      </c>
      <c r="K5">
        <v>1</v>
      </c>
    </row>
    <row r="6" spans="1:12">
      <c r="A6" s="38">
        <v>45138</v>
      </c>
      <c r="B6" s="2">
        <v>102608667.81</v>
      </c>
      <c r="C6" s="11">
        <v>2.3300000000000001E-2</v>
      </c>
      <c r="D6" s="6">
        <f t="shared" si="1"/>
        <v>2192735.2667090003</v>
      </c>
      <c r="E6" s="6">
        <f t="shared" si="2"/>
        <v>6307122.8132909983</v>
      </c>
      <c r="F6" s="6">
        <f t="shared" si="3"/>
        <v>6307122.8132909983</v>
      </c>
      <c r="G6" s="6">
        <v>11169272.07</v>
      </c>
      <c r="H6" s="6"/>
      <c r="I6" s="6"/>
      <c r="J6" s="6">
        <f t="shared" si="0"/>
        <v>91439395.74000001</v>
      </c>
      <c r="K6">
        <v>1</v>
      </c>
    </row>
    <row r="7" spans="1:12">
      <c r="A7" s="38">
        <v>45169</v>
      </c>
      <c r="B7" s="2">
        <v>110389163.8</v>
      </c>
      <c r="C7" s="11">
        <v>-2.18E-2</v>
      </c>
      <c r="D7" s="6">
        <f t="shared" si="1"/>
        <v>-2236868.9582580002</v>
      </c>
      <c r="E7" s="6">
        <f t="shared" si="2"/>
        <v>10017364.948257998</v>
      </c>
      <c r="F7" s="6">
        <f t="shared" si="3"/>
        <v>10017364.948257998</v>
      </c>
      <c r="G7" s="6">
        <v>23216088</v>
      </c>
      <c r="H7" s="6"/>
      <c r="I7" s="6"/>
      <c r="J7" s="6">
        <f t="shared" si="0"/>
        <v>87173075.799999997</v>
      </c>
      <c r="K7">
        <v>1</v>
      </c>
    </row>
    <row r="8" spans="1:12">
      <c r="A8" s="38">
        <v>45199</v>
      </c>
      <c r="B8" s="2">
        <v>107760514.24999999</v>
      </c>
      <c r="C8" s="11">
        <v>-4.0199999999999993E-2</v>
      </c>
      <c r="D8" s="6">
        <f t="shared" si="1"/>
        <v>-4437644.3847599989</v>
      </c>
      <c r="E8" s="6">
        <f t="shared" si="2"/>
        <v>1808994.8347599804</v>
      </c>
      <c r="F8" s="6">
        <f t="shared" si="3"/>
        <v>1808994.8347599804</v>
      </c>
      <c r="G8" s="6">
        <v>22832241</v>
      </c>
      <c r="H8" s="6"/>
      <c r="I8" s="6"/>
      <c r="J8" s="6">
        <f t="shared" si="0"/>
        <v>84928273.249999985</v>
      </c>
      <c r="K8">
        <v>1</v>
      </c>
    </row>
    <row r="9" spans="1:12">
      <c r="A9" s="38">
        <v>45230</v>
      </c>
      <c r="B9" s="2">
        <v>102976631.24000001</v>
      </c>
      <c r="C9" s="11">
        <v>-1.9599999999999999E-2</v>
      </c>
      <c r="D9" s="6">
        <f t="shared" si="1"/>
        <v>-2112106.0792999999</v>
      </c>
      <c r="E9" s="6">
        <f t="shared" si="2"/>
        <v>-2671776.9306999743</v>
      </c>
      <c r="F9" s="6">
        <f t="shared" si="3"/>
        <v>-4783883.0099999737</v>
      </c>
      <c r="G9" s="6">
        <v>30543112.18</v>
      </c>
      <c r="H9" s="6"/>
      <c r="I9" s="6"/>
      <c r="J9" s="6">
        <f t="shared" si="0"/>
        <v>72433519.060000002</v>
      </c>
      <c r="K9">
        <v>1</v>
      </c>
    </row>
    <row r="10" spans="1:12">
      <c r="A10" s="38">
        <v>45260</v>
      </c>
      <c r="B10" s="2">
        <v>106467692.09999999</v>
      </c>
      <c r="C10" s="11">
        <v>6.1699999999999998E-2</v>
      </c>
      <c r="D10" s="6">
        <f t="shared" si="1"/>
        <v>6353658.147508</v>
      </c>
      <c r="E10" s="6">
        <f t="shared" si="2"/>
        <v>-2862597.2875080109</v>
      </c>
      <c r="F10" s="6">
        <f t="shared" si="3"/>
        <v>3491060.8599999892</v>
      </c>
      <c r="G10" s="6">
        <v>31864321.440000001</v>
      </c>
      <c r="H10" s="6"/>
      <c r="I10" s="6"/>
      <c r="J10" s="6">
        <f t="shared" si="0"/>
        <v>74603370.659999996</v>
      </c>
      <c r="K10">
        <v>1</v>
      </c>
    </row>
    <row r="11" spans="1:12">
      <c r="A11" s="38">
        <v>45291</v>
      </c>
      <c r="B11" s="2">
        <v>106373063.01000001</v>
      </c>
      <c r="C11" s="11">
        <v>5.21E-2</v>
      </c>
      <c r="D11" s="6">
        <f t="shared" si="1"/>
        <v>5546966.7584099993</v>
      </c>
      <c r="E11" s="6">
        <f t="shared" si="2"/>
        <v>-5641595.8484099954</v>
      </c>
      <c r="F11" s="6">
        <f t="shared" si="3"/>
        <v>-94629.089999996126</v>
      </c>
      <c r="G11" s="6">
        <v>31351576.010000002</v>
      </c>
      <c r="H11" s="6"/>
      <c r="I11" s="6"/>
      <c r="J11" s="6">
        <f t="shared" si="0"/>
        <v>75021487</v>
      </c>
      <c r="K11">
        <v>1</v>
      </c>
    </row>
    <row r="12" spans="1:12">
      <c r="A12" s="38">
        <v>45322</v>
      </c>
      <c r="B12" s="2">
        <v>103661400</v>
      </c>
      <c r="C12" s="11">
        <v>7.4999999999999997E-3</v>
      </c>
      <c r="D12" s="6">
        <f t="shared" si="1"/>
        <v>797797.97257500002</v>
      </c>
      <c r="E12" s="6">
        <f t="shared" si="2"/>
        <v>-3509460.9825749993</v>
      </c>
      <c r="F12" s="6">
        <f t="shared" si="3"/>
        <v>-2711663.0099999993</v>
      </c>
      <c r="G12" s="6">
        <v>36204501.899999999</v>
      </c>
      <c r="H12" s="6"/>
      <c r="I12" s="6"/>
      <c r="J12" s="6">
        <f t="shared" si="0"/>
        <v>67456898.099999994</v>
      </c>
      <c r="K12">
        <v>1</v>
      </c>
    </row>
    <row r="13" spans="1:12">
      <c r="A13" s="38">
        <v>45351</v>
      </c>
      <c r="B13" s="2">
        <v>99875979.560000002</v>
      </c>
      <c r="C13" s="11">
        <v>4.0199999999999993E-2</v>
      </c>
      <c r="D13" s="6">
        <f t="shared" si="1"/>
        <v>4167188.2799999993</v>
      </c>
      <c r="E13" s="6">
        <f t="shared" si="2"/>
        <v>-7952608.7199999988</v>
      </c>
      <c r="F13" s="6">
        <f t="shared" si="3"/>
        <v>-3785420.4399999995</v>
      </c>
      <c r="G13" s="6">
        <v>35427249.759999998</v>
      </c>
      <c r="H13" s="6"/>
      <c r="I13" s="6"/>
      <c r="J13" s="6">
        <f t="shared" si="0"/>
        <v>64448729.800000004</v>
      </c>
      <c r="K13">
        <v>1</v>
      </c>
    </row>
    <row r="14" spans="1:12">
      <c r="A14" s="38">
        <v>45382</v>
      </c>
      <c r="B14" s="2">
        <v>60328963.749999993</v>
      </c>
      <c r="C14" s="11">
        <v>2.7200000000000002E-2</v>
      </c>
      <c r="D14" s="6">
        <f t="shared" si="1"/>
        <v>2716626.6440320001</v>
      </c>
      <c r="E14" s="6">
        <f t="shared" si="2"/>
        <v>-42263642.454032011</v>
      </c>
      <c r="F14" s="6">
        <f t="shared" si="3"/>
        <v>-39547015.81000001</v>
      </c>
      <c r="G14" s="6">
        <v>21603312.469999999</v>
      </c>
      <c r="H14" s="6"/>
      <c r="I14" s="6"/>
      <c r="J14" s="6">
        <f t="shared" si="0"/>
        <v>38725651.279999994</v>
      </c>
      <c r="K14">
        <v>1</v>
      </c>
    </row>
    <row r="15" spans="1:12">
      <c r="A15" s="38">
        <v>45412</v>
      </c>
      <c r="B15" s="2">
        <v>57005521.090000004</v>
      </c>
      <c r="C15" s="11">
        <v>-4.1299999999999996E-2</v>
      </c>
      <c r="D15" s="6">
        <f t="shared" si="1"/>
        <v>-2491586.2028749995</v>
      </c>
      <c r="E15" s="6">
        <f t="shared" si="2"/>
        <v>-831856.45712499321</v>
      </c>
      <c r="F15" s="6">
        <f t="shared" si="3"/>
        <v>-3323442.6599999927</v>
      </c>
      <c r="G15" s="6">
        <v>20365081.719999999</v>
      </c>
      <c r="H15" s="6"/>
      <c r="I15" s="6"/>
      <c r="J15" s="6">
        <f t="shared" si="0"/>
        <v>36640439.370000005</v>
      </c>
      <c r="K15">
        <v>1</v>
      </c>
    </row>
    <row r="16" spans="1:12">
      <c r="A16" s="38">
        <v>45443</v>
      </c>
      <c r="B16" s="2">
        <v>57410547.969999991</v>
      </c>
      <c r="C16" s="11">
        <v>4.82E-2</v>
      </c>
      <c r="D16" s="6">
        <f t="shared" si="1"/>
        <v>2747666.1165380003</v>
      </c>
      <c r="E16" s="6">
        <f t="shared" si="2"/>
        <v>-2342639.2365380153</v>
      </c>
      <c r="F16" s="6">
        <f t="shared" si="3"/>
        <v>405026.87999998499</v>
      </c>
      <c r="G16" s="6">
        <v>20769452.609999999</v>
      </c>
      <c r="H16" s="6"/>
      <c r="I16" s="6"/>
      <c r="J16" s="6">
        <f t="shared" si="0"/>
        <v>36641095.359999992</v>
      </c>
      <c r="K16">
        <v>1</v>
      </c>
    </row>
    <row r="17" spans="1:11">
      <c r="A17" s="38">
        <v>45473</v>
      </c>
      <c r="B17" s="2">
        <v>58001183.829999998</v>
      </c>
      <c r="C17" s="11">
        <v>2.7400000000000001E-2</v>
      </c>
      <c r="D17" s="6">
        <f t="shared" si="1"/>
        <v>1573049.0143779998</v>
      </c>
      <c r="E17" s="6">
        <f t="shared" si="2"/>
        <v>-982413.15437798947</v>
      </c>
      <c r="F17" s="6">
        <f t="shared" si="3"/>
        <v>590635.86000001035</v>
      </c>
      <c r="G17" s="6">
        <v>21061347.300000001</v>
      </c>
      <c r="H17" s="6">
        <v>4230644.2300000004</v>
      </c>
      <c r="I17" s="6"/>
      <c r="J17" s="6">
        <f t="shared" ref="J17:J23" si="4">B17-G17-H17</f>
        <v>32709192.300000001</v>
      </c>
      <c r="K17">
        <v>1</v>
      </c>
    </row>
    <row r="18" spans="1:11">
      <c r="A18" s="38">
        <v>45504</v>
      </c>
      <c r="B18" s="2">
        <v>59524318.839999996</v>
      </c>
      <c r="C18" s="11">
        <v>9.1999999999999998E-3</v>
      </c>
      <c r="D18" s="6">
        <f t="shared" si="1"/>
        <v>533610.891236</v>
      </c>
      <c r="E18" s="6">
        <f t="shared" si="2"/>
        <v>989524.11876399815</v>
      </c>
      <c r="F18" s="6">
        <f t="shared" si="3"/>
        <v>989524.11876399815</v>
      </c>
      <c r="G18" s="6">
        <v>21233970.449999999</v>
      </c>
      <c r="H18" s="6">
        <v>5299120.01</v>
      </c>
      <c r="I18" s="6"/>
      <c r="J18" s="6">
        <f t="shared" si="4"/>
        <v>32991228.380000003</v>
      </c>
      <c r="K18">
        <v>1</v>
      </c>
    </row>
    <row r="19" spans="1:11">
      <c r="A19" s="38">
        <v>45535</v>
      </c>
      <c r="B19" s="2">
        <v>59655723.910000011</v>
      </c>
      <c r="C19" s="11">
        <v>7.3000000000000001E-3</v>
      </c>
      <c r="D19" s="6">
        <f t="shared" si="1"/>
        <v>434527.52753199998</v>
      </c>
      <c r="E19" s="6">
        <f t="shared" si="2"/>
        <v>-303122.45753198117</v>
      </c>
      <c r="F19" s="6">
        <f t="shared" si="3"/>
        <v>131405.07000001881</v>
      </c>
      <c r="G19" s="6">
        <v>21093080.399999999</v>
      </c>
      <c r="H19" s="6">
        <v>5263151.33</v>
      </c>
      <c r="I19" s="6"/>
      <c r="J19" s="6">
        <f t="shared" si="4"/>
        <v>33299492.180000015</v>
      </c>
      <c r="K19">
        <v>1</v>
      </c>
    </row>
    <row r="20" spans="1:11">
      <c r="A20" s="38">
        <v>45565</v>
      </c>
      <c r="B20" s="2">
        <v>60511802.539999992</v>
      </c>
      <c r="C20" s="11">
        <v>1.2200000000000001E-2</v>
      </c>
      <c r="D20" s="6">
        <f t="shared" si="1"/>
        <v>727799.83170200023</v>
      </c>
      <c r="E20" s="6">
        <f t="shared" si="2"/>
        <v>128278.79829797894</v>
      </c>
      <c r="F20" s="6">
        <f t="shared" si="3"/>
        <v>128278.79829797894</v>
      </c>
      <c r="G20" s="6">
        <v>21073427.359999999</v>
      </c>
      <c r="H20" s="6">
        <v>6034728.0800000001</v>
      </c>
      <c r="I20" s="6"/>
      <c r="J20" s="6">
        <f t="shared" si="4"/>
        <v>33403647.099999994</v>
      </c>
      <c r="K20">
        <v>1</v>
      </c>
    </row>
    <row r="21" spans="1:11">
      <c r="A21" s="38">
        <v>45596</v>
      </c>
      <c r="B21" s="2">
        <v>59540691.569999993</v>
      </c>
      <c r="C21" s="11">
        <v>-1.6524250000000001E-2</v>
      </c>
      <c r="D21" s="6">
        <f t="shared" si="1"/>
        <v>-999912.15312159492</v>
      </c>
      <c r="E21" s="6">
        <f t="shared" si="2"/>
        <v>28801.183121599257</v>
      </c>
      <c r="F21" s="6">
        <f t="shared" si="3"/>
        <v>28801.183121599257</v>
      </c>
      <c r="G21" s="6">
        <v>20646439.370000001</v>
      </c>
      <c r="H21" s="6">
        <v>6015529.6799999997</v>
      </c>
      <c r="I21" s="6"/>
      <c r="J21" s="6">
        <f t="shared" si="4"/>
        <v>32878722.519999988</v>
      </c>
      <c r="K21">
        <v>1</v>
      </c>
    </row>
    <row r="22" spans="1:11">
      <c r="A22" s="38">
        <v>45626</v>
      </c>
      <c r="B22" s="2">
        <v>62620446.390000001</v>
      </c>
      <c r="C22" s="11">
        <v>5.4464020000000002E-2</v>
      </c>
      <c r="D22" s="6">
        <f t="shared" si="1"/>
        <v>3242825.4164823112</v>
      </c>
      <c r="E22" s="6">
        <f t="shared" si="2"/>
        <v>-163070.59648230672</v>
      </c>
      <c r="F22" s="6">
        <f t="shared" si="3"/>
        <v>3079754.8200000045</v>
      </c>
      <c r="G22" s="6">
        <v>21652328.68</v>
      </c>
      <c r="H22" s="6">
        <v>9220377.8300000001</v>
      </c>
      <c r="I22" s="6"/>
      <c r="J22" s="6">
        <f t="shared" si="4"/>
        <v>31747739.880000003</v>
      </c>
      <c r="K22">
        <v>1</v>
      </c>
    </row>
    <row r="23" spans="1:11">
      <c r="A23" s="38">
        <v>45657</v>
      </c>
      <c r="B23" s="2">
        <v>58941096.326799996</v>
      </c>
      <c r="C23" s="11">
        <v>-4.4938269999999995E-2</v>
      </c>
      <c r="D23" s="6">
        <f t="shared" si="1"/>
        <v>-2814054.527394345</v>
      </c>
      <c r="E23" s="6">
        <f t="shared" si="2"/>
        <v>-865295.53580565751</v>
      </c>
      <c r="F23" s="6">
        <f t="shared" si="3"/>
        <v>-3679350.0632000025</v>
      </c>
      <c r="G23" s="6">
        <v>19683902.579999998</v>
      </c>
      <c r="H23" s="6">
        <v>9297598.0368000008</v>
      </c>
      <c r="I23" s="6"/>
      <c r="J23" s="6">
        <f t="shared" si="4"/>
        <v>29959595.709999997</v>
      </c>
      <c r="K23">
        <v>1</v>
      </c>
    </row>
    <row r="24" spans="1:11">
      <c r="A24" s="38">
        <v>45688</v>
      </c>
      <c r="B24" s="2">
        <v>63469386.610000007</v>
      </c>
      <c r="C24" s="11">
        <v>2.6048779999999997E-2</v>
      </c>
      <c r="D24" s="6">
        <f t="shared" ref="D24" si="5">SUM(C24*B23)</f>
        <v>1535343.651175621</v>
      </c>
      <c r="E24" s="6">
        <f t="shared" ref="E24" si="6">B24-(B23+D24)</f>
        <v>2992946.6320243925</v>
      </c>
      <c r="F24" s="6">
        <f t="shared" ref="F24" si="7">IF(E24&gt;0,E24,E24+D24)</f>
        <v>2992946.6320243925</v>
      </c>
      <c r="G24" s="6">
        <v>19107608.52</v>
      </c>
      <c r="H24" s="6">
        <v>3156057.42</v>
      </c>
      <c r="I24" s="6">
        <v>12489924.880000001</v>
      </c>
      <c r="J24" s="6">
        <f>B24-G24-H24-I24</f>
        <v>28715795.789999999</v>
      </c>
      <c r="K24">
        <v>1</v>
      </c>
    </row>
    <row r="25" spans="1:11">
      <c r="A25" s="38">
        <v>45716</v>
      </c>
      <c r="B25" s="2">
        <v>68213638.120000005</v>
      </c>
      <c r="C25" s="11">
        <v>-1.1488500000000001E-3</v>
      </c>
      <c r="D25" s="6">
        <f t="shared" ref="D25:D26" si="8">SUM(C25*B24)</f>
        <v>-72916.804806898508</v>
      </c>
      <c r="E25" s="6">
        <f t="shared" ref="E25:E26" si="9">B25-(B24+D25)</f>
        <v>4817168.3148068935</v>
      </c>
      <c r="F25" s="6">
        <f t="shared" ref="F25:F26" si="10">IF(E25&gt;0,E25,E25+D25)</f>
        <v>4817168.3148068935</v>
      </c>
      <c r="G25" s="6">
        <v>20082823.52</v>
      </c>
      <c r="H25" s="6">
        <v>3311351.6</v>
      </c>
      <c r="I25" s="6">
        <v>13461641</v>
      </c>
      <c r="J25" s="6">
        <f t="shared" ref="J25:J26" si="11">B25-G25-H25-I25</f>
        <v>31357822.000000007</v>
      </c>
      <c r="K25">
        <v>1</v>
      </c>
    </row>
    <row r="26" spans="1:11">
      <c r="A26" s="38">
        <v>45747</v>
      </c>
      <c r="B26" s="2">
        <v>62572936.459999993</v>
      </c>
      <c r="C26" s="11">
        <v>-2.4372340000000003E-2</v>
      </c>
      <c r="D26" s="6">
        <f t="shared" si="8"/>
        <v>-1662525.980897601</v>
      </c>
      <c r="E26" s="6">
        <f t="shared" si="9"/>
        <v>-3978175.6791024134</v>
      </c>
      <c r="F26" s="6">
        <f t="shared" si="10"/>
        <v>-5640701.6600000141</v>
      </c>
      <c r="G26" s="6">
        <v>11479561.949999999</v>
      </c>
      <c r="H26" s="6">
        <v>0</v>
      </c>
      <c r="I26" s="6">
        <v>15807971.050000001</v>
      </c>
      <c r="J26" s="6">
        <f t="shared" si="11"/>
        <v>35285403.459999993</v>
      </c>
      <c r="K26">
        <v>1</v>
      </c>
    </row>
    <row r="27" spans="1:11">
      <c r="A27" s="38">
        <v>45777</v>
      </c>
      <c r="B27" s="2">
        <v>61059803.210000001</v>
      </c>
      <c r="C27" s="11">
        <v>-1.2800000000000001E-2</v>
      </c>
      <c r="D27" s="6">
        <f t="shared" ref="D27" si="12">SUM(C27*B26)</f>
        <v>-800933.58668800001</v>
      </c>
      <c r="E27" s="6">
        <f t="shared" ref="E27" si="13">B27-(B26+D27)</f>
        <v>-712199.66331199557</v>
      </c>
      <c r="F27" s="6">
        <f t="shared" ref="F27" si="14">IF(E27&gt;0,E27,E27+D27)</f>
        <v>-1513133.2499999956</v>
      </c>
      <c r="G27" s="6">
        <v>11479561.949999999</v>
      </c>
      <c r="H27" s="6">
        <v>0</v>
      </c>
      <c r="I27" s="6">
        <v>15807971.050000001</v>
      </c>
      <c r="J27" s="6">
        <f t="shared" ref="J27" si="15">B27-G27-H27-I27</f>
        <v>33772270.210000008</v>
      </c>
      <c r="K27">
        <v>1</v>
      </c>
    </row>
    <row r="28" spans="1:11">
      <c r="A28" s="38">
        <v>45808</v>
      </c>
      <c r="B28" s="2">
        <v>62801622.369999997</v>
      </c>
      <c r="C28" s="11">
        <v>1.2699999999999999E-2</v>
      </c>
      <c r="D28" s="6">
        <f t="shared" ref="D28" si="16">SUM(C28*B27)</f>
        <v>775459.50076700002</v>
      </c>
      <c r="E28" s="6">
        <f t="shared" ref="E28" si="17">B28-(B27+D28)</f>
        <v>966359.6592329964</v>
      </c>
      <c r="F28" s="6">
        <f t="shared" ref="F28" si="18">IF(E28&gt;0,E28,E28+D28)</f>
        <v>966359.6592329964</v>
      </c>
      <c r="G28" s="209">
        <v>12059667.83</v>
      </c>
      <c r="H28" s="6">
        <v>0</v>
      </c>
      <c r="I28" s="209">
        <v>18327164.32</v>
      </c>
      <c r="J28" s="6">
        <f t="shared" ref="J28" si="19">B28-G28-H28-I28</f>
        <v>32414790.219999999</v>
      </c>
      <c r="K28">
        <v>1</v>
      </c>
    </row>
    <row r="29" spans="1:11">
      <c r="A29" s="38">
        <v>45838</v>
      </c>
      <c r="B29" s="2">
        <v>63631276.409999996</v>
      </c>
      <c r="C29" s="11">
        <v>1.38E-2</v>
      </c>
      <c r="D29" s="6">
        <f t="shared" ref="D29" si="20">SUM(C29*B28)</f>
        <v>866662.38870599994</v>
      </c>
      <c r="E29" s="6">
        <f t="shared" ref="E29" si="21">B29-(B28+D29)</f>
        <v>-37008.348705999553</v>
      </c>
      <c r="F29" s="6">
        <f t="shared" ref="F29" si="22">IF(E29&gt;0,E29,E29+D29)</f>
        <v>829654.04000000039</v>
      </c>
      <c r="G29" s="209">
        <v>12585120.66</v>
      </c>
      <c r="H29" s="6">
        <v>0</v>
      </c>
      <c r="I29" s="209">
        <v>18337457.27</v>
      </c>
      <c r="J29" s="6">
        <f t="shared" ref="J29" si="23">B29-G29-H29-I29</f>
        <v>32708698.48</v>
      </c>
      <c r="K29">
        <v>1</v>
      </c>
    </row>
    <row r="30" spans="1:11">
      <c r="B30" s="2"/>
      <c r="G30" s="6"/>
      <c r="H30" s="6"/>
      <c r="I30" s="6"/>
    </row>
    <row r="31" spans="1:11">
      <c r="B31" s="2">
        <f>B29-B26</f>
        <v>1058339.950000003</v>
      </c>
      <c r="G31" s="6"/>
      <c r="H31" s="6"/>
      <c r="I31" s="6"/>
    </row>
    <row r="32" spans="1:11">
      <c r="B32" s="2">
        <f>B29-B23</f>
        <v>4690180.0832000002</v>
      </c>
      <c r="G32" s="6"/>
      <c r="H32" s="6"/>
      <c r="I32" s="6"/>
    </row>
    <row r="33" spans="2:9">
      <c r="B33" s="2"/>
      <c r="G33" s="6"/>
      <c r="H33" s="6"/>
      <c r="I33" s="6"/>
    </row>
    <row r="34" spans="2:9">
      <c r="G34" s="6"/>
      <c r="H34" s="6"/>
      <c r="I34" s="6"/>
    </row>
    <row r="35" spans="2:9">
      <c r="G35" s="6"/>
      <c r="H35" s="6"/>
      <c r="I35" s="6"/>
    </row>
    <row r="36" spans="2:9">
      <c r="G36" s="6"/>
      <c r="H36" s="6"/>
      <c r="I36" s="6"/>
    </row>
    <row r="37" spans="2:9">
      <c r="G37" s="6"/>
      <c r="H37" s="6"/>
      <c r="I37" s="6"/>
    </row>
    <row r="38" spans="2:9">
      <c r="G38" s="6"/>
      <c r="H38" s="6"/>
      <c r="I38" s="6"/>
    </row>
    <row r="39" spans="2:9">
      <c r="G39" s="6"/>
      <c r="H39" s="6"/>
      <c r="I39" s="6"/>
    </row>
    <row r="40" spans="2:9">
      <c r="G40" s="6"/>
      <c r="H40" s="6"/>
      <c r="I40" s="6"/>
    </row>
    <row r="41" spans="2:9">
      <c r="G41" s="6"/>
      <c r="H41" s="6"/>
      <c r="I41" s="6"/>
    </row>
    <row r="42" spans="2:9">
      <c r="G42" s="6"/>
      <c r="H42" s="6"/>
      <c r="I42" s="6"/>
    </row>
    <row r="43" spans="2:9">
      <c r="G43" s="6"/>
      <c r="H43" s="6"/>
      <c r="I43" s="6"/>
    </row>
    <row r="44" spans="2:9">
      <c r="G44" s="6"/>
      <c r="H44" s="6"/>
      <c r="I44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F39CE-5570-9D4F-AAAB-E6299339082F}">
  <sheetPr>
    <tabColor theme="4" tint="0.59999389629810485"/>
  </sheetPr>
  <dimension ref="A1:G38"/>
  <sheetViews>
    <sheetView workbookViewId="0">
      <selection activeCell="D30" sqref="D30"/>
    </sheetView>
  </sheetViews>
  <sheetFormatPr baseColWidth="10" defaultRowHeight="16"/>
  <cols>
    <col min="2" max="2" width="16" bestFit="1" customWidth="1"/>
    <col min="4" max="4" width="14.6640625" bestFit="1" customWidth="1"/>
    <col min="5" max="6" width="15.5" customWidth="1"/>
    <col min="7" max="7" width="5.5" bestFit="1" customWidth="1"/>
  </cols>
  <sheetData>
    <row r="1" spans="1:7">
      <c r="A1" s="55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10</v>
      </c>
      <c r="G1" s="3" t="s">
        <v>69</v>
      </c>
    </row>
    <row r="2" spans="1:7">
      <c r="A2" s="38">
        <v>45016</v>
      </c>
      <c r="B2" s="2">
        <v>5698563.5499999998</v>
      </c>
      <c r="C2" s="11"/>
      <c r="D2" s="6"/>
      <c r="E2" s="6"/>
      <c r="F2" s="6"/>
      <c r="G2">
        <v>1</v>
      </c>
    </row>
    <row r="3" spans="1:7">
      <c r="A3" s="38">
        <v>45046</v>
      </c>
      <c r="B3" s="2">
        <v>47363506.090000004</v>
      </c>
      <c r="C3" s="11">
        <v>1.9900000000000001E-2</v>
      </c>
      <c r="D3" s="6">
        <f t="shared" ref="D3:D23" si="0">SUM(C3*B2)</f>
        <v>113401.414645</v>
      </c>
      <c r="E3" s="6">
        <f t="shared" ref="E3:E23" si="1">B3-(B2+D3)</f>
        <v>41551541.125355005</v>
      </c>
      <c r="F3" s="6">
        <f t="shared" ref="F3:F23" si="2">IF(E3&gt;0,E3,E3+D3)</f>
        <v>41551541.125355005</v>
      </c>
      <c r="G3">
        <v>1</v>
      </c>
    </row>
    <row r="4" spans="1:7">
      <c r="A4" s="38">
        <v>45077</v>
      </c>
      <c r="B4" s="2">
        <v>55640095.129999995</v>
      </c>
      <c r="C4" s="11">
        <v>1E-4</v>
      </c>
      <c r="D4" s="6">
        <f t="shared" si="0"/>
        <v>4736.350609000001</v>
      </c>
      <c r="E4" s="6">
        <f t="shared" si="1"/>
        <v>8271852.6893909946</v>
      </c>
      <c r="F4" s="6">
        <f t="shared" si="2"/>
        <v>8271852.6893909946</v>
      </c>
      <c r="G4">
        <v>1</v>
      </c>
    </row>
    <row r="5" spans="1:7">
      <c r="A5" s="38">
        <v>45107</v>
      </c>
      <c r="B5" s="2">
        <v>69018468.479999989</v>
      </c>
      <c r="C5" s="11">
        <v>5.8000000000000003E-2</v>
      </c>
      <c r="D5" s="6">
        <f t="shared" si="0"/>
        <v>3227125.5175399999</v>
      </c>
      <c r="E5" s="6">
        <f t="shared" si="1"/>
        <v>10151247.832459994</v>
      </c>
      <c r="F5" s="6">
        <f t="shared" si="2"/>
        <v>10151247.832459994</v>
      </c>
      <c r="G5">
        <v>1</v>
      </c>
    </row>
    <row r="6" spans="1:7">
      <c r="A6" s="38">
        <v>45138</v>
      </c>
      <c r="B6" s="2">
        <v>82138553.570000008</v>
      </c>
      <c r="C6" s="11">
        <v>4.7500000000000001E-2</v>
      </c>
      <c r="D6" s="6">
        <f t="shared" si="0"/>
        <v>3278377.2527999994</v>
      </c>
      <c r="E6" s="6">
        <f t="shared" si="1"/>
        <v>9841707.8372000158</v>
      </c>
      <c r="F6" s="6">
        <f t="shared" si="2"/>
        <v>9841707.8372000158</v>
      </c>
      <c r="G6">
        <v>1</v>
      </c>
    </row>
    <row r="7" spans="1:7">
      <c r="A7" s="38">
        <v>45169</v>
      </c>
      <c r="B7" s="2">
        <v>97874098.720000058</v>
      </c>
      <c r="C7" s="11">
        <v>-2.18E-2</v>
      </c>
      <c r="D7" s="6">
        <f t="shared" si="0"/>
        <v>-1790620.4678260002</v>
      </c>
      <c r="E7" s="6">
        <f t="shared" si="1"/>
        <v>17526165.617826045</v>
      </c>
      <c r="F7" s="6">
        <f t="shared" si="2"/>
        <v>17526165.617826045</v>
      </c>
      <c r="G7">
        <v>1</v>
      </c>
    </row>
    <row r="8" spans="1:7">
      <c r="A8" s="38">
        <v>45199</v>
      </c>
      <c r="B8" s="2">
        <v>94408789.589999989</v>
      </c>
      <c r="C8" s="11">
        <v>-3.6400000000000002E-2</v>
      </c>
      <c r="D8" s="6">
        <f t="shared" si="0"/>
        <v>-3562617.1934080021</v>
      </c>
      <c r="E8" s="6">
        <f t="shared" si="1"/>
        <v>97308.063407927752</v>
      </c>
      <c r="F8" s="6">
        <f t="shared" si="2"/>
        <v>97308.063407927752</v>
      </c>
      <c r="G8">
        <v>1</v>
      </c>
    </row>
    <row r="9" spans="1:7">
      <c r="A9" s="38">
        <v>45230</v>
      </c>
      <c r="B9" s="2">
        <v>97936019.790000021</v>
      </c>
      <c r="C9" s="11">
        <v>-2.2000000000000002E-2</v>
      </c>
      <c r="D9" s="6">
        <f t="shared" si="0"/>
        <v>-2076993.3709799999</v>
      </c>
      <c r="E9" s="6">
        <f t="shared" si="1"/>
        <v>5604223.5709800273</v>
      </c>
      <c r="F9" s="6">
        <f t="shared" si="2"/>
        <v>5604223.5709800273</v>
      </c>
      <c r="G9">
        <v>1</v>
      </c>
    </row>
    <row r="10" spans="1:7">
      <c r="A10" s="38">
        <v>45260</v>
      </c>
      <c r="B10" s="2">
        <v>102301816.10999995</v>
      </c>
      <c r="C10" s="11">
        <v>9.0800000000000006E-2</v>
      </c>
      <c r="D10" s="6">
        <f t="shared" si="0"/>
        <v>8892590.5969320033</v>
      </c>
      <c r="E10" s="6">
        <f t="shared" si="1"/>
        <v>-4526794.2769320756</v>
      </c>
      <c r="F10" s="6">
        <f t="shared" si="2"/>
        <v>4365796.3199999277</v>
      </c>
      <c r="G10">
        <v>1</v>
      </c>
    </row>
    <row r="11" spans="1:7">
      <c r="A11" s="38">
        <v>45291</v>
      </c>
      <c r="B11" s="2">
        <v>101636290.95000002</v>
      </c>
      <c r="C11" s="11">
        <v>4.6399999999999997E-2</v>
      </c>
      <c r="D11" s="6">
        <f t="shared" si="0"/>
        <v>4746804.2675039973</v>
      </c>
      <c r="E11" s="6">
        <f t="shared" si="1"/>
        <v>-5412329.4275039285</v>
      </c>
      <c r="F11" s="6">
        <f t="shared" si="2"/>
        <v>-665525.15999993123</v>
      </c>
      <c r="G11">
        <v>1</v>
      </c>
    </row>
    <row r="12" spans="1:7">
      <c r="A12" s="38">
        <v>45322</v>
      </c>
      <c r="B12" s="2">
        <v>104115784.89999995</v>
      </c>
      <c r="C12" s="11">
        <v>2.75E-2</v>
      </c>
      <c r="D12" s="6">
        <f t="shared" si="0"/>
        <v>2794998.0011250004</v>
      </c>
      <c r="E12" s="6">
        <f t="shared" si="1"/>
        <v>-315504.05112507939</v>
      </c>
      <c r="F12" s="6">
        <f t="shared" si="2"/>
        <v>2479493.949999921</v>
      </c>
      <c r="G12">
        <v>1</v>
      </c>
    </row>
    <row r="13" spans="1:7">
      <c r="A13" s="38">
        <v>45351</v>
      </c>
      <c r="B13" s="2">
        <v>96960235.800000012</v>
      </c>
      <c r="C13" s="11">
        <v>5.3699999999999998E-2</v>
      </c>
      <c r="D13" s="6">
        <f t="shared" si="0"/>
        <v>5591017.649129997</v>
      </c>
      <c r="E13" s="6">
        <f t="shared" si="1"/>
        <v>-12746566.749129936</v>
      </c>
      <c r="F13" s="6">
        <f t="shared" si="2"/>
        <v>-7155549.0999999391</v>
      </c>
      <c r="G13">
        <v>1</v>
      </c>
    </row>
    <row r="14" spans="1:7">
      <c r="A14" s="38">
        <v>45382</v>
      </c>
      <c r="B14" s="2">
        <v>79820678.230000019</v>
      </c>
      <c r="C14" s="11">
        <v>3.9699999999999999E-2</v>
      </c>
      <c r="D14" s="6">
        <f t="shared" si="0"/>
        <v>3849321.3612600006</v>
      </c>
      <c r="E14" s="6">
        <f t="shared" si="1"/>
        <v>-20988878.93125999</v>
      </c>
      <c r="F14" s="6">
        <f t="shared" si="2"/>
        <v>-17139557.569999989</v>
      </c>
      <c r="G14">
        <v>1</v>
      </c>
    </row>
    <row r="15" spans="1:7">
      <c r="A15" s="38">
        <v>45412</v>
      </c>
      <c r="B15" s="2">
        <v>75824782.219999999</v>
      </c>
      <c r="C15" s="11">
        <v>-4.4800000000000006E-2</v>
      </c>
      <c r="D15" s="6">
        <f t="shared" si="0"/>
        <v>-3575966.3847040012</v>
      </c>
      <c r="E15" s="6">
        <f t="shared" si="1"/>
        <v>-419929.62529602647</v>
      </c>
      <c r="F15" s="6">
        <f t="shared" si="2"/>
        <v>-3995896.0100000277</v>
      </c>
      <c r="G15">
        <v>1</v>
      </c>
    </row>
    <row r="16" spans="1:7">
      <c r="A16" s="38">
        <v>45443</v>
      </c>
      <c r="B16" s="2">
        <v>82993981.590000018</v>
      </c>
      <c r="C16" s="11">
        <v>5.9800000000000006E-2</v>
      </c>
      <c r="D16" s="6">
        <f t="shared" si="0"/>
        <v>4534321.976756</v>
      </c>
      <c r="E16" s="6">
        <f t="shared" si="1"/>
        <v>2634877.3932440132</v>
      </c>
      <c r="F16" s="6">
        <f t="shared" si="2"/>
        <v>2634877.3932440132</v>
      </c>
      <c r="G16">
        <v>1</v>
      </c>
    </row>
    <row r="17" spans="1:7">
      <c r="A17" s="38">
        <v>45473</v>
      </c>
      <c r="B17" s="2">
        <v>86253004.359999999</v>
      </c>
      <c r="C17" s="11">
        <v>3.0499999999999999E-2</v>
      </c>
      <c r="D17" s="6">
        <f t="shared" si="0"/>
        <v>2531316.4384950004</v>
      </c>
      <c r="E17" s="6">
        <f t="shared" si="1"/>
        <v>727706.33150498569</v>
      </c>
      <c r="F17" s="6">
        <f t="shared" si="2"/>
        <v>727706.33150498569</v>
      </c>
      <c r="G17">
        <v>1</v>
      </c>
    </row>
    <row r="18" spans="1:7">
      <c r="A18" s="38">
        <v>45504</v>
      </c>
      <c r="B18" s="2">
        <v>90316113.62999998</v>
      </c>
      <c r="C18" s="11">
        <v>-1.1299999999999999E-2</v>
      </c>
      <c r="D18" s="6">
        <f t="shared" si="0"/>
        <v>-974658.94926799997</v>
      </c>
      <c r="E18" s="6">
        <f t="shared" si="1"/>
        <v>5037768.2192679793</v>
      </c>
      <c r="F18" s="6">
        <f t="shared" si="2"/>
        <v>5037768.2192679793</v>
      </c>
      <c r="G18">
        <v>1</v>
      </c>
    </row>
    <row r="19" spans="1:7">
      <c r="A19" s="38">
        <v>45535</v>
      </c>
      <c r="B19" s="2">
        <v>92267963.779999986</v>
      </c>
      <c r="C19" s="11">
        <v>2.24E-2</v>
      </c>
      <c r="D19" s="6">
        <f t="shared" si="0"/>
        <v>2023080.9453119996</v>
      </c>
      <c r="E19" s="6">
        <f t="shared" si="1"/>
        <v>-71230.7953119874</v>
      </c>
      <c r="F19" s="6">
        <f t="shared" si="2"/>
        <v>1951850.1500000122</v>
      </c>
      <c r="G19">
        <v>1</v>
      </c>
    </row>
    <row r="20" spans="1:7">
      <c r="A20" s="38">
        <v>45565</v>
      </c>
      <c r="B20" s="2">
        <v>99056140.649999976</v>
      </c>
      <c r="C20" s="11">
        <v>7.6E-3</v>
      </c>
      <c r="D20" s="6">
        <f t="shared" si="0"/>
        <v>701236.52472799993</v>
      </c>
      <c r="E20" s="6">
        <f t="shared" si="1"/>
        <v>6086940.3452719897</v>
      </c>
      <c r="F20" s="6">
        <f t="shared" si="2"/>
        <v>6086940.3452719897</v>
      </c>
      <c r="G20">
        <v>1</v>
      </c>
    </row>
    <row r="21" spans="1:7">
      <c r="A21" s="38">
        <v>45596</v>
      </c>
      <c r="B21" s="2">
        <v>92763854.740000024</v>
      </c>
      <c r="C21" s="11">
        <v>-2.174421E-2</v>
      </c>
      <c r="D21" s="6">
        <f t="shared" si="0"/>
        <v>-2153897.5240831361</v>
      </c>
      <c r="E21" s="6">
        <f t="shared" si="1"/>
        <v>-4138388.3859168142</v>
      </c>
      <c r="F21" s="6">
        <f t="shared" si="2"/>
        <v>-6292285.9099999499</v>
      </c>
      <c r="G21">
        <v>1</v>
      </c>
    </row>
    <row r="22" spans="1:7">
      <c r="A22" s="38">
        <v>45626</v>
      </c>
      <c r="B22" s="2">
        <v>98228609.310000017</v>
      </c>
      <c r="C22" s="11">
        <v>5.7655100000000001E-2</v>
      </c>
      <c r="D22" s="6">
        <f t="shared" si="0"/>
        <v>5348309.321420175</v>
      </c>
      <c r="E22" s="6">
        <f t="shared" si="1"/>
        <v>116445.24857981503</v>
      </c>
      <c r="F22" s="6">
        <f t="shared" si="2"/>
        <v>116445.24857981503</v>
      </c>
      <c r="G22">
        <v>1</v>
      </c>
    </row>
    <row r="23" spans="1:7">
      <c r="A23" s="38">
        <v>45657</v>
      </c>
      <c r="B23" s="2">
        <v>96361634.180000007</v>
      </c>
      <c r="C23" s="11">
        <v>-3.1464609999999997E-2</v>
      </c>
      <c r="D23" s="6">
        <f t="shared" si="0"/>
        <v>-3090724.8827815196</v>
      </c>
      <c r="E23" s="6">
        <f t="shared" si="1"/>
        <v>1223749.7527815104</v>
      </c>
      <c r="F23" s="6">
        <f t="shared" si="2"/>
        <v>1223749.7527815104</v>
      </c>
      <c r="G23">
        <v>1</v>
      </c>
    </row>
    <row r="24" spans="1:7">
      <c r="A24" s="38">
        <v>45688</v>
      </c>
      <c r="B24" s="2">
        <v>106369053.96999997</v>
      </c>
      <c r="C24" s="11">
        <v>3.5147569999999996E-2</v>
      </c>
      <c r="D24" s="6">
        <f t="shared" ref="D24" si="3">SUM(C24*B23)</f>
        <v>3386877.2826559423</v>
      </c>
      <c r="E24" s="6">
        <f t="shared" ref="E24" si="4">B24-(B23+D24)</f>
        <v>6620542.5073440224</v>
      </c>
      <c r="F24" s="6">
        <f t="shared" ref="F24" si="5">IF(E24&gt;0,E24,E24+D24)</f>
        <v>6620542.5073440224</v>
      </c>
      <c r="G24">
        <v>1</v>
      </c>
    </row>
    <row r="25" spans="1:7">
      <c r="A25" s="38">
        <v>45716</v>
      </c>
      <c r="B25" s="2">
        <v>94308484.320000008</v>
      </c>
      <c r="C25" s="11">
        <v>-2.2652839999999997E-2</v>
      </c>
      <c r="D25" s="6">
        <f t="shared" ref="D25:D26" si="6">SUM(C25*B24)</f>
        <v>-2409561.1605337737</v>
      </c>
      <c r="E25" s="6">
        <f t="shared" ref="E25:E26" si="7">B25-(B24+D25)</f>
        <v>-9651008.4894661903</v>
      </c>
      <c r="F25" s="6">
        <f t="shared" ref="F25:F26" si="8">IF(E25&gt;0,E25,E25+D25)</f>
        <v>-12060569.649999965</v>
      </c>
      <c r="G25">
        <v>1</v>
      </c>
    </row>
    <row r="26" spans="1:7">
      <c r="A26" s="38">
        <v>45747</v>
      </c>
      <c r="B26" s="2">
        <v>79836311.020000026</v>
      </c>
      <c r="C26" s="11">
        <v>-5.987394E-2</v>
      </c>
      <c r="D26" s="6">
        <f t="shared" si="6"/>
        <v>-5646620.5316666216</v>
      </c>
      <c r="E26" s="6">
        <f t="shared" si="7"/>
        <v>-8825552.7683333606</v>
      </c>
      <c r="F26" s="6">
        <f t="shared" si="8"/>
        <v>-14472173.299999982</v>
      </c>
      <c r="G26">
        <v>1</v>
      </c>
    </row>
    <row r="27" spans="1:7">
      <c r="A27" s="38">
        <v>45777</v>
      </c>
      <c r="B27" s="2">
        <v>78783975.039999992</v>
      </c>
      <c r="C27" s="11">
        <v>-1.26E-2</v>
      </c>
      <c r="D27" s="6">
        <f t="shared" ref="D27" si="9">SUM(C27*B26)</f>
        <v>-1005937.5188520004</v>
      </c>
      <c r="E27" s="6">
        <f t="shared" ref="E27" si="10">B27-(B26+D27)</f>
        <v>-46398.461148038507</v>
      </c>
      <c r="F27" s="6">
        <f t="shared" ref="F27" si="11">IF(E27&gt;0,E27,E27+D27)</f>
        <v>-1052335.9800000389</v>
      </c>
      <c r="G27">
        <v>1</v>
      </c>
    </row>
    <row r="28" spans="1:7">
      <c r="A28" s="38">
        <v>45808</v>
      </c>
      <c r="B28" s="2">
        <v>83855797.769999981</v>
      </c>
      <c r="C28" s="11">
        <v>0.06</v>
      </c>
      <c r="D28" s="6">
        <f t="shared" ref="D28" si="12">SUM(C28*B27)</f>
        <v>4727038.5023999996</v>
      </c>
      <c r="E28" s="6">
        <f t="shared" ref="E28" si="13">B28-(B27+D28)</f>
        <v>344784.22759999335</v>
      </c>
      <c r="F28" s="6">
        <f t="shared" ref="F28" si="14">IF(E28&gt;0,E28,E28+D28)</f>
        <v>344784.22759999335</v>
      </c>
      <c r="G28">
        <v>1</v>
      </c>
    </row>
    <row r="29" spans="1:7">
      <c r="A29" s="38">
        <v>45838</v>
      </c>
      <c r="B29" s="2">
        <v>88990313.840000048</v>
      </c>
      <c r="C29" s="11">
        <v>4.6600000000000003E-2</v>
      </c>
      <c r="D29" s="6">
        <f t="shared" ref="D29" si="15">SUM(C29*B28)</f>
        <v>3907680.1760819992</v>
      </c>
      <c r="E29" s="6">
        <f t="shared" ref="E29" si="16">B29-(B28+D29)</f>
        <v>1226835.8939180672</v>
      </c>
      <c r="F29" s="6">
        <f t="shared" ref="F29" si="17">IF(E29&gt;0,E29,E29+D29)</f>
        <v>1226835.8939180672</v>
      </c>
      <c r="G29">
        <v>1</v>
      </c>
    </row>
    <row r="30" spans="1:7">
      <c r="B30" s="2"/>
    </row>
    <row r="31" spans="1:7">
      <c r="B31" s="2">
        <f>B29-B26</f>
        <v>9154002.8200000226</v>
      </c>
    </row>
    <row r="32" spans="1:7">
      <c r="B32" s="2">
        <f>B29-B23</f>
        <v>-7371320.3399999589</v>
      </c>
    </row>
    <row r="33" spans="2:2">
      <c r="B33" s="2"/>
    </row>
    <row r="34" spans="2:2">
      <c r="B34" s="2"/>
    </row>
    <row r="35" spans="2:2">
      <c r="B35" s="2"/>
    </row>
    <row r="36" spans="2:2">
      <c r="B36" s="2"/>
    </row>
    <row r="37" spans="2:2">
      <c r="B37" s="2"/>
    </row>
    <row r="38" spans="2:2">
      <c r="B3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9EEC-DE63-E446-95DB-E8748ECCA135}">
  <sheetPr>
    <tabColor theme="4" tint="0.59999389629810485"/>
  </sheetPr>
  <dimension ref="A1:G40"/>
  <sheetViews>
    <sheetView workbookViewId="0">
      <selection activeCell="B21" sqref="B21"/>
    </sheetView>
  </sheetViews>
  <sheetFormatPr baseColWidth="10" defaultRowHeight="16"/>
  <cols>
    <col min="2" max="2" width="15" bestFit="1" customWidth="1"/>
    <col min="4" max="4" width="14.6640625" bestFit="1" customWidth="1"/>
    <col min="5" max="6" width="15" bestFit="1" customWidth="1"/>
  </cols>
  <sheetData>
    <row r="1" spans="1:7">
      <c r="A1" s="55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10</v>
      </c>
      <c r="G1" s="3" t="s">
        <v>69</v>
      </c>
    </row>
    <row r="2" spans="1:7">
      <c r="A2" s="38">
        <v>45351</v>
      </c>
      <c r="B2" s="6">
        <v>500718.35999999987</v>
      </c>
      <c r="C2" s="11"/>
      <c r="G2">
        <v>1</v>
      </c>
    </row>
    <row r="3" spans="1:7">
      <c r="A3" s="38">
        <v>45382</v>
      </c>
      <c r="B3" s="6">
        <f>50914376.13+18431.08</f>
        <v>50932807.210000001</v>
      </c>
      <c r="C3" s="11">
        <v>3.32E-2</v>
      </c>
      <c r="D3" s="6">
        <f t="shared" ref="D3:D12" si="0">SUM(C3*B2)</f>
        <v>16623.849551999996</v>
      </c>
      <c r="E3" s="6">
        <f t="shared" ref="E3:E12" si="1">B3-(B2+D3)</f>
        <v>50415465.000448003</v>
      </c>
      <c r="F3" s="6">
        <f t="shared" ref="F3:F12" si="2">IF(E3&gt;0,E3,E3+D3)</f>
        <v>50415465.000448003</v>
      </c>
      <c r="G3">
        <v>1</v>
      </c>
    </row>
    <row r="4" spans="1:7">
      <c r="A4" s="38">
        <v>45412</v>
      </c>
      <c r="B4" s="6">
        <v>52718518.43</v>
      </c>
      <c r="C4" s="11">
        <v>-3.3700000000000001E-2</v>
      </c>
      <c r="D4" s="6">
        <f t="shared" si="0"/>
        <v>-1716435.6029770002</v>
      </c>
      <c r="E4" s="6">
        <f t="shared" si="1"/>
        <v>3502146.822976999</v>
      </c>
      <c r="F4" s="6">
        <f t="shared" si="2"/>
        <v>3502146.822976999</v>
      </c>
      <c r="G4">
        <v>1</v>
      </c>
    </row>
    <row r="5" spans="1:7">
      <c r="A5" s="38">
        <v>45443</v>
      </c>
      <c r="B5" s="6">
        <v>56751981.599999979</v>
      </c>
      <c r="C5" s="11">
        <v>3.61E-2</v>
      </c>
      <c r="D5" s="6">
        <f t="shared" si="0"/>
        <v>1903138.515323</v>
      </c>
      <c r="E5" s="6">
        <f t="shared" si="1"/>
        <v>2130324.6546769813</v>
      </c>
      <c r="F5" s="6">
        <f t="shared" si="2"/>
        <v>2130324.6546769813</v>
      </c>
      <c r="G5">
        <v>1</v>
      </c>
    </row>
    <row r="6" spans="1:7">
      <c r="A6" s="38">
        <v>45473</v>
      </c>
      <c r="B6" s="6">
        <v>60301102.409999989</v>
      </c>
      <c r="C6" s="11">
        <v>6.1999999999999998E-3</v>
      </c>
      <c r="D6" s="6">
        <f t="shared" si="0"/>
        <v>351862.28591999988</v>
      </c>
      <c r="E6" s="6">
        <f t="shared" si="1"/>
        <v>3197258.5240800083</v>
      </c>
      <c r="F6" s="6">
        <f t="shared" si="2"/>
        <v>3197258.5240800083</v>
      </c>
      <c r="G6">
        <v>1</v>
      </c>
    </row>
    <row r="7" spans="1:7">
      <c r="A7" s="38">
        <v>45504</v>
      </c>
      <c r="B7" s="6">
        <v>65974475.910000004</v>
      </c>
      <c r="C7" s="11">
        <v>1.7999999999999999E-2</v>
      </c>
      <c r="D7" s="6">
        <f t="shared" si="0"/>
        <v>1085419.8433799997</v>
      </c>
      <c r="E7" s="6">
        <f t="shared" si="1"/>
        <v>4587953.6566200182</v>
      </c>
      <c r="F7" s="6">
        <f t="shared" si="2"/>
        <v>4587953.6566200182</v>
      </c>
      <c r="G7">
        <v>1</v>
      </c>
    </row>
    <row r="8" spans="1:7">
      <c r="A8" s="38">
        <v>45535</v>
      </c>
      <c r="B8" s="6">
        <v>68064874.660000011</v>
      </c>
      <c r="C8" s="11">
        <v>1.77E-2</v>
      </c>
      <c r="D8" s="6">
        <f t="shared" si="0"/>
        <v>1167748.2236070002</v>
      </c>
      <c r="E8" s="6">
        <f t="shared" si="1"/>
        <v>922650.52639301121</v>
      </c>
      <c r="F8" s="6">
        <f t="shared" si="2"/>
        <v>922650.52639301121</v>
      </c>
      <c r="G8">
        <v>1</v>
      </c>
    </row>
    <row r="9" spans="1:7">
      <c r="A9" s="38">
        <v>45565</v>
      </c>
      <c r="B9" s="6">
        <v>70351254.430000007</v>
      </c>
      <c r="C9" s="11">
        <v>6.7000000000000002E-3</v>
      </c>
      <c r="D9" s="6">
        <f t="shared" si="0"/>
        <v>456034.66022200009</v>
      </c>
      <c r="E9" s="6">
        <f t="shared" si="1"/>
        <v>1830345.1097780019</v>
      </c>
      <c r="F9" s="6">
        <f t="shared" si="2"/>
        <v>1830345.1097780019</v>
      </c>
      <c r="G9">
        <v>1</v>
      </c>
    </row>
    <row r="10" spans="1:7">
      <c r="A10" s="38">
        <v>45596</v>
      </c>
      <c r="B10" s="6">
        <v>69154544.439999983</v>
      </c>
      <c r="C10" s="11">
        <v>-2.6330010000000001E-2</v>
      </c>
      <c r="D10" s="6">
        <f t="shared" si="0"/>
        <v>-1852349.2326544446</v>
      </c>
      <c r="E10" s="6">
        <f t="shared" si="1"/>
        <v>655639.24265441298</v>
      </c>
      <c r="F10" s="6">
        <f t="shared" si="2"/>
        <v>655639.24265441298</v>
      </c>
      <c r="G10">
        <v>1</v>
      </c>
    </row>
    <row r="11" spans="1:7">
      <c r="A11" s="38">
        <v>45626</v>
      </c>
      <c r="B11" s="6">
        <v>72806721.349999994</v>
      </c>
      <c r="C11" s="11">
        <v>3.4048729999999999E-2</v>
      </c>
      <c r="D11" s="6">
        <f t="shared" si="0"/>
        <v>2354624.4119105604</v>
      </c>
      <c r="E11" s="6">
        <f t="shared" si="1"/>
        <v>1297552.4980894476</v>
      </c>
      <c r="F11" s="6">
        <f t="shared" si="2"/>
        <v>1297552.4980894476</v>
      </c>
      <c r="G11">
        <v>1</v>
      </c>
    </row>
    <row r="12" spans="1:7">
      <c r="A12" s="38">
        <v>45657</v>
      </c>
      <c r="B12" s="6">
        <v>73276329.779999971</v>
      </c>
      <c r="C12" s="11">
        <v>-3.2890579999999996E-2</v>
      </c>
      <c r="D12" s="6">
        <f t="shared" si="0"/>
        <v>-2394655.2930998825</v>
      </c>
      <c r="E12" s="6">
        <f t="shared" si="1"/>
        <v>2864263.7230998576</v>
      </c>
      <c r="F12" s="6">
        <f t="shared" si="2"/>
        <v>2864263.7230998576</v>
      </c>
      <c r="G12">
        <v>1</v>
      </c>
    </row>
    <row r="13" spans="1:7">
      <c r="A13" s="38">
        <v>45688</v>
      </c>
      <c r="B13" s="6">
        <v>81064824.940000013</v>
      </c>
      <c r="C13" s="11">
        <v>3.6915089999999998E-2</v>
      </c>
      <c r="D13" s="6">
        <f t="shared" ref="D13" si="3">SUM(C13*B12)</f>
        <v>2705002.308698379</v>
      </c>
      <c r="E13" s="6">
        <f t="shared" ref="E13" si="4">B13-(B12+D13)</f>
        <v>5083492.8513016552</v>
      </c>
      <c r="F13" s="6">
        <f t="shared" ref="F13" si="5">IF(E13&gt;0,E13,E13+D13)</f>
        <v>5083492.8513016552</v>
      </c>
      <c r="G13">
        <v>1</v>
      </c>
    </row>
    <row r="14" spans="1:7">
      <c r="A14" s="38">
        <v>45716</v>
      </c>
      <c r="B14" s="6">
        <v>83210581.570000008</v>
      </c>
      <c r="C14" s="11">
        <v>2.701688E-2</v>
      </c>
      <c r="D14" s="6">
        <f t="shared" ref="D14" si="6">SUM(C14*B13)</f>
        <v>2190118.6476249876</v>
      </c>
      <c r="E14" s="6">
        <f t="shared" ref="E14" si="7">B14-(B13+D14)</f>
        <v>-44362.017624989152</v>
      </c>
      <c r="F14" s="6">
        <f t="shared" ref="F14" si="8">IF(E14&gt;0,E14,E14+D14)</f>
        <v>2145756.6299999985</v>
      </c>
      <c r="G14">
        <v>1</v>
      </c>
    </row>
    <row r="15" spans="1:7">
      <c r="A15" s="38">
        <v>45747</v>
      </c>
      <c r="B15" s="6">
        <v>77606548.179999992</v>
      </c>
      <c r="C15" s="11">
        <v>8.735685999999999E-4</v>
      </c>
      <c r="D15" s="6">
        <f t="shared" ref="D15" si="9">SUM(C15*B14)</f>
        <v>72690.151247290705</v>
      </c>
      <c r="E15" s="6">
        <f t="shared" ref="E15" si="10">B15-(B14+D15)</f>
        <v>-5676723.5412473083</v>
      </c>
      <c r="F15" s="6">
        <f t="shared" ref="F15" si="11">IF(E15&gt;0,E15,E15+D15)</f>
        <v>-5604033.3900000174</v>
      </c>
      <c r="G15">
        <v>1</v>
      </c>
    </row>
    <row r="16" spans="1:7">
      <c r="A16" s="38">
        <v>45777</v>
      </c>
      <c r="B16" s="6">
        <v>77143137.909999996</v>
      </c>
      <c r="C16" s="11">
        <v>-1.4500000000000001E-2</v>
      </c>
      <c r="D16" s="6">
        <f t="shared" ref="D16:D18" si="12">SUM(C16*B15)</f>
        <v>-1125294.9486099998</v>
      </c>
      <c r="E16" s="6">
        <f t="shared" ref="E16:E18" si="13">B16-(B15+D16)</f>
        <v>661884.67860999703</v>
      </c>
      <c r="F16" s="6">
        <f t="shared" ref="F16:F18" si="14">IF(E16&gt;0,E16,E16+D16)</f>
        <v>661884.67860999703</v>
      </c>
      <c r="G16">
        <v>1</v>
      </c>
    </row>
    <row r="17" spans="1:7">
      <c r="A17" s="38">
        <v>45808</v>
      </c>
      <c r="B17" s="6">
        <v>79107122.360000014</v>
      </c>
      <c r="C17" s="11">
        <v>2.7099999999999999E-2</v>
      </c>
      <c r="D17" s="6">
        <f t="shared" si="12"/>
        <v>2090579.0373609997</v>
      </c>
      <c r="E17" s="6">
        <f t="shared" si="13"/>
        <v>-126594.58736097813</v>
      </c>
      <c r="F17" s="6">
        <f t="shared" si="14"/>
        <v>1963984.4500000216</v>
      </c>
      <c r="G17">
        <v>1</v>
      </c>
    </row>
    <row r="18" spans="1:7">
      <c r="A18" s="38">
        <v>45838</v>
      </c>
      <c r="B18" s="6">
        <v>80061332.88000001</v>
      </c>
      <c r="C18" s="11">
        <v>3.0099999999999998E-2</v>
      </c>
      <c r="D18" s="6">
        <f t="shared" si="12"/>
        <v>2381124.3830360002</v>
      </c>
      <c r="E18" s="6">
        <f t="shared" si="13"/>
        <v>-1426913.8630360067</v>
      </c>
      <c r="F18" s="6">
        <f t="shared" si="14"/>
        <v>954210.5199999935</v>
      </c>
      <c r="G18">
        <v>1</v>
      </c>
    </row>
    <row r="19" spans="1:7">
      <c r="B19" s="6"/>
    </row>
    <row r="20" spans="1:7">
      <c r="B20" s="6">
        <f>B18-B15</f>
        <v>2454784.7000000179</v>
      </c>
    </row>
    <row r="21" spans="1:7">
      <c r="B21" s="6">
        <f>B18-B12</f>
        <v>6785003.1000000387</v>
      </c>
    </row>
    <row r="22" spans="1:7">
      <c r="B22" s="6"/>
    </row>
    <row r="23" spans="1:7">
      <c r="B23" s="6"/>
    </row>
    <row r="24" spans="1:7">
      <c r="B24" s="6"/>
    </row>
    <row r="25" spans="1:7">
      <c r="B25" s="6"/>
    </row>
    <row r="26" spans="1:7">
      <c r="B26" s="6"/>
    </row>
    <row r="27" spans="1:7">
      <c r="B27" s="6"/>
    </row>
    <row r="28" spans="1:7">
      <c r="B28" s="6"/>
    </row>
    <row r="29" spans="1:7">
      <c r="B29" s="6"/>
    </row>
    <row r="30" spans="1:7">
      <c r="B30" s="6"/>
    </row>
    <row r="31" spans="1:7">
      <c r="B31" s="6"/>
    </row>
    <row r="32" spans="1:7">
      <c r="B32" s="6"/>
    </row>
    <row r="33" spans="2:2">
      <c r="B33" s="6"/>
    </row>
    <row r="34" spans="2:2">
      <c r="B34" s="6"/>
    </row>
    <row r="35" spans="2:2">
      <c r="B35" s="6"/>
    </row>
    <row r="36" spans="2:2">
      <c r="B36" s="6"/>
    </row>
    <row r="37" spans="2:2">
      <c r="B37" s="6"/>
    </row>
    <row r="38" spans="2:2">
      <c r="B38" s="6"/>
    </row>
    <row r="39" spans="2:2">
      <c r="B39" s="6"/>
    </row>
    <row r="40" spans="2:2">
      <c r="B40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17031-D14A-4245-BD70-D631DDE9DE3B}">
  <sheetPr>
    <tabColor theme="4" tint="0.59999389629810485"/>
  </sheetPr>
  <dimension ref="A1:G40"/>
  <sheetViews>
    <sheetView workbookViewId="0">
      <selection activeCell="B21" sqref="B21"/>
    </sheetView>
  </sheetViews>
  <sheetFormatPr baseColWidth="10" defaultRowHeight="16"/>
  <cols>
    <col min="2" max="2" width="16" bestFit="1" customWidth="1"/>
    <col min="4" max="4" width="14" bestFit="1" customWidth="1"/>
    <col min="5" max="6" width="16" bestFit="1" customWidth="1"/>
  </cols>
  <sheetData>
    <row r="1" spans="1:7">
      <c r="A1" s="55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10</v>
      </c>
      <c r="G1" s="3" t="s">
        <v>69</v>
      </c>
    </row>
    <row r="2" spans="1:7">
      <c r="A2" s="38">
        <v>45351</v>
      </c>
      <c r="B2" s="6">
        <v>500000</v>
      </c>
      <c r="C2" s="11"/>
      <c r="G2">
        <v>1</v>
      </c>
    </row>
    <row r="3" spans="1:7">
      <c r="A3" s="38">
        <v>45382</v>
      </c>
      <c r="B3" s="6">
        <f>45130607.33+42037.74</f>
        <v>45172645.07</v>
      </c>
      <c r="C3" s="11">
        <v>4.0000000000000001E-3</v>
      </c>
      <c r="D3" s="6">
        <f>B2*C3</f>
        <v>2000</v>
      </c>
      <c r="E3" s="6">
        <f>B3-(B2+D3)</f>
        <v>44670645.07</v>
      </c>
      <c r="F3" s="6">
        <f>D3+E3</f>
        <v>44672645.07</v>
      </c>
      <c r="G3">
        <v>1</v>
      </c>
    </row>
    <row r="4" spans="1:7">
      <c r="A4" s="38">
        <v>45412</v>
      </c>
      <c r="B4" s="6">
        <v>78616272.760000005</v>
      </c>
      <c r="C4" s="11">
        <v>5.4000000000000003E-3</v>
      </c>
      <c r="D4" s="6">
        <f t="shared" ref="D4:D9" si="0">B3*C4</f>
        <v>243932.28337800002</v>
      </c>
      <c r="E4" s="6">
        <f t="shared" ref="E4:E9" si="1">B4-(B3+D4)</f>
        <v>33199695.406622007</v>
      </c>
      <c r="F4" s="6">
        <f t="shared" ref="F4:F9" si="2">D4+E4</f>
        <v>33443627.690000009</v>
      </c>
      <c r="G4">
        <v>1</v>
      </c>
    </row>
    <row r="5" spans="1:7">
      <c r="A5" s="38">
        <v>45443</v>
      </c>
      <c r="B5" s="6">
        <v>90769839.349999994</v>
      </c>
      <c r="C5" s="11">
        <v>7.9000000000000008E-3</v>
      </c>
      <c r="D5" s="6">
        <f t="shared" si="0"/>
        <v>621068.55480400007</v>
      </c>
      <c r="E5" s="6">
        <f t="shared" si="1"/>
        <v>11532498.035195991</v>
      </c>
      <c r="F5" s="6">
        <f t="shared" si="2"/>
        <v>12153566.589999992</v>
      </c>
      <c r="G5">
        <v>1</v>
      </c>
    </row>
    <row r="6" spans="1:7">
      <c r="A6" s="38">
        <v>45473</v>
      </c>
      <c r="B6" s="6">
        <v>96980283.330000013</v>
      </c>
      <c r="C6" s="11">
        <v>6.4000000000000003E-3</v>
      </c>
      <c r="D6" s="6">
        <f t="shared" si="0"/>
        <v>580926.97184000001</v>
      </c>
      <c r="E6" s="6">
        <f t="shared" si="1"/>
        <v>5629517.0081600249</v>
      </c>
      <c r="F6" s="6">
        <f t="shared" si="2"/>
        <v>6210443.9800000247</v>
      </c>
      <c r="G6">
        <v>1</v>
      </c>
    </row>
    <row r="7" spans="1:7">
      <c r="A7" s="38">
        <v>45504</v>
      </c>
      <c r="B7" s="6">
        <v>116158516.84999999</v>
      </c>
      <c r="C7" s="11">
        <v>8.3999999999999995E-3</v>
      </c>
      <c r="D7" s="6">
        <f t="shared" si="0"/>
        <v>814634.37997200002</v>
      </c>
      <c r="E7" s="6">
        <f t="shared" si="1"/>
        <v>18363599.140027985</v>
      </c>
      <c r="F7" s="6">
        <f t="shared" si="2"/>
        <v>19178233.519999985</v>
      </c>
      <c r="G7">
        <v>1</v>
      </c>
    </row>
    <row r="8" spans="1:7">
      <c r="A8" s="38">
        <v>45535</v>
      </c>
      <c r="B8" s="6">
        <v>128850266.07000001</v>
      </c>
      <c r="C8" s="11">
        <v>8.0999999999999996E-3</v>
      </c>
      <c r="D8" s="6">
        <f t="shared" si="0"/>
        <v>940883.98648499988</v>
      </c>
      <c r="E8" s="6">
        <f t="shared" si="1"/>
        <v>11750865.233515009</v>
      </c>
      <c r="F8" s="6">
        <f t="shared" si="2"/>
        <v>12691749.22000001</v>
      </c>
      <c r="G8">
        <v>1</v>
      </c>
    </row>
    <row r="9" spans="1:7">
      <c r="A9" s="38">
        <v>45565</v>
      </c>
      <c r="B9" s="6">
        <v>136855364.25999999</v>
      </c>
      <c r="C9" s="11">
        <v>7.0000000000000001E-3</v>
      </c>
      <c r="D9" s="6">
        <f t="shared" si="0"/>
        <v>901951.86249000009</v>
      </c>
      <c r="E9" s="6">
        <f t="shared" si="1"/>
        <v>7103146.3275099844</v>
      </c>
      <c r="F9" s="6">
        <f t="shared" si="2"/>
        <v>8005098.1899999846</v>
      </c>
      <c r="G9">
        <v>1</v>
      </c>
    </row>
    <row r="10" spans="1:7">
      <c r="A10" s="38">
        <v>45596</v>
      </c>
      <c r="B10" s="6">
        <v>152078985.91999999</v>
      </c>
      <c r="C10" s="11">
        <v>7.7491620000000004E-3</v>
      </c>
      <c r="D10" s="6">
        <f t="shared" ref="D10:D15" si="3">B9*C10</f>
        <v>1060514.38821975</v>
      </c>
      <c r="E10" s="6">
        <f t="shared" ref="E10:E15" si="4">B10-(B9+D10)</f>
        <v>14163107.271780252</v>
      </c>
      <c r="F10" s="6">
        <f t="shared" ref="F10:F15" si="5">D10+E10</f>
        <v>15223621.660000002</v>
      </c>
      <c r="G10">
        <v>1</v>
      </c>
    </row>
    <row r="11" spans="1:7">
      <c r="A11" s="38">
        <v>45626</v>
      </c>
      <c r="B11" s="6">
        <v>165396274.81999999</v>
      </c>
      <c r="C11" s="11">
        <v>6.6410169999999999E-3</v>
      </c>
      <c r="D11" s="6">
        <f t="shared" si="3"/>
        <v>1009959.1308374805</v>
      </c>
      <c r="E11" s="6">
        <f t="shared" si="4"/>
        <v>12307329.769162536</v>
      </c>
      <c r="F11" s="6">
        <f t="shared" si="5"/>
        <v>13317288.900000017</v>
      </c>
      <c r="G11">
        <v>1</v>
      </c>
    </row>
    <row r="12" spans="1:7">
      <c r="A12" s="38">
        <v>45657</v>
      </c>
      <c r="B12" s="6">
        <v>156359182.88999999</v>
      </c>
      <c r="C12" s="11">
        <v>5.5857829999999995E-3</v>
      </c>
      <c r="D12" s="6">
        <f t="shared" si="3"/>
        <v>923867.70015288389</v>
      </c>
      <c r="E12" s="6">
        <f t="shared" si="4"/>
        <v>-9960959.6301528811</v>
      </c>
      <c r="F12" s="6">
        <f t="shared" si="5"/>
        <v>-9037091.9299999978</v>
      </c>
      <c r="G12">
        <v>1</v>
      </c>
    </row>
    <row r="13" spans="1:7">
      <c r="A13" s="38">
        <v>45688</v>
      </c>
      <c r="B13" s="6">
        <v>235500402.43000001</v>
      </c>
      <c r="C13" s="11">
        <v>5.2458110000000004E-3</v>
      </c>
      <c r="D13" s="6">
        <f t="shared" si="3"/>
        <v>820230.72155537375</v>
      </c>
      <c r="E13" s="6">
        <f t="shared" si="4"/>
        <v>78320988.818444639</v>
      </c>
      <c r="F13" s="6">
        <f t="shared" si="5"/>
        <v>79141219.540000007</v>
      </c>
      <c r="G13">
        <v>1</v>
      </c>
    </row>
    <row r="14" spans="1:7">
      <c r="A14" s="38">
        <v>45716</v>
      </c>
      <c r="B14" s="6">
        <v>272734586.55000007</v>
      </c>
      <c r="C14" s="11">
        <v>5.2528490000000004E-3</v>
      </c>
      <c r="D14" s="6">
        <f t="shared" si="3"/>
        <v>1237048.0534040232</v>
      </c>
      <c r="E14" s="6">
        <f t="shared" si="4"/>
        <v>35997136.066596031</v>
      </c>
      <c r="F14" s="6">
        <f t="shared" si="5"/>
        <v>37234184.120000057</v>
      </c>
      <c r="G14">
        <v>1</v>
      </c>
    </row>
    <row r="15" spans="1:7">
      <c r="A15" s="38">
        <v>45747</v>
      </c>
      <c r="B15" s="6">
        <v>312874610.13</v>
      </c>
      <c r="C15" s="11">
        <v>6.5044820000000007E-3</v>
      </c>
      <c r="D15" s="6">
        <f t="shared" si="3"/>
        <v>1773997.2089919178</v>
      </c>
      <c r="E15" s="6">
        <f t="shared" si="4"/>
        <v>38366026.371007979</v>
      </c>
      <c r="F15" s="6">
        <f t="shared" si="5"/>
        <v>40140023.579999894</v>
      </c>
      <c r="G15">
        <v>1</v>
      </c>
    </row>
    <row r="16" spans="1:7">
      <c r="A16" s="38">
        <v>45777</v>
      </c>
      <c r="B16" s="6">
        <v>466030551.80000007</v>
      </c>
      <c r="C16" s="11">
        <v>-2.8999999999999998E-3</v>
      </c>
      <c r="D16" s="6">
        <f t="shared" ref="D16" si="6">B15*C16</f>
        <v>-907336.36937699991</v>
      </c>
      <c r="E16" s="6">
        <f t="shared" ref="E16" si="7">B16-(B15+D16)</f>
        <v>154063278.03937709</v>
      </c>
      <c r="F16" s="6">
        <f t="shared" ref="F16" si="8">D16+E16</f>
        <v>153155941.67000011</v>
      </c>
      <c r="G16">
        <v>1</v>
      </c>
    </row>
    <row r="17" spans="1:7">
      <c r="A17" s="38">
        <v>45808</v>
      </c>
      <c r="B17" s="6">
        <v>476603225.44</v>
      </c>
      <c r="C17" s="11">
        <v>4.7000000000000002E-3</v>
      </c>
      <c r="D17" s="6">
        <f t="shared" ref="D17" si="9">B16*C17</f>
        <v>2190343.5934600006</v>
      </c>
      <c r="E17" s="6">
        <f t="shared" ref="E17" si="10">B17-(B16+D17)</f>
        <v>8382330.0465399027</v>
      </c>
      <c r="F17" s="6">
        <f t="shared" ref="F17" si="11">D17+E17</f>
        <v>10572673.639999904</v>
      </c>
      <c r="G17">
        <v>1</v>
      </c>
    </row>
    <row r="18" spans="1:7">
      <c r="A18" s="38">
        <v>45838</v>
      </c>
      <c r="B18" s="6">
        <v>483265780.66999996</v>
      </c>
      <c r="C18" s="11">
        <v>4.8999999999999998E-3</v>
      </c>
      <c r="D18" s="6">
        <f t="shared" ref="D18" si="12">B17*C18</f>
        <v>2335355.8046559999</v>
      </c>
      <c r="E18" s="6">
        <f t="shared" ref="E18" si="13">B18-(B17+D18)</f>
        <v>4327199.4253439307</v>
      </c>
      <c r="F18" s="6">
        <f t="shared" ref="F18" si="14">D18+E18</f>
        <v>6662555.2299999306</v>
      </c>
      <c r="G18">
        <v>1</v>
      </c>
    </row>
    <row r="19" spans="1:7">
      <c r="B19" s="6"/>
    </row>
    <row r="20" spans="1:7">
      <c r="B20" s="6">
        <f>B18-B15</f>
        <v>170391170.53999996</v>
      </c>
    </row>
    <row r="21" spans="1:7">
      <c r="B21" s="6">
        <f>B18-B12</f>
        <v>326906597.77999997</v>
      </c>
    </row>
    <row r="22" spans="1:7">
      <c r="B22" s="6"/>
    </row>
    <row r="23" spans="1:7">
      <c r="B23" s="6"/>
    </row>
    <row r="24" spans="1:7">
      <c r="B24" s="6"/>
    </row>
    <row r="25" spans="1:7">
      <c r="B25" s="6"/>
    </row>
    <row r="26" spans="1:7">
      <c r="B26" s="6"/>
    </row>
    <row r="27" spans="1:7">
      <c r="B27" s="6"/>
    </row>
    <row r="28" spans="1:7">
      <c r="B28" s="6"/>
    </row>
    <row r="29" spans="1:7">
      <c r="B29" s="6"/>
    </row>
    <row r="30" spans="1:7">
      <c r="B30" s="6"/>
    </row>
    <row r="31" spans="1:7">
      <c r="B31" s="6"/>
    </row>
    <row r="32" spans="1:7">
      <c r="B32" s="6"/>
    </row>
    <row r="33" spans="2:2">
      <c r="B33" s="6"/>
    </row>
    <row r="34" spans="2:2">
      <c r="B34" s="6"/>
    </row>
    <row r="35" spans="2:2">
      <c r="B35" s="6"/>
    </row>
    <row r="36" spans="2:2">
      <c r="B36" s="6"/>
    </row>
    <row r="37" spans="2:2">
      <c r="B37" s="6"/>
    </row>
    <row r="38" spans="2:2">
      <c r="B38" s="6"/>
    </row>
    <row r="39" spans="2:2">
      <c r="B39" s="6"/>
    </row>
    <row r="40" spans="2:2">
      <c r="B40" s="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7758D-7506-E547-A8F8-FD23966B00CA}">
  <sheetPr>
    <tabColor theme="4" tint="0.59999389629810485"/>
  </sheetPr>
  <dimension ref="A1:G36"/>
  <sheetViews>
    <sheetView workbookViewId="0">
      <selection activeCell="B14" sqref="B14"/>
    </sheetView>
  </sheetViews>
  <sheetFormatPr baseColWidth="10" defaultRowHeight="16"/>
  <cols>
    <col min="2" max="2" width="15" bestFit="1" customWidth="1"/>
  </cols>
  <sheetData>
    <row r="1" spans="1:7">
      <c r="A1" s="55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10</v>
      </c>
      <c r="G1" s="3" t="s">
        <v>69</v>
      </c>
    </row>
    <row r="2" spans="1:7">
      <c r="A2" s="38">
        <v>45473</v>
      </c>
      <c r="B2" s="6">
        <v>4785507.18</v>
      </c>
      <c r="C2" s="11">
        <v>8.5000000000000006E-3</v>
      </c>
      <c r="G2">
        <v>1</v>
      </c>
    </row>
    <row r="3" spans="1:7">
      <c r="A3" s="38">
        <v>45504</v>
      </c>
      <c r="B3" s="6">
        <v>9337704.7400000002</v>
      </c>
      <c r="C3" s="11">
        <v>2.5999999999999999E-3</v>
      </c>
      <c r="G3">
        <v>1</v>
      </c>
    </row>
    <row r="4" spans="1:7">
      <c r="A4" s="38">
        <v>45535</v>
      </c>
      <c r="B4" s="6">
        <v>10528759.76</v>
      </c>
      <c r="C4" s="11">
        <v>5.8999999999999999E-3</v>
      </c>
      <c r="G4">
        <v>1</v>
      </c>
    </row>
    <row r="5" spans="1:7">
      <c r="A5" s="38">
        <v>45565</v>
      </c>
      <c r="B5" s="6">
        <v>12255220.24</v>
      </c>
      <c r="C5" s="11">
        <v>2.6599999999999999E-2</v>
      </c>
      <c r="G5">
        <v>1</v>
      </c>
    </row>
    <row r="6" spans="1:7">
      <c r="A6" s="38">
        <v>45596</v>
      </c>
      <c r="B6" s="6">
        <v>13748972.100000001</v>
      </c>
      <c r="C6" s="11">
        <v>-2.1470980000000001E-3</v>
      </c>
      <c r="G6">
        <v>1</v>
      </c>
    </row>
    <row r="7" spans="1:7">
      <c r="A7" s="38">
        <v>45626</v>
      </c>
      <c r="B7" s="6">
        <v>18077569.77</v>
      </c>
      <c r="C7" s="11">
        <v>5.5589969999999995E-2</v>
      </c>
      <c r="G7">
        <v>1</v>
      </c>
    </row>
    <row r="8" spans="1:7">
      <c r="A8" s="38">
        <v>45657</v>
      </c>
      <c r="B8" s="6">
        <v>19339245.149999999</v>
      </c>
      <c r="C8" s="11">
        <v>5.2946800000000004E-3</v>
      </c>
      <c r="G8">
        <v>1</v>
      </c>
    </row>
    <row r="9" spans="1:7">
      <c r="A9" s="38">
        <v>45688</v>
      </c>
      <c r="B9" s="6">
        <v>24573515.140000001</v>
      </c>
      <c r="C9" s="11">
        <v>2.056326E-2</v>
      </c>
      <c r="G9">
        <v>1</v>
      </c>
    </row>
    <row r="10" spans="1:7">
      <c r="A10" s="38">
        <v>45716</v>
      </c>
      <c r="B10" s="6">
        <v>30296000.140000001</v>
      </c>
      <c r="C10" s="11">
        <v>-2.5112060000000002E-2</v>
      </c>
      <c r="G10">
        <v>1</v>
      </c>
    </row>
    <row r="11" spans="1:7">
      <c r="A11" s="38">
        <v>45747</v>
      </c>
      <c r="B11" s="6">
        <v>30457647.600000001</v>
      </c>
      <c r="C11" s="11">
        <v>-7.4892260000000002E-2</v>
      </c>
      <c r="G11">
        <v>1</v>
      </c>
    </row>
    <row r="12" spans="1:7">
      <c r="A12" s="38">
        <v>45777</v>
      </c>
      <c r="B12" s="6">
        <v>28489364.940000001</v>
      </c>
      <c r="C12" s="11">
        <v>-1.2500000000000001E-2</v>
      </c>
      <c r="G12">
        <v>1</v>
      </c>
    </row>
    <row r="13" spans="1:7">
      <c r="A13" s="38">
        <v>45808</v>
      </c>
      <c r="B13" s="6">
        <v>31899810.489999998</v>
      </c>
      <c r="C13" s="11">
        <v>9.1499999999999998E-2</v>
      </c>
      <c r="G13">
        <v>1</v>
      </c>
    </row>
    <row r="14" spans="1:7">
      <c r="A14" s="38">
        <v>45838</v>
      </c>
      <c r="B14" s="6">
        <v>34849260.119999997</v>
      </c>
      <c r="C14" s="11">
        <v>6.4299999999999996E-2</v>
      </c>
    </row>
    <row r="15" spans="1:7">
      <c r="B15" s="6"/>
    </row>
    <row r="16" spans="1:7">
      <c r="B16" s="6">
        <f>B14-B11</f>
        <v>4391612.5199999958</v>
      </c>
    </row>
    <row r="17" spans="2:2">
      <c r="B17" s="6">
        <f>B14-B8</f>
        <v>15510014.969999999</v>
      </c>
    </row>
    <row r="18" spans="2:2">
      <c r="B18" s="6"/>
    </row>
    <row r="19" spans="2:2">
      <c r="B19" s="6"/>
    </row>
    <row r="20" spans="2:2">
      <c r="B20" s="6"/>
    </row>
    <row r="21" spans="2:2">
      <c r="B21" s="6"/>
    </row>
    <row r="22" spans="2:2">
      <c r="B22" s="6"/>
    </row>
    <row r="23" spans="2:2">
      <c r="B23" s="6"/>
    </row>
    <row r="24" spans="2:2">
      <c r="B24" s="6"/>
    </row>
    <row r="25" spans="2:2">
      <c r="B25" s="6"/>
    </row>
    <row r="26" spans="2:2">
      <c r="B26" s="6"/>
    </row>
    <row r="27" spans="2:2">
      <c r="B27" s="6"/>
    </row>
    <row r="28" spans="2:2">
      <c r="B28" s="6"/>
    </row>
    <row r="29" spans="2:2">
      <c r="B29" s="6"/>
    </row>
    <row r="30" spans="2:2">
      <c r="B30" s="6"/>
    </row>
    <row r="31" spans="2:2">
      <c r="B31" s="6"/>
    </row>
    <row r="32" spans="2:2">
      <c r="B32" s="6"/>
    </row>
    <row r="33" spans="2:2">
      <c r="B33" s="6"/>
    </row>
    <row r="34" spans="2:2">
      <c r="B34" s="6"/>
    </row>
    <row r="35" spans="2:2">
      <c r="B35" s="6"/>
    </row>
    <row r="36" spans="2:2">
      <c r="B36" s="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5C7D8-377A-004D-987A-35AA96274A15}">
  <sheetPr>
    <tabColor theme="4" tint="0.59999389629810485"/>
  </sheetPr>
  <dimension ref="A1:G26"/>
  <sheetViews>
    <sheetView workbookViewId="0">
      <selection activeCell="G5" sqref="G5"/>
    </sheetView>
  </sheetViews>
  <sheetFormatPr baseColWidth="10" defaultRowHeight="16"/>
  <cols>
    <col min="2" max="2" width="17.33203125" customWidth="1"/>
  </cols>
  <sheetData>
    <row r="1" spans="1:7">
      <c r="A1" s="55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10</v>
      </c>
      <c r="G1" s="3" t="s">
        <v>69</v>
      </c>
    </row>
    <row r="2" spans="1:7">
      <c r="A2" s="38">
        <v>45777</v>
      </c>
      <c r="B2" s="6">
        <v>163452853.96000001</v>
      </c>
      <c r="G2">
        <v>1</v>
      </c>
    </row>
    <row r="3" spans="1:7">
      <c r="A3" s="38">
        <v>45808</v>
      </c>
      <c r="B3" s="6">
        <v>172957290.30000004</v>
      </c>
      <c r="G3">
        <v>1</v>
      </c>
    </row>
    <row r="4" spans="1:7">
      <c r="A4" s="38">
        <v>45838</v>
      </c>
      <c r="B4" s="6">
        <v>182419640.28</v>
      </c>
      <c r="G4">
        <v>1</v>
      </c>
    </row>
    <row r="5" spans="1:7">
      <c r="B5" s="6"/>
    </row>
    <row r="6" spans="1:7">
      <c r="B6" s="6"/>
    </row>
    <row r="7" spans="1:7">
      <c r="B7" s="6"/>
    </row>
    <row r="8" spans="1:7">
      <c r="B8" s="6"/>
    </row>
    <row r="9" spans="1:7">
      <c r="B9" s="6"/>
    </row>
    <row r="10" spans="1:7">
      <c r="B10" s="6"/>
    </row>
    <row r="11" spans="1:7">
      <c r="B11" s="6"/>
    </row>
    <row r="12" spans="1:7">
      <c r="B12" s="6"/>
    </row>
    <row r="13" spans="1:7">
      <c r="B13" s="6"/>
    </row>
    <row r="14" spans="1:7">
      <c r="B14" s="6"/>
    </row>
    <row r="15" spans="1:7">
      <c r="B15" s="6"/>
    </row>
    <row r="16" spans="1:7">
      <c r="B16" s="6"/>
    </row>
    <row r="17" spans="2:2">
      <c r="B17" s="6"/>
    </row>
    <row r="18" spans="2:2">
      <c r="B18" s="6"/>
    </row>
    <row r="19" spans="2:2">
      <c r="B19" s="6"/>
    </row>
    <row r="20" spans="2:2">
      <c r="B20" s="6"/>
    </row>
    <row r="21" spans="2:2">
      <c r="B21" s="6"/>
    </row>
    <row r="22" spans="2:2">
      <c r="B22" s="6"/>
    </row>
    <row r="23" spans="2:2">
      <c r="B23" s="6"/>
    </row>
    <row r="24" spans="2:2">
      <c r="B24" s="6"/>
    </row>
    <row r="25" spans="2:2">
      <c r="B25" s="6"/>
    </row>
    <row r="26" spans="2:2">
      <c r="B26" s="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912DE-8A10-491A-8E25-39BC66599EE9}">
  <sheetPr>
    <tabColor theme="4" tint="0.59999389629810485"/>
  </sheetPr>
  <dimension ref="A1:C62"/>
  <sheetViews>
    <sheetView topLeftCell="A23" workbookViewId="0">
      <selection activeCell="C42" sqref="C42"/>
    </sheetView>
  </sheetViews>
  <sheetFormatPr baseColWidth="10" defaultColWidth="8.83203125" defaultRowHeight="16"/>
  <cols>
    <col min="1" max="1" width="10.1640625" bestFit="1" customWidth="1"/>
    <col min="2" max="2" width="19.5" bestFit="1" customWidth="1"/>
  </cols>
  <sheetData>
    <row r="1" spans="1:3">
      <c r="B1" s="9" t="s">
        <v>132</v>
      </c>
      <c r="C1" s="9" t="s">
        <v>69</v>
      </c>
    </row>
    <row r="2" spans="1:3">
      <c r="A2" s="38">
        <v>44196</v>
      </c>
      <c r="B2" s="2">
        <v>3392455.03</v>
      </c>
      <c r="C2">
        <v>1</v>
      </c>
    </row>
    <row r="3" spans="1:3">
      <c r="A3" s="38">
        <v>44227</v>
      </c>
      <c r="B3" s="2">
        <v>3307153.15</v>
      </c>
      <c r="C3">
        <v>1</v>
      </c>
    </row>
    <row r="4" spans="1:3">
      <c r="A4" s="38">
        <v>44255</v>
      </c>
      <c r="B4" s="2">
        <v>3723092.28</v>
      </c>
      <c r="C4">
        <v>1</v>
      </c>
    </row>
    <row r="5" spans="1:3">
      <c r="A5" s="38">
        <v>44286</v>
      </c>
      <c r="B5" s="2">
        <v>3944018.3</v>
      </c>
      <c r="C5">
        <v>1</v>
      </c>
    </row>
    <row r="6" spans="1:3">
      <c r="A6" s="38">
        <v>44316</v>
      </c>
      <c r="B6" s="2">
        <v>4420027.53</v>
      </c>
      <c r="C6">
        <v>1</v>
      </c>
    </row>
    <row r="7" spans="1:3">
      <c r="A7" s="38">
        <v>44347</v>
      </c>
      <c r="B7" s="2">
        <v>4308009.9800000004</v>
      </c>
      <c r="C7">
        <v>1</v>
      </c>
    </row>
    <row r="8" spans="1:3">
      <c r="A8" s="38">
        <v>44377</v>
      </c>
      <c r="B8" s="2">
        <v>4450000.42</v>
      </c>
      <c r="C8">
        <v>1</v>
      </c>
    </row>
    <row r="9" spans="1:3">
      <c r="A9" s="38">
        <v>44408</v>
      </c>
      <c r="B9" s="2">
        <v>4556632.88</v>
      </c>
      <c r="C9">
        <v>1</v>
      </c>
    </row>
    <row r="10" spans="1:3">
      <c r="A10" s="38">
        <v>44439</v>
      </c>
      <c r="B10" s="2">
        <v>4728280.1900000004</v>
      </c>
      <c r="C10">
        <v>1</v>
      </c>
    </row>
    <row r="11" spans="1:3">
      <c r="A11" s="38">
        <v>44469</v>
      </c>
      <c r="B11" s="2">
        <v>4353056.54</v>
      </c>
      <c r="C11">
        <v>1</v>
      </c>
    </row>
    <row r="12" spans="1:3">
      <c r="A12" s="38">
        <v>44500</v>
      </c>
      <c r="B12" s="2">
        <v>4317084.8499999996</v>
      </c>
      <c r="C12">
        <v>1</v>
      </c>
    </row>
    <row r="13" spans="1:3">
      <c r="A13" s="38">
        <v>44530</v>
      </c>
      <c r="B13" s="2">
        <v>4332882.2300000004</v>
      </c>
      <c r="C13">
        <v>1</v>
      </c>
    </row>
    <row r="14" spans="1:3">
      <c r="A14" s="38">
        <v>44561</v>
      </c>
      <c r="B14" s="2">
        <v>4399886.88</v>
      </c>
      <c r="C14">
        <v>1</v>
      </c>
    </row>
    <row r="15" spans="1:3">
      <c r="A15" s="38">
        <v>44592</v>
      </c>
      <c r="B15" s="2">
        <v>4067957</v>
      </c>
      <c r="C15">
        <v>1</v>
      </c>
    </row>
    <row r="16" spans="1:3">
      <c r="A16" s="38">
        <v>44620</v>
      </c>
      <c r="B16" s="2">
        <v>3376700.67</v>
      </c>
      <c r="C16">
        <v>1</v>
      </c>
    </row>
    <row r="17" spans="1:3">
      <c r="A17" s="38">
        <v>44651</v>
      </c>
      <c r="B17" s="2">
        <v>3696169.64</v>
      </c>
      <c r="C17">
        <v>1</v>
      </c>
    </row>
    <row r="18" spans="1:3">
      <c r="A18" s="38">
        <v>44681</v>
      </c>
      <c r="B18" s="2">
        <v>3533698.7</v>
      </c>
      <c r="C18">
        <v>1</v>
      </c>
    </row>
    <row r="19" spans="1:3">
      <c r="A19" s="38">
        <v>44712</v>
      </c>
      <c r="B19" s="2">
        <v>3521614.28</v>
      </c>
      <c r="C19">
        <v>1</v>
      </c>
    </row>
    <row r="20" spans="1:3">
      <c r="A20" s="38">
        <v>44742</v>
      </c>
      <c r="B20" s="2">
        <v>2622136.17</v>
      </c>
      <c r="C20">
        <v>1</v>
      </c>
    </row>
    <row r="21" spans="1:3">
      <c r="A21" s="38">
        <v>44773</v>
      </c>
      <c r="B21" s="2">
        <v>2536519.5499999998</v>
      </c>
      <c r="C21">
        <v>1</v>
      </c>
    </row>
    <row r="22" spans="1:3">
      <c r="A22" s="38">
        <v>44804</v>
      </c>
      <c r="B22" s="2">
        <v>2558631.73</v>
      </c>
      <c r="C22">
        <v>1</v>
      </c>
    </row>
    <row r="23" spans="1:3">
      <c r="A23" s="38">
        <v>44834</v>
      </c>
      <c r="B23" s="2">
        <v>2585720.86</v>
      </c>
      <c r="C23">
        <v>1</v>
      </c>
    </row>
    <row r="24" spans="1:3">
      <c r="A24" s="38">
        <v>44865</v>
      </c>
      <c r="B24" s="2">
        <v>2608163.7799999998</v>
      </c>
      <c r="C24">
        <v>1</v>
      </c>
    </row>
    <row r="25" spans="1:3">
      <c r="A25" s="38">
        <v>44895</v>
      </c>
      <c r="B25" s="2">
        <v>2645226.4900000002</v>
      </c>
      <c r="C25">
        <v>1</v>
      </c>
    </row>
    <row r="26" spans="1:3">
      <c r="A26" s="38">
        <v>44926</v>
      </c>
      <c r="B26" s="2">
        <v>2616812.23</v>
      </c>
      <c r="C26">
        <v>1</v>
      </c>
    </row>
    <row r="27" spans="1:3">
      <c r="A27" s="38">
        <v>44957</v>
      </c>
      <c r="B27" s="2">
        <v>2693930.4</v>
      </c>
      <c r="C27">
        <v>1</v>
      </c>
    </row>
    <row r="28" spans="1:3">
      <c r="A28" s="38">
        <v>44985</v>
      </c>
      <c r="B28" s="2">
        <v>2665665.48</v>
      </c>
      <c r="C28">
        <v>1</v>
      </c>
    </row>
    <row r="29" spans="1:3">
      <c r="A29" s="38">
        <v>45016</v>
      </c>
      <c r="B29" s="2">
        <v>2741600.31</v>
      </c>
      <c r="C29">
        <v>1</v>
      </c>
    </row>
    <row r="30" spans="1:3">
      <c r="A30" s="38">
        <v>45046</v>
      </c>
      <c r="B30" s="2">
        <v>2776211.62</v>
      </c>
      <c r="C30">
        <v>1</v>
      </c>
    </row>
    <row r="31" spans="1:3">
      <c r="A31" s="38">
        <v>45077</v>
      </c>
      <c r="B31" s="2">
        <v>2814678.15</v>
      </c>
      <c r="C31">
        <v>1</v>
      </c>
    </row>
    <row r="32" spans="1:3">
      <c r="A32" s="38">
        <v>45107</v>
      </c>
      <c r="B32" s="2">
        <v>2891974.68</v>
      </c>
      <c r="C32">
        <v>1</v>
      </c>
    </row>
    <row r="33" spans="1:3">
      <c r="A33" s="38">
        <v>45138</v>
      </c>
      <c r="B33" s="2">
        <v>2816638.58</v>
      </c>
      <c r="C33">
        <v>1</v>
      </c>
    </row>
    <row r="34" spans="1:3">
      <c r="A34" s="38">
        <v>45169</v>
      </c>
      <c r="B34" s="2">
        <v>2889421.24</v>
      </c>
      <c r="C34">
        <v>1</v>
      </c>
    </row>
    <row r="35" spans="1:3">
      <c r="A35" s="38">
        <v>45199</v>
      </c>
      <c r="B35" s="2">
        <v>2926114.85</v>
      </c>
      <c r="C35">
        <v>1</v>
      </c>
    </row>
    <row r="36" spans="1:3">
      <c r="A36" s="38">
        <v>45230</v>
      </c>
      <c r="B36" s="2">
        <v>2966899.97</v>
      </c>
      <c r="C36">
        <v>1</v>
      </c>
    </row>
    <row r="37" spans="1:3">
      <c r="A37" s="38">
        <v>45260</v>
      </c>
      <c r="B37" s="2">
        <v>2892721.14</v>
      </c>
      <c r="C37">
        <v>1</v>
      </c>
    </row>
    <row r="38" spans="1:3">
      <c r="A38" s="38">
        <v>45291</v>
      </c>
      <c r="B38" s="2">
        <v>2907759.86</v>
      </c>
      <c r="C38">
        <v>1</v>
      </c>
    </row>
    <row r="39" spans="1:3">
      <c r="A39" s="38">
        <v>45322</v>
      </c>
      <c r="B39" s="2">
        <v>2842369.24</v>
      </c>
      <c r="C39">
        <v>1</v>
      </c>
    </row>
    <row r="40" spans="1:3">
      <c r="A40" s="38">
        <v>45351</v>
      </c>
      <c r="B40" s="2">
        <v>2882294.7</v>
      </c>
      <c r="C40">
        <v>1</v>
      </c>
    </row>
    <row r="41" spans="1:3">
      <c r="A41" s="38">
        <v>45382</v>
      </c>
      <c r="B41" s="2">
        <v>2948536.25</v>
      </c>
      <c r="C41">
        <v>1</v>
      </c>
    </row>
    <row r="42" spans="1:3">
      <c r="A42" s="38">
        <v>45412</v>
      </c>
      <c r="B42" s="2">
        <v>2612460.16</v>
      </c>
      <c r="C42">
        <v>1</v>
      </c>
    </row>
    <row r="43" spans="1:3">
      <c r="A43" s="38">
        <v>45443</v>
      </c>
      <c r="B43" s="2">
        <v>2669075.1800000002</v>
      </c>
      <c r="C43">
        <v>1</v>
      </c>
    </row>
    <row r="44" spans="1:3">
      <c r="A44" s="38">
        <v>45473</v>
      </c>
      <c r="B44" s="2">
        <v>2164336.98</v>
      </c>
      <c r="C44">
        <v>1</v>
      </c>
    </row>
    <row r="45" spans="1:3">
      <c r="A45" s="38">
        <v>45504</v>
      </c>
      <c r="B45" s="2">
        <v>2196541.7999999998</v>
      </c>
      <c r="C45">
        <v>1</v>
      </c>
    </row>
    <row r="46" spans="1:3">
      <c r="A46" s="38">
        <v>45535</v>
      </c>
      <c r="B46" s="2">
        <v>2109734.34</v>
      </c>
      <c r="C46">
        <v>1</v>
      </c>
    </row>
    <row r="47" spans="1:3">
      <c r="A47" s="38">
        <v>45565</v>
      </c>
      <c r="B47" s="2">
        <v>2132212.34</v>
      </c>
      <c r="C47">
        <v>1</v>
      </c>
    </row>
    <row r="48" spans="1:3">
      <c r="A48" s="38">
        <v>45596</v>
      </c>
      <c r="B48" s="2">
        <v>1874852.07</v>
      </c>
      <c r="C48">
        <v>1</v>
      </c>
    </row>
    <row r="49" spans="1:3">
      <c r="A49" s="38">
        <v>45626</v>
      </c>
      <c r="B49" s="2">
        <v>1889188.8</v>
      </c>
      <c r="C49">
        <v>1</v>
      </c>
    </row>
    <row r="50" spans="1:3">
      <c r="A50" s="38">
        <v>45657</v>
      </c>
      <c r="B50" s="2">
        <v>1905246.58</v>
      </c>
      <c r="C50">
        <v>1</v>
      </c>
    </row>
    <row r="51" spans="1:3">
      <c r="A51" s="38">
        <v>45688</v>
      </c>
      <c r="B51" s="2">
        <v>1919378.67</v>
      </c>
      <c r="C51">
        <v>1</v>
      </c>
    </row>
    <row r="52" spans="1:3">
      <c r="A52" s="38">
        <v>45716</v>
      </c>
      <c r="B52" s="2">
        <v>1942699.92</v>
      </c>
      <c r="C52">
        <v>1</v>
      </c>
    </row>
    <row r="53" spans="1:3">
      <c r="A53" s="38">
        <v>45747</v>
      </c>
      <c r="B53" s="2">
        <v>1965625.76</v>
      </c>
      <c r="C53">
        <v>1</v>
      </c>
    </row>
    <row r="54" spans="1:3">
      <c r="A54" s="38">
        <v>45777</v>
      </c>
      <c r="B54" s="2">
        <v>1913919.14</v>
      </c>
      <c r="C54">
        <v>1</v>
      </c>
    </row>
    <row r="55" spans="1:3">
      <c r="A55" s="38">
        <v>45808</v>
      </c>
      <c r="B55" s="2">
        <v>1926676.35</v>
      </c>
      <c r="C55">
        <v>1</v>
      </c>
    </row>
    <row r="56" spans="1:3">
      <c r="A56" s="38">
        <v>45838</v>
      </c>
      <c r="B56" s="2">
        <v>1899044.54</v>
      </c>
      <c r="C56">
        <v>1</v>
      </c>
    </row>
    <row r="57" spans="1:3">
      <c r="B57" s="2"/>
    </row>
    <row r="58" spans="1:3">
      <c r="B58" s="2"/>
    </row>
    <row r="59" spans="1:3">
      <c r="B59" s="2"/>
    </row>
    <row r="60" spans="1:3">
      <c r="B60" s="2"/>
    </row>
    <row r="61" spans="1:3">
      <c r="B61" s="2"/>
    </row>
    <row r="62" spans="1:3">
      <c r="B62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C2832-775C-E545-A232-985231E6544D}">
  <sheetPr>
    <tabColor theme="4" tint="0.59999389629810485"/>
  </sheetPr>
  <dimension ref="A1:S60"/>
  <sheetViews>
    <sheetView workbookViewId="0">
      <pane ySplit="1" topLeftCell="A23" activePane="bottomLeft" state="frozen"/>
      <selection pane="bottomLeft" activeCell="S37" sqref="S37"/>
    </sheetView>
  </sheetViews>
  <sheetFormatPr baseColWidth="10" defaultRowHeight="16"/>
  <cols>
    <col min="2" max="2" width="13.1640625" customWidth="1"/>
    <col min="3" max="3" width="5.5" bestFit="1" customWidth="1"/>
    <col min="4" max="4" width="14" bestFit="1" customWidth="1"/>
    <col min="5" max="5" width="5.5" bestFit="1" customWidth="1"/>
    <col min="6" max="6" width="12.83203125" customWidth="1"/>
    <col min="7" max="7" width="5.5" bestFit="1" customWidth="1"/>
    <col min="8" max="8" width="13.33203125" bestFit="1" customWidth="1"/>
    <col min="9" max="9" width="5.5" bestFit="1" customWidth="1"/>
    <col min="10" max="10" width="15" bestFit="1" customWidth="1"/>
    <col min="11" max="11" width="5.5" bestFit="1" customWidth="1"/>
    <col min="12" max="12" width="16.33203125" bestFit="1" customWidth="1"/>
    <col min="13" max="13" width="5.5" customWidth="1"/>
    <col min="14" max="14" width="15" bestFit="1" customWidth="1"/>
    <col min="15" max="15" width="5.5" customWidth="1"/>
    <col min="16" max="16" width="14" bestFit="1" customWidth="1"/>
    <col min="17" max="17" width="5.5" customWidth="1"/>
    <col min="18" max="18" width="10.1640625" bestFit="1" customWidth="1"/>
    <col min="19" max="19" width="16" bestFit="1" customWidth="1"/>
  </cols>
  <sheetData>
    <row r="1" spans="1:19">
      <c r="B1" s="3" t="s">
        <v>157</v>
      </c>
      <c r="C1" s="9" t="s">
        <v>69</v>
      </c>
      <c r="D1" s="3" t="s">
        <v>164</v>
      </c>
      <c r="E1" s="9" t="s">
        <v>69</v>
      </c>
      <c r="F1" s="3" t="s">
        <v>158</v>
      </c>
      <c r="G1" s="9" t="s">
        <v>69</v>
      </c>
      <c r="H1" s="3" t="s">
        <v>165</v>
      </c>
      <c r="I1" s="9" t="s">
        <v>69</v>
      </c>
      <c r="J1" s="3" t="s">
        <v>156</v>
      </c>
      <c r="K1" s="9" t="s">
        <v>69</v>
      </c>
      <c r="L1" s="3" t="s">
        <v>177</v>
      </c>
      <c r="M1" s="9" t="s">
        <v>69</v>
      </c>
      <c r="N1" s="3" t="s">
        <v>169</v>
      </c>
      <c r="O1" s="9" t="s">
        <v>69</v>
      </c>
      <c r="P1" s="9" t="s">
        <v>179</v>
      </c>
      <c r="Q1" s="9"/>
      <c r="R1" s="9" t="s">
        <v>71</v>
      </c>
      <c r="S1" s="9" t="s">
        <v>10</v>
      </c>
    </row>
    <row r="2" spans="1:19">
      <c r="A2" s="38">
        <v>44561</v>
      </c>
      <c r="B2" s="2">
        <v>20005.27</v>
      </c>
      <c r="C2" s="95">
        <v>1</v>
      </c>
      <c r="D2" s="2">
        <v>110470.19</v>
      </c>
      <c r="E2" s="95">
        <v>1</v>
      </c>
      <c r="F2" s="2">
        <v>20245.57</v>
      </c>
      <c r="G2" s="95">
        <v>1</v>
      </c>
      <c r="H2" s="2">
        <v>20125.64</v>
      </c>
      <c r="I2" s="95">
        <v>1</v>
      </c>
      <c r="J2" s="2"/>
      <c r="K2" s="95">
        <v>1</v>
      </c>
      <c r="L2" s="2"/>
      <c r="M2" s="95"/>
      <c r="N2" s="2"/>
      <c r="O2" s="95"/>
      <c r="P2" s="95"/>
      <c r="Q2" s="95"/>
      <c r="R2">
        <f>C2+E2+G2+I2+K2+M2</f>
        <v>5</v>
      </c>
      <c r="S2" s="6">
        <f>B2+D2+F2+H2+J2+L2</f>
        <v>170846.66999999998</v>
      </c>
    </row>
    <row r="3" spans="1:19">
      <c r="A3" s="38">
        <v>44592</v>
      </c>
      <c r="B3" s="2">
        <v>18931.32</v>
      </c>
      <c r="C3" s="95">
        <v>1</v>
      </c>
      <c r="D3" s="2">
        <v>111924.77</v>
      </c>
      <c r="E3" s="95">
        <v>1</v>
      </c>
      <c r="F3" s="2">
        <v>18840.25</v>
      </c>
      <c r="G3" s="95">
        <v>1</v>
      </c>
      <c r="H3" s="2">
        <v>18826.36</v>
      </c>
      <c r="I3" s="95">
        <v>1</v>
      </c>
      <c r="J3" s="2"/>
      <c r="K3" s="95">
        <v>1</v>
      </c>
      <c r="L3" s="2"/>
      <c r="M3" s="95"/>
      <c r="N3" s="2"/>
      <c r="O3" s="95"/>
      <c r="P3" s="95"/>
      <c r="Q3" s="95"/>
      <c r="R3">
        <f t="shared" ref="R3:R17" si="0">C3+E3+G3+I3+K3+M3</f>
        <v>5</v>
      </c>
      <c r="S3" s="6">
        <f t="shared" ref="S3:S17" si="1">B3+D3+F3+H3+J3+L3</f>
        <v>168522.7</v>
      </c>
    </row>
    <row r="4" spans="1:19">
      <c r="A4" s="38">
        <v>44620</v>
      </c>
      <c r="B4" s="2">
        <v>19058.93</v>
      </c>
      <c r="C4" s="95">
        <v>1</v>
      </c>
      <c r="D4" s="2">
        <v>113633.92</v>
      </c>
      <c r="E4" s="95">
        <v>1</v>
      </c>
      <c r="F4" s="2">
        <v>18396.939999999999</v>
      </c>
      <c r="G4" s="95">
        <v>1</v>
      </c>
      <c r="H4" s="2">
        <v>18281.78</v>
      </c>
      <c r="I4" s="95">
        <v>1</v>
      </c>
      <c r="J4" s="2"/>
      <c r="K4" s="95">
        <v>1</v>
      </c>
      <c r="L4" s="2"/>
      <c r="M4" s="95"/>
      <c r="N4" s="2"/>
      <c r="O4" s="95"/>
      <c r="P4" s="95"/>
      <c r="Q4" s="95"/>
      <c r="R4">
        <f t="shared" si="0"/>
        <v>5</v>
      </c>
      <c r="S4" s="6">
        <f t="shared" si="1"/>
        <v>169371.57</v>
      </c>
    </row>
    <row r="5" spans="1:19">
      <c r="A5" s="38">
        <v>44651</v>
      </c>
      <c r="B5" s="2">
        <v>19110.75</v>
      </c>
      <c r="C5" s="95">
        <v>1</v>
      </c>
      <c r="D5" s="2">
        <v>116738.55</v>
      </c>
      <c r="E5" s="95">
        <v>1</v>
      </c>
      <c r="F5" s="2">
        <v>18889.8</v>
      </c>
      <c r="G5" s="95">
        <v>1</v>
      </c>
      <c r="H5" s="2">
        <v>18818.53</v>
      </c>
      <c r="I5" s="95">
        <v>1</v>
      </c>
      <c r="J5" s="2"/>
      <c r="K5" s="95">
        <v>1</v>
      </c>
      <c r="L5" s="2"/>
      <c r="M5" s="95"/>
      <c r="N5" s="2"/>
      <c r="O5" s="95"/>
      <c r="P5" s="95"/>
      <c r="Q5" s="95"/>
      <c r="R5">
        <f t="shared" si="0"/>
        <v>5</v>
      </c>
      <c r="S5" s="6">
        <f t="shared" si="1"/>
        <v>173557.62999999998</v>
      </c>
    </row>
    <row r="6" spans="1:19">
      <c r="A6" s="38">
        <v>44681</v>
      </c>
      <c r="B6" s="2">
        <v>18304.29</v>
      </c>
      <c r="C6" s="95">
        <v>1</v>
      </c>
      <c r="D6" s="2">
        <v>110161.37</v>
      </c>
      <c r="E6" s="95">
        <v>1</v>
      </c>
      <c r="F6" s="2">
        <v>17974.009999999998</v>
      </c>
      <c r="G6" s="95">
        <v>1</v>
      </c>
      <c r="H6" s="2">
        <v>17389.88</v>
      </c>
      <c r="I6" s="95">
        <v>1</v>
      </c>
      <c r="J6" s="2"/>
      <c r="K6" s="95">
        <v>1</v>
      </c>
      <c r="L6" s="2"/>
      <c r="M6" s="95"/>
      <c r="N6" s="2"/>
      <c r="O6" s="95"/>
      <c r="P6" s="95"/>
      <c r="Q6" s="95"/>
      <c r="R6">
        <f t="shared" si="0"/>
        <v>5</v>
      </c>
      <c r="S6" s="6">
        <f t="shared" si="1"/>
        <v>163829.55000000002</v>
      </c>
    </row>
    <row r="7" spans="1:19">
      <c r="A7" s="38">
        <v>44712</v>
      </c>
      <c r="B7" s="2">
        <v>18938.72</v>
      </c>
      <c r="C7" s="95">
        <v>1</v>
      </c>
      <c r="D7" s="2">
        <v>113685.43</v>
      </c>
      <c r="E7" s="95">
        <v>1</v>
      </c>
      <c r="F7" s="2">
        <v>18383.080000000002</v>
      </c>
      <c r="G7" s="95">
        <v>1</v>
      </c>
      <c r="H7" s="2">
        <v>17610.23</v>
      </c>
      <c r="I7" s="95">
        <v>1</v>
      </c>
      <c r="J7" s="2">
        <v>1778547.38</v>
      </c>
      <c r="K7" s="95">
        <v>1</v>
      </c>
      <c r="L7" s="2"/>
      <c r="M7" s="95"/>
      <c r="N7" s="2"/>
      <c r="O7" s="95"/>
      <c r="P7" s="95"/>
      <c r="Q7" s="95"/>
      <c r="R7">
        <f t="shared" si="0"/>
        <v>5</v>
      </c>
      <c r="S7" s="6">
        <f t="shared" si="1"/>
        <v>1947164.8399999999</v>
      </c>
    </row>
    <row r="8" spans="1:19">
      <c r="A8" s="38">
        <v>44742</v>
      </c>
      <c r="B8" s="2">
        <v>16945.52</v>
      </c>
      <c r="C8" s="95">
        <v>1</v>
      </c>
      <c r="D8" s="2">
        <v>105761.16</v>
      </c>
      <c r="E8" s="95">
        <v>1</v>
      </c>
      <c r="F8" s="2">
        <v>17113.18</v>
      </c>
      <c r="G8" s="95">
        <v>1</v>
      </c>
      <c r="H8" s="2">
        <v>15957.75</v>
      </c>
      <c r="I8" s="95">
        <v>1</v>
      </c>
      <c r="J8" s="2">
        <v>1649947.86</v>
      </c>
      <c r="K8" s="95">
        <v>1</v>
      </c>
      <c r="L8" s="2"/>
      <c r="M8" s="95"/>
      <c r="N8" s="2"/>
      <c r="O8" s="95"/>
      <c r="P8" s="95"/>
      <c r="Q8" s="95"/>
      <c r="R8">
        <f t="shared" si="0"/>
        <v>5</v>
      </c>
      <c r="S8" s="6">
        <f t="shared" si="1"/>
        <v>1805725.4700000002</v>
      </c>
    </row>
    <row r="9" spans="1:19">
      <c r="A9" s="38">
        <v>44773</v>
      </c>
      <c r="B9" s="2">
        <v>18151.36</v>
      </c>
      <c r="C9" s="95">
        <v>1</v>
      </c>
      <c r="D9" s="2">
        <v>114306.1</v>
      </c>
      <c r="E9" s="95">
        <v>1</v>
      </c>
      <c r="F9" s="2">
        <v>17687.02</v>
      </c>
      <c r="G9" s="95">
        <v>1</v>
      </c>
      <c r="H9" s="2">
        <v>17325.669999999998</v>
      </c>
      <c r="I9" s="95">
        <v>1</v>
      </c>
      <c r="J9" s="2">
        <v>1970733.8</v>
      </c>
      <c r="K9" s="95">
        <v>1</v>
      </c>
      <c r="L9" s="2"/>
      <c r="M9" s="95"/>
      <c r="N9" s="2"/>
      <c r="O9" s="95"/>
      <c r="P9" s="95"/>
      <c r="Q9" s="95"/>
      <c r="R9">
        <f t="shared" si="0"/>
        <v>5</v>
      </c>
      <c r="S9" s="6">
        <f t="shared" si="1"/>
        <v>2138203.9500000002</v>
      </c>
    </row>
    <row r="10" spans="1:19">
      <c r="A10" s="38">
        <v>44804</v>
      </c>
      <c r="B10" s="2">
        <v>16869.98</v>
      </c>
      <c r="C10" s="95">
        <v>1</v>
      </c>
      <c r="D10" s="2">
        <v>112288.9</v>
      </c>
      <c r="E10" s="95">
        <v>1</v>
      </c>
      <c r="F10" s="2">
        <v>16919.87</v>
      </c>
      <c r="G10" s="95">
        <v>1</v>
      </c>
      <c r="H10" s="2">
        <v>16545.5</v>
      </c>
      <c r="I10" s="95">
        <v>1</v>
      </c>
      <c r="J10" s="2">
        <v>1921294.02</v>
      </c>
      <c r="K10" s="95">
        <v>1</v>
      </c>
      <c r="L10" s="2"/>
      <c r="M10" s="95"/>
      <c r="N10" s="2"/>
      <c r="O10" s="95"/>
      <c r="P10" s="95"/>
      <c r="Q10" s="95"/>
      <c r="R10">
        <f t="shared" si="0"/>
        <v>5</v>
      </c>
      <c r="S10" s="6">
        <f t="shared" si="1"/>
        <v>2083918.27</v>
      </c>
    </row>
    <row r="11" spans="1:19">
      <c r="A11" s="38">
        <v>44834</v>
      </c>
      <c r="B11" s="2">
        <v>15185.76</v>
      </c>
      <c r="C11" s="95">
        <v>1</v>
      </c>
      <c r="D11" s="2">
        <v>102835.87</v>
      </c>
      <c r="E11" s="95">
        <v>1</v>
      </c>
      <c r="F11" s="2">
        <v>15471.57</v>
      </c>
      <c r="G11" s="95">
        <v>1</v>
      </c>
      <c r="H11" s="2">
        <v>14895.28</v>
      </c>
      <c r="I11" s="95">
        <v>1</v>
      </c>
      <c r="J11" s="2">
        <v>1702387.36</v>
      </c>
      <c r="K11" s="95">
        <v>1</v>
      </c>
      <c r="L11" s="2"/>
      <c r="M11" s="95"/>
      <c r="N11" s="2"/>
      <c r="O11" s="95"/>
      <c r="P11" s="95"/>
      <c r="Q11" s="95"/>
      <c r="R11">
        <f t="shared" si="0"/>
        <v>5</v>
      </c>
      <c r="S11" s="6">
        <f t="shared" si="1"/>
        <v>1850775.84</v>
      </c>
    </row>
    <row r="12" spans="1:19">
      <c r="A12" s="38">
        <v>44865</v>
      </c>
      <c r="B12" s="2">
        <v>17003.84</v>
      </c>
      <c r="C12" s="95">
        <v>1</v>
      </c>
      <c r="D12" s="2">
        <v>112284.41</v>
      </c>
      <c r="E12" s="95">
        <v>1</v>
      </c>
      <c r="F12" s="2">
        <v>16889.73</v>
      </c>
      <c r="G12" s="95">
        <v>1</v>
      </c>
      <c r="H12" s="2">
        <v>16294.31</v>
      </c>
      <c r="I12" s="95">
        <v>1</v>
      </c>
      <c r="J12" s="2">
        <v>2721049.02</v>
      </c>
      <c r="K12" s="95">
        <v>2</v>
      </c>
      <c r="L12" s="2"/>
      <c r="M12" s="95"/>
      <c r="N12" s="2"/>
      <c r="O12" s="95"/>
      <c r="P12" s="95"/>
      <c r="Q12" s="95"/>
      <c r="R12">
        <f t="shared" si="0"/>
        <v>6</v>
      </c>
      <c r="S12" s="6">
        <f t="shared" si="1"/>
        <v>2883521.31</v>
      </c>
    </row>
    <row r="13" spans="1:19">
      <c r="A13" s="38">
        <v>44895</v>
      </c>
      <c r="B13" s="2">
        <v>18530.43</v>
      </c>
      <c r="C13" s="95">
        <v>1</v>
      </c>
      <c r="D13" s="2">
        <v>369428.06</v>
      </c>
      <c r="E13" s="95">
        <v>2</v>
      </c>
      <c r="F13" s="2">
        <v>17859.16</v>
      </c>
      <c r="G13" s="95">
        <v>1</v>
      </c>
      <c r="H13" s="2">
        <v>17093.66</v>
      </c>
      <c r="I13" s="95">
        <v>1</v>
      </c>
      <c r="J13" s="2">
        <v>2722613.9</v>
      </c>
      <c r="K13" s="95">
        <v>2</v>
      </c>
      <c r="L13" s="2">
        <v>250000</v>
      </c>
      <c r="M13" s="95">
        <v>1</v>
      </c>
      <c r="N13" s="2"/>
      <c r="O13" s="95"/>
      <c r="P13" s="95"/>
      <c r="Q13" s="95"/>
      <c r="R13">
        <f t="shared" si="0"/>
        <v>8</v>
      </c>
      <c r="S13" s="6">
        <f t="shared" si="1"/>
        <v>3395525.21</v>
      </c>
    </row>
    <row r="14" spans="1:19">
      <c r="A14" s="38">
        <v>44926</v>
      </c>
      <c r="B14" s="2">
        <v>18031.560000000001</v>
      </c>
      <c r="C14" s="95">
        <v>1</v>
      </c>
      <c r="D14" s="2">
        <v>952317.94000000006</v>
      </c>
      <c r="E14" s="95">
        <v>3</v>
      </c>
      <c r="F14" s="2">
        <v>17403.8</v>
      </c>
      <c r="G14" s="95">
        <v>1</v>
      </c>
      <c r="H14" s="2">
        <v>16096.63</v>
      </c>
      <c r="I14" s="95">
        <v>1</v>
      </c>
      <c r="J14" s="2">
        <v>2384046.92</v>
      </c>
      <c r="K14" s="95">
        <v>2</v>
      </c>
      <c r="L14" s="2">
        <v>1130980.97</v>
      </c>
      <c r="M14" s="95">
        <v>3</v>
      </c>
      <c r="N14" s="2"/>
      <c r="O14" s="95"/>
      <c r="P14" s="95"/>
      <c r="Q14" s="95"/>
      <c r="R14">
        <f t="shared" si="0"/>
        <v>11</v>
      </c>
      <c r="S14" s="6">
        <f t="shared" si="1"/>
        <v>4518877.82</v>
      </c>
    </row>
    <row r="15" spans="1:19">
      <c r="A15" s="38">
        <v>44957</v>
      </c>
      <c r="B15" s="2">
        <v>19559.75</v>
      </c>
      <c r="C15" s="95">
        <v>1</v>
      </c>
      <c r="D15" s="2">
        <v>1035381.6792</v>
      </c>
      <c r="E15" s="95">
        <v>3</v>
      </c>
      <c r="F15" s="2">
        <v>18245.921256086</v>
      </c>
      <c r="G15" s="95">
        <v>1</v>
      </c>
      <c r="H15" s="2">
        <v>16908.11</v>
      </c>
      <c r="I15" s="95">
        <v>1</v>
      </c>
      <c r="J15" s="2">
        <v>2618586.75</v>
      </c>
      <c r="K15" s="95">
        <v>2</v>
      </c>
      <c r="L15" s="2">
        <v>2340771.8436000003</v>
      </c>
      <c r="M15" s="95">
        <v>5</v>
      </c>
      <c r="N15" s="2"/>
      <c r="O15" s="95"/>
      <c r="P15" s="95"/>
      <c r="Q15" s="95"/>
      <c r="R15">
        <f t="shared" si="0"/>
        <v>13</v>
      </c>
      <c r="S15" s="6">
        <f t="shared" si="1"/>
        <v>6049454.0540560866</v>
      </c>
    </row>
    <row r="16" spans="1:19">
      <c r="A16" s="38">
        <v>44985</v>
      </c>
      <c r="B16" s="2">
        <v>18584.7</v>
      </c>
      <c r="C16" s="95">
        <v>1</v>
      </c>
      <c r="D16" s="2">
        <v>1009082.0688</v>
      </c>
      <c r="E16" s="95">
        <v>3</v>
      </c>
      <c r="F16" s="2">
        <v>17446.743709999999</v>
      </c>
      <c r="G16" s="95">
        <v>1</v>
      </c>
      <c r="H16" s="2">
        <v>16297.22</v>
      </c>
      <c r="I16" s="95">
        <v>1</v>
      </c>
      <c r="J16" s="2">
        <v>2691205.3899999997</v>
      </c>
      <c r="K16" s="95">
        <v>2</v>
      </c>
      <c r="L16" s="2">
        <v>2715101.3948999997</v>
      </c>
      <c r="M16" s="95">
        <v>7</v>
      </c>
      <c r="N16" s="2"/>
      <c r="O16" s="95"/>
      <c r="P16" s="95"/>
      <c r="Q16" s="95"/>
      <c r="R16">
        <f t="shared" si="0"/>
        <v>15</v>
      </c>
      <c r="S16" s="6">
        <f t="shared" si="1"/>
        <v>6467717.5174099989</v>
      </c>
    </row>
    <row r="17" spans="1:19">
      <c r="A17" s="38">
        <v>45016</v>
      </c>
      <c r="B17" s="2">
        <v>18032.900000000001</v>
      </c>
      <c r="C17" s="95">
        <v>1</v>
      </c>
      <c r="D17" s="2">
        <v>1021011.366131868</v>
      </c>
      <c r="E17" s="95">
        <v>3</v>
      </c>
      <c r="F17" s="2">
        <v>16892.761330000001</v>
      </c>
      <c r="G17" s="95">
        <v>1</v>
      </c>
      <c r="H17" s="2">
        <v>16359.62</v>
      </c>
      <c r="I17" s="95">
        <v>1</v>
      </c>
      <c r="J17" s="2">
        <v>5190498.49</v>
      </c>
      <c r="K17" s="95">
        <v>3</v>
      </c>
      <c r="L17" s="2">
        <v>5995706.571250001</v>
      </c>
      <c r="M17" s="95">
        <v>12</v>
      </c>
      <c r="N17" s="2"/>
      <c r="O17" s="95"/>
      <c r="P17" s="95"/>
      <c r="Q17" s="95"/>
      <c r="R17">
        <f t="shared" si="0"/>
        <v>21</v>
      </c>
      <c r="S17" s="6">
        <f t="shared" si="1"/>
        <v>12258501.70871187</v>
      </c>
    </row>
    <row r="18" spans="1:19">
      <c r="A18" s="38">
        <v>45046</v>
      </c>
      <c r="B18" s="2">
        <v>18593.849999999999</v>
      </c>
      <c r="C18" s="95">
        <v>1</v>
      </c>
      <c r="D18" s="2">
        <v>1032590.295188345</v>
      </c>
      <c r="E18" s="95">
        <v>3</v>
      </c>
      <c r="F18" s="2">
        <v>16888.21</v>
      </c>
      <c r="G18" s="95">
        <v>1</v>
      </c>
      <c r="H18" s="2">
        <v>16609.66</v>
      </c>
      <c r="I18" s="95">
        <v>1</v>
      </c>
      <c r="J18" s="2">
        <v>5392165.6400000006</v>
      </c>
      <c r="K18" s="95">
        <v>3</v>
      </c>
      <c r="L18" s="2">
        <v>6523998.9685499994</v>
      </c>
      <c r="M18" s="95">
        <v>13</v>
      </c>
      <c r="N18" s="2"/>
      <c r="O18" s="95"/>
      <c r="P18" s="95"/>
      <c r="Q18" s="95"/>
      <c r="R18">
        <f>C18+E18+G18+I18+K18+M18</f>
        <v>22</v>
      </c>
      <c r="S18" s="6">
        <f t="shared" ref="S18:S24" si="2">B18+D18+F18+H18+J18+L18</f>
        <v>13000846.623738345</v>
      </c>
    </row>
    <row r="19" spans="1:19">
      <c r="A19" s="38">
        <v>45077</v>
      </c>
      <c r="B19" s="2">
        <v>33883.870000000003</v>
      </c>
      <c r="C19" s="95">
        <v>1</v>
      </c>
      <c r="D19" s="2">
        <v>1017133.271806906</v>
      </c>
      <c r="E19" s="95">
        <v>3</v>
      </c>
      <c r="F19" s="2">
        <v>16412.884850778999</v>
      </c>
      <c r="G19" s="95">
        <v>1</v>
      </c>
      <c r="H19" s="2">
        <v>0</v>
      </c>
      <c r="I19" s="95">
        <v>0</v>
      </c>
      <c r="J19" s="2">
        <v>5486038.6200000001</v>
      </c>
      <c r="K19" s="95">
        <v>3</v>
      </c>
      <c r="L19" s="2">
        <v>11775395.991649998</v>
      </c>
      <c r="M19" s="95">
        <v>16</v>
      </c>
      <c r="N19" s="2"/>
      <c r="O19" s="95"/>
      <c r="P19" s="95"/>
      <c r="Q19" s="95"/>
      <c r="R19">
        <f>C19+E19+G19+I19+K19+M19</f>
        <v>24</v>
      </c>
      <c r="S19" s="6">
        <f t="shared" si="2"/>
        <v>18328864.638307683</v>
      </c>
    </row>
    <row r="20" spans="1:19">
      <c r="A20" s="38">
        <v>45107</v>
      </c>
      <c r="B20" s="2">
        <v>35404.300000000003</v>
      </c>
      <c r="C20" s="95">
        <v>1</v>
      </c>
      <c r="D20" s="2">
        <v>1066241.738121656</v>
      </c>
      <c r="E20" s="95">
        <v>3</v>
      </c>
      <c r="F20" s="2">
        <v>17565.37</v>
      </c>
      <c r="G20" s="95">
        <v>1</v>
      </c>
      <c r="H20" s="2">
        <v>0</v>
      </c>
      <c r="I20" s="95">
        <v>0</v>
      </c>
      <c r="J20" s="2">
        <v>6920058.1699999999</v>
      </c>
      <c r="K20" s="95">
        <v>4</v>
      </c>
      <c r="L20" s="2">
        <v>12715119.310000001</v>
      </c>
      <c r="M20" s="95">
        <v>18</v>
      </c>
      <c r="N20" s="2"/>
      <c r="O20" s="95"/>
      <c r="P20" s="95"/>
      <c r="Q20" s="95"/>
      <c r="R20">
        <f>C20+E20+G20+I20+K20+M20</f>
        <v>27</v>
      </c>
      <c r="S20" s="6">
        <f t="shared" si="2"/>
        <v>20754388.888121657</v>
      </c>
    </row>
    <row r="21" spans="1:19">
      <c r="A21" s="38">
        <v>45138</v>
      </c>
      <c r="B21" s="2">
        <v>37097.81</v>
      </c>
      <c r="C21" s="95">
        <v>1</v>
      </c>
      <c r="D21" s="2">
        <v>1111072.3400000001</v>
      </c>
      <c r="E21" s="95">
        <v>3</v>
      </c>
      <c r="F21" s="2">
        <v>18575.330000000002</v>
      </c>
      <c r="G21" s="95">
        <v>1</v>
      </c>
      <c r="H21" s="2">
        <v>0</v>
      </c>
      <c r="I21" s="95">
        <v>0</v>
      </c>
      <c r="J21" s="2">
        <v>7017323.75</v>
      </c>
      <c r="K21" s="95">
        <v>4</v>
      </c>
      <c r="L21" s="2">
        <v>14311729.58</v>
      </c>
      <c r="M21" s="95">
        <v>19</v>
      </c>
      <c r="N21" s="2"/>
      <c r="O21" s="95"/>
      <c r="P21" s="95"/>
      <c r="Q21" s="95"/>
      <c r="R21">
        <f>C21+E21+G21+I21+K21+M21</f>
        <v>28</v>
      </c>
      <c r="S21" s="6">
        <f t="shared" si="2"/>
        <v>22495798.810000002</v>
      </c>
    </row>
    <row r="22" spans="1:19">
      <c r="A22" s="38">
        <v>45169</v>
      </c>
      <c r="B22" s="2">
        <v>35973.040000000001</v>
      </c>
      <c r="C22" s="95">
        <v>1</v>
      </c>
      <c r="D22" s="2">
        <v>1410992.13</v>
      </c>
      <c r="E22" s="95">
        <v>4</v>
      </c>
      <c r="F22" s="2">
        <v>18177.61</v>
      </c>
      <c r="G22" s="95">
        <v>1</v>
      </c>
      <c r="H22" s="2">
        <v>0</v>
      </c>
      <c r="I22" s="95">
        <v>0</v>
      </c>
      <c r="J22" s="2">
        <v>6850839.5899999999</v>
      </c>
      <c r="K22" s="95">
        <v>4</v>
      </c>
      <c r="L22" s="2">
        <v>20769293.080000002</v>
      </c>
      <c r="M22" s="95">
        <v>25</v>
      </c>
      <c r="N22" s="2">
        <v>5009375.7648999998</v>
      </c>
      <c r="O22" s="95">
        <v>1</v>
      </c>
      <c r="P22" s="95"/>
      <c r="Q22" s="95"/>
      <c r="R22">
        <f>C22+E22+G22+I22+K22+M22+O22</f>
        <v>36</v>
      </c>
      <c r="S22" s="6">
        <f t="shared" si="2"/>
        <v>29085275.450000003</v>
      </c>
    </row>
    <row r="23" spans="1:19">
      <c r="A23" s="38">
        <v>45199</v>
      </c>
      <c r="B23" s="2">
        <v>35023.83</v>
      </c>
      <c r="C23" s="95">
        <v>1</v>
      </c>
      <c r="D23" s="2">
        <v>1912706.75</v>
      </c>
      <c r="E23" s="95">
        <v>6</v>
      </c>
      <c r="F23" s="2">
        <v>17525.84</v>
      </c>
      <c r="G23" s="95">
        <v>1</v>
      </c>
      <c r="H23" s="2">
        <v>0</v>
      </c>
      <c r="I23" s="95">
        <v>0</v>
      </c>
      <c r="J23" s="2">
        <v>6824232.2300000004</v>
      </c>
      <c r="K23" s="95">
        <v>4</v>
      </c>
      <c r="L23" s="2">
        <v>23386539.080000002</v>
      </c>
      <c r="M23" s="95">
        <v>34</v>
      </c>
      <c r="N23" s="2">
        <v>5055119.2874339996</v>
      </c>
      <c r="O23" s="95">
        <v>1</v>
      </c>
      <c r="P23" s="95"/>
      <c r="Q23" s="95"/>
      <c r="R23">
        <f>C23+E23+G23+I23+K23+M23+O23</f>
        <v>47</v>
      </c>
      <c r="S23" s="6">
        <f t="shared" si="2"/>
        <v>32176027.730000004</v>
      </c>
    </row>
    <row r="24" spans="1:19">
      <c r="A24" s="38">
        <v>45230</v>
      </c>
      <c r="B24" s="2">
        <v>34158.941449987004</v>
      </c>
      <c r="C24" s="95">
        <v>1</v>
      </c>
      <c r="D24" s="2">
        <v>1732194.0393594911</v>
      </c>
      <c r="E24" s="95">
        <v>6</v>
      </c>
      <c r="F24" s="2">
        <v>16793.362594107999</v>
      </c>
      <c r="G24" s="95">
        <v>1</v>
      </c>
      <c r="H24" s="2">
        <v>0</v>
      </c>
      <c r="I24" s="95">
        <v>0</v>
      </c>
      <c r="J24" s="2">
        <v>9154043.5410247296</v>
      </c>
      <c r="K24" s="95">
        <v>5</v>
      </c>
      <c r="L24" s="2">
        <v>24052054.802113149</v>
      </c>
      <c r="M24" s="95">
        <v>55</v>
      </c>
      <c r="N24" s="2">
        <v>4984627.9693539999</v>
      </c>
      <c r="O24" s="95">
        <v>1</v>
      </c>
      <c r="P24" s="95"/>
      <c r="Q24" s="95"/>
      <c r="R24">
        <f>C24+E24+G24+I24+K24+M24+O24</f>
        <v>69</v>
      </c>
      <c r="S24" s="6">
        <f t="shared" si="2"/>
        <v>34989244.686541468</v>
      </c>
    </row>
    <row r="25" spans="1:19">
      <c r="A25" s="38">
        <v>45260</v>
      </c>
      <c r="B25" s="2">
        <v>36750.682505094002</v>
      </c>
      <c r="C25" s="95">
        <v>1</v>
      </c>
      <c r="D25" s="2">
        <v>2942014.1970580854</v>
      </c>
      <c r="E25" s="95">
        <v>8</v>
      </c>
      <c r="F25" s="2">
        <v>18186.181056321999</v>
      </c>
      <c r="G25" s="95">
        <v>1</v>
      </c>
      <c r="H25" s="2">
        <v>0</v>
      </c>
      <c r="I25" s="95">
        <v>0</v>
      </c>
      <c r="J25" s="2">
        <v>10242064.356671249</v>
      </c>
      <c r="K25" s="95">
        <v>6</v>
      </c>
      <c r="L25" s="2">
        <v>37386957.357361734</v>
      </c>
      <c r="M25" s="95">
        <v>94</v>
      </c>
      <c r="N25" s="2">
        <v>5196032.5759779997</v>
      </c>
      <c r="O25" s="95">
        <v>1</v>
      </c>
      <c r="P25" s="95"/>
      <c r="Q25" s="95"/>
      <c r="R25">
        <f t="shared" ref="R25:R32" si="3">C25+E25+G25+I25+K25+M25+O25</f>
        <v>111</v>
      </c>
      <c r="S25" s="6">
        <f t="shared" ref="S25:S32" si="4">B25+D25+F25+H25+J25+L25+N25</f>
        <v>55822005.350630477</v>
      </c>
    </row>
    <row r="26" spans="1:19">
      <c r="A26" s="38">
        <v>45291</v>
      </c>
      <c r="B26" s="2">
        <v>38296.102578585</v>
      </c>
      <c r="C26" s="95">
        <v>1</v>
      </c>
      <c r="D26" s="2">
        <v>3206524.9231554014</v>
      </c>
      <c r="E26" s="95">
        <v>8</v>
      </c>
      <c r="F26" s="2">
        <v>19802.202031254001</v>
      </c>
      <c r="G26" s="95">
        <v>1</v>
      </c>
      <c r="H26" s="2">
        <v>0</v>
      </c>
      <c r="I26" s="95">
        <v>0</v>
      </c>
      <c r="J26" s="2">
        <v>13055926.518671252</v>
      </c>
      <c r="K26" s="95">
        <v>8</v>
      </c>
      <c r="L26" s="2">
        <v>41263135.294611722</v>
      </c>
      <c r="M26" s="95">
        <v>111</v>
      </c>
      <c r="N26" s="2">
        <v>5355700.0732180001</v>
      </c>
      <c r="O26" s="95">
        <v>1</v>
      </c>
      <c r="P26" s="95"/>
      <c r="Q26" s="95"/>
      <c r="R26">
        <f t="shared" si="3"/>
        <v>130</v>
      </c>
      <c r="S26" s="6">
        <f t="shared" si="4"/>
        <v>62939385.114266217</v>
      </c>
    </row>
    <row r="27" spans="1:19">
      <c r="A27" s="38">
        <v>45322</v>
      </c>
      <c r="B27" s="2">
        <v>39759.53</v>
      </c>
      <c r="C27" s="95">
        <v>1</v>
      </c>
      <c r="D27" s="2">
        <v>5021584.91</v>
      </c>
      <c r="E27" s="95">
        <v>10</v>
      </c>
      <c r="F27" s="2">
        <v>20016.7</v>
      </c>
      <c r="G27" s="95">
        <v>1</v>
      </c>
      <c r="H27" s="2">
        <v>0</v>
      </c>
      <c r="I27" s="95">
        <v>0</v>
      </c>
      <c r="J27" s="2">
        <v>13207277.899999999</v>
      </c>
      <c r="K27" s="95">
        <v>8</v>
      </c>
      <c r="L27" s="2">
        <v>45371210.800000012</v>
      </c>
      <c r="M27" s="95">
        <v>132</v>
      </c>
      <c r="N27" s="2">
        <v>5341814.87</v>
      </c>
      <c r="O27" s="95">
        <v>1</v>
      </c>
      <c r="P27" s="95"/>
      <c r="Q27" s="95"/>
      <c r="R27">
        <f t="shared" si="3"/>
        <v>153</v>
      </c>
      <c r="S27" s="6">
        <f t="shared" si="4"/>
        <v>69001664.710000008</v>
      </c>
    </row>
    <row r="28" spans="1:19">
      <c r="A28" s="38">
        <v>45351</v>
      </c>
      <c r="B28" s="2">
        <v>39981.120000000003</v>
      </c>
      <c r="C28" s="95">
        <v>1</v>
      </c>
      <c r="D28" s="2">
        <v>5426594.21</v>
      </c>
      <c r="E28" s="95">
        <v>12</v>
      </c>
      <c r="F28" s="2">
        <v>20278.18</v>
      </c>
      <c r="G28" s="95">
        <v>1</v>
      </c>
      <c r="H28" s="2">
        <v>0</v>
      </c>
      <c r="I28" s="95">
        <v>0</v>
      </c>
      <c r="J28" s="2">
        <v>13855369.58</v>
      </c>
      <c r="K28" s="95">
        <v>8</v>
      </c>
      <c r="L28" s="2">
        <v>54085660.37999998</v>
      </c>
      <c r="M28" s="95">
        <v>157</v>
      </c>
      <c r="N28" s="2">
        <v>5326605.67</v>
      </c>
      <c r="O28" s="95">
        <v>1</v>
      </c>
      <c r="P28" s="95"/>
      <c r="Q28" s="95"/>
      <c r="R28">
        <f t="shared" si="3"/>
        <v>180</v>
      </c>
      <c r="S28" s="6">
        <f t="shared" si="4"/>
        <v>78754489.139999986</v>
      </c>
    </row>
    <row r="29" spans="1:19">
      <c r="A29" s="38">
        <v>45382</v>
      </c>
      <c r="B29" s="2">
        <v>41382.22</v>
      </c>
      <c r="C29" s="95">
        <v>1</v>
      </c>
      <c r="D29" s="2">
        <v>5573769.6900000013</v>
      </c>
      <c r="E29" s="95">
        <v>12</v>
      </c>
      <c r="F29" s="2">
        <v>21380.54</v>
      </c>
      <c r="G29" s="95">
        <v>1</v>
      </c>
      <c r="H29" s="2">
        <v>0</v>
      </c>
      <c r="I29" s="95">
        <v>0</v>
      </c>
      <c r="J29" s="2">
        <v>13824189.679999998</v>
      </c>
      <c r="K29" s="95">
        <v>9</v>
      </c>
      <c r="L29" s="2">
        <v>62273175.859999977</v>
      </c>
      <c r="M29" s="95">
        <v>165</v>
      </c>
      <c r="N29" s="2">
        <v>0</v>
      </c>
      <c r="O29" s="95">
        <v>0</v>
      </c>
      <c r="P29" s="95"/>
      <c r="Q29" s="95"/>
      <c r="R29">
        <f t="shared" si="3"/>
        <v>188</v>
      </c>
      <c r="S29" s="6">
        <f t="shared" si="4"/>
        <v>81733897.98999998</v>
      </c>
    </row>
    <row r="30" spans="1:19">
      <c r="A30" s="38">
        <v>45412</v>
      </c>
      <c r="B30" s="2">
        <v>39424.68</v>
      </c>
      <c r="C30" s="95">
        <v>1</v>
      </c>
      <c r="D30" s="2">
        <v>5864308.5900000017</v>
      </c>
      <c r="E30" s="95">
        <v>13</v>
      </c>
      <c r="F30" s="2">
        <v>20058.32</v>
      </c>
      <c r="G30" s="95">
        <v>1</v>
      </c>
      <c r="H30" s="2">
        <v>0</v>
      </c>
      <c r="I30" s="95">
        <v>0</v>
      </c>
      <c r="J30" s="2">
        <v>20228270.329999998</v>
      </c>
      <c r="K30" s="95">
        <v>10</v>
      </c>
      <c r="L30" s="2">
        <v>46778776.32</v>
      </c>
      <c r="M30" s="95">
        <v>168</v>
      </c>
      <c r="N30" s="2">
        <v>0</v>
      </c>
      <c r="O30" s="95">
        <v>0</v>
      </c>
      <c r="P30" s="95"/>
      <c r="Q30" s="95"/>
      <c r="R30">
        <f t="shared" si="3"/>
        <v>193</v>
      </c>
      <c r="S30" s="6">
        <f t="shared" si="4"/>
        <v>72930838.24000001</v>
      </c>
    </row>
    <row r="31" spans="1:19">
      <c r="A31" s="38">
        <v>45443</v>
      </c>
      <c r="B31" s="2">
        <v>39997.86</v>
      </c>
      <c r="C31" s="95">
        <v>1</v>
      </c>
      <c r="D31" s="2">
        <v>6108598.8899999987</v>
      </c>
      <c r="E31" s="95">
        <v>12</v>
      </c>
      <c r="F31" s="2">
        <v>20370.3</v>
      </c>
      <c r="G31" s="95">
        <v>1</v>
      </c>
      <c r="H31" s="2">
        <v>0</v>
      </c>
      <c r="I31" s="95">
        <v>0</v>
      </c>
      <c r="J31" s="2">
        <v>21272111.489999995</v>
      </c>
      <c r="K31" s="95">
        <v>11</v>
      </c>
      <c r="L31" s="2">
        <v>48434604.019999959</v>
      </c>
      <c r="M31" s="95">
        <v>168</v>
      </c>
      <c r="N31" s="2">
        <v>0</v>
      </c>
      <c r="O31" s="95">
        <v>0</v>
      </c>
      <c r="P31" s="95"/>
      <c r="Q31" s="95"/>
      <c r="R31">
        <f t="shared" si="3"/>
        <v>193</v>
      </c>
      <c r="S31" s="6">
        <f t="shared" si="4"/>
        <v>75875682.559999943</v>
      </c>
    </row>
    <row r="32" spans="1:19">
      <c r="A32" s="38">
        <v>45473</v>
      </c>
      <c r="B32" s="2">
        <v>39290.75</v>
      </c>
      <c r="C32" s="95">
        <v>1</v>
      </c>
      <c r="D32" s="2">
        <v>5996730.4399999995</v>
      </c>
      <c r="E32" s="95">
        <v>12</v>
      </c>
      <c r="F32" s="2">
        <v>20380.96</v>
      </c>
      <c r="G32" s="95">
        <v>1</v>
      </c>
      <c r="H32" s="2">
        <v>0</v>
      </c>
      <c r="I32" s="95">
        <v>0</v>
      </c>
      <c r="J32" s="2">
        <v>21770400.949999996</v>
      </c>
      <c r="K32" s="95">
        <v>12</v>
      </c>
      <c r="L32" s="2">
        <v>46633044.479999967</v>
      </c>
      <c r="M32" s="95">
        <v>169</v>
      </c>
      <c r="N32" s="2">
        <v>0</v>
      </c>
      <c r="O32" s="95">
        <v>0</v>
      </c>
      <c r="P32" s="95"/>
      <c r="Q32" s="95"/>
      <c r="R32">
        <f t="shared" si="3"/>
        <v>195</v>
      </c>
      <c r="S32" s="6">
        <f t="shared" si="4"/>
        <v>74459847.579999954</v>
      </c>
    </row>
    <row r="33" spans="1:19">
      <c r="A33" s="38">
        <v>45504</v>
      </c>
      <c r="B33" s="2">
        <v>0</v>
      </c>
      <c r="C33" s="95">
        <v>0</v>
      </c>
      <c r="D33" s="2">
        <v>6008129.3799999999</v>
      </c>
      <c r="E33" s="95">
        <v>11</v>
      </c>
      <c r="F33" s="2">
        <v>0</v>
      </c>
      <c r="G33" s="95">
        <v>0</v>
      </c>
      <c r="H33" s="2">
        <v>0</v>
      </c>
      <c r="I33" s="95">
        <v>0</v>
      </c>
      <c r="J33" s="2">
        <v>22597266.960000001</v>
      </c>
      <c r="K33" s="95">
        <v>11</v>
      </c>
      <c r="L33" s="2">
        <v>41276695.189999998</v>
      </c>
      <c r="M33" s="95">
        <v>158</v>
      </c>
      <c r="N33" s="2">
        <v>0</v>
      </c>
      <c r="O33" s="95">
        <v>0</v>
      </c>
      <c r="P33" s="2">
        <v>214370.17</v>
      </c>
      <c r="Q33" s="95">
        <v>3</v>
      </c>
      <c r="R33">
        <f t="shared" ref="R33:R38" si="5">C33+E33+G33+I33+K33+M33+O33+Q33</f>
        <v>183</v>
      </c>
      <c r="S33" s="6">
        <f t="shared" ref="S33:S41" si="6">B33+D33+F33+H33+J33+L33+N33+P33</f>
        <v>70096461.700000003</v>
      </c>
    </row>
    <row r="34" spans="1:19">
      <c r="A34" s="38">
        <v>45535</v>
      </c>
      <c r="B34" s="2">
        <v>0</v>
      </c>
      <c r="C34" s="95">
        <v>0</v>
      </c>
      <c r="D34" s="2">
        <v>5045480.2500000009</v>
      </c>
      <c r="E34" s="95">
        <v>11</v>
      </c>
      <c r="F34" s="2">
        <v>0</v>
      </c>
      <c r="G34" s="95">
        <v>0</v>
      </c>
      <c r="H34" s="2">
        <v>0</v>
      </c>
      <c r="I34" s="95">
        <v>0</v>
      </c>
      <c r="J34" s="2">
        <v>22844148.98</v>
      </c>
      <c r="K34" s="95">
        <v>11</v>
      </c>
      <c r="L34" s="2">
        <v>57262394.170000032</v>
      </c>
      <c r="M34" s="95">
        <v>161</v>
      </c>
      <c r="N34" s="2">
        <v>0</v>
      </c>
      <c r="O34" s="95">
        <v>0</v>
      </c>
      <c r="P34" s="2">
        <v>215854.36000000002</v>
      </c>
      <c r="Q34" s="95">
        <v>3</v>
      </c>
      <c r="R34">
        <f t="shared" si="5"/>
        <v>186</v>
      </c>
      <c r="S34" s="6">
        <f t="shared" si="6"/>
        <v>85367877.760000035</v>
      </c>
    </row>
    <row r="35" spans="1:19">
      <c r="A35" s="38">
        <v>45565</v>
      </c>
      <c r="B35" s="2">
        <v>0</v>
      </c>
      <c r="C35" s="95">
        <v>0</v>
      </c>
      <c r="D35" s="2">
        <v>4301954.0199999996</v>
      </c>
      <c r="E35" s="95">
        <v>10</v>
      </c>
      <c r="F35" s="2">
        <v>0</v>
      </c>
      <c r="G35" s="95">
        <v>0</v>
      </c>
      <c r="H35" s="2">
        <v>0</v>
      </c>
      <c r="I35" s="95">
        <v>0</v>
      </c>
      <c r="J35" s="2">
        <v>23863155.489999998</v>
      </c>
      <c r="K35" s="95">
        <v>11</v>
      </c>
      <c r="L35" s="2">
        <v>53922308.789999977</v>
      </c>
      <c r="M35" s="95">
        <v>165</v>
      </c>
      <c r="N35" s="2">
        <v>0</v>
      </c>
      <c r="O35" s="95">
        <v>0</v>
      </c>
      <c r="P35" s="2">
        <v>232381.77</v>
      </c>
      <c r="Q35" s="95">
        <v>3</v>
      </c>
      <c r="R35">
        <f t="shared" si="5"/>
        <v>189</v>
      </c>
      <c r="S35" s="6">
        <f t="shared" si="6"/>
        <v>82319800.069999978</v>
      </c>
    </row>
    <row r="36" spans="1:19">
      <c r="A36" s="38">
        <v>45596</v>
      </c>
      <c r="B36" s="2">
        <v>0</v>
      </c>
      <c r="C36" s="95">
        <v>0</v>
      </c>
      <c r="D36" s="2">
        <v>3893923.6999999997</v>
      </c>
      <c r="E36" s="95">
        <v>8</v>
      </c>
      <c r="F36" s="2">
        <v>0</v>
      </c>
      <c r="G36" s="95">
        <v>0</v>
      </c>
      <c r="H36" s="2">
        <v>0</v>
      </c>
      <c r="I36" s="95">
        <v>0</v>
      </c>
      <c r="J36" s="2">
        <v>23518204.770000003</v>
      </c>
      <c r="K36" s="95">
        <v>11</v>
      </c>
      <c r="L36" s="2">
        <v>48014713.74000001</v>
      </c>
      <c r="M36" s="95">
        <v>159</v>
      </c>
      <c r="N36" s="2">
        <v>0</v>
      </c>
      <c r="O36" s="95">
        <v>0</v>
      </c>
      <c r="P36" s="2">
        <v>246495.79000000004</v>
      </c>
      <c r="Q36" s="95">
        <v>18</v>
      </c>
      <c r="R36">
        <f t="shared" si="5"/>
        <v>196</v>
      </c>
      <c r="S36" s="6">
        <f t="shared" si="6"/>
        <v>75673338.000000015</v>
      </c>
    </row>
    <row r="37" spans="1:19">
      <c r="A37" s="38">
        <v>45626</v>
      </c>
      <c r="B37" s="2">
        <v>0</v>
      </c>
      <c r="C37" s="95">
        <v>0</v>
      </c>
      <c r="D37" s="2">
        <v>3923233.98</v>
      </c>
      <c r="E37" s="95">
        <v>8</v>
      </c>
      <c r="F37" s="2">
        <v>0</v>
      </c>
      <c r="G37" s="95">
        <v>0</v>
      </c>
      <c r="H37" s="2">
        <v>0</v>
      </c>
      <c r="I37" s="95">
        <v>0</v>
      </c>
      <c r="J37" s="2">
        <v>35023765.229999997</v>
      </c>
      <c r="K37" s="95">
        <v>12</v>
      </c>
      <c r="L37" s="2">
        <v>46866053.700000003</v>
      </c>
      <c r="M37" s="95">
        <v>160</v>
      </c>
      <c r="N37" s="2">
        <v>0</v>
      </c>
      <c r="O37" s="95">
        <v>0</v>
      </c>
      <c r="P37" s="2">
        <v>247878.62000000002</v>
      </c>
      <c r="Q37" s="95">
        <v>8</v>
      </c>
      <c r="R37">
        <f t="shared" si="5"/>
        <v>188</v>
      </c>
      <c r="S37" s="6">
        <f t="shared" si="6"/>
        <v>86060931.530000001</v>
      </c>
    </row>
    <row r="38" spans="1:19">
      <c r="A38" s="38">
        <v>45657</v>
      </c>
      <c r="B38" s="2">
        <v>0</v>
      </c>
      <c r="C38" s="95">
        <v>0</v>
      </c>
      <c r="D38" s="2">
        <v>3770504.9299999997</v>
      </c>
      <c r="E38" s="95">
        <v>9</v>
      </c>
      <c r="F38" s="2">
        <v>0</v>
      </c>
      <c r="G38" s="95">
        <v>0</v>
      </c>
      <c r="H38" s="2">
        <v>0</v>
      </c>
      <c r="I38" s="95">
        <v>0</v>
      </c>
      <c r="J38" s="2">
        <v>36242412.539999999</v>
      </c>
      <c r="K38" s="95">
        <v>12</v>
      </c>
      <c r="L38" s="2">
        <v>46231418.150000021</v>
      </c>
      <c r="M38" s="95">
        <v>160</v>
      </c>
      <c r="N38" s="2">
        <v>0</v>
      </c>
      <c r="O38" s="95">
        <v>0</v>
      </c>
      <c r="P38" s="2">
        <v>236555.75</v>
      </c>
      <c r="Q38" s="95">
        <v>4</v>
      </c>
      <c r="R38">
        <f t="shared" si="5"/>
        <v>185</v>
      </c>
      <c r="S38" s="6">
        <f t="shared" si="6"/>
        <v>86480891.37000002</v>
      </c>
    </row>
    <row r="39" spans="1:19">
      <c r="A39" s="38">
        <v>45688</v>
      </c>
      <c r="B39" s="2">
        <v>0</v>
      </c>
      <c r="C39" s="95">
        <v>0</v>
      </c>
      <c r="D39" s="2">
        <v>3069593.96</v>
      </c>
      <c r="E39" s="95">
        <v>6</v>
      </c>
      <c r="F39" s="2">
        <v>0</v>
      </c>
      <c r="G39" s="95">
        <v>0</v>
      </c>
      <c r="H39" s="2">
        <v>0</v>
      </c>
      <c r="I39" s="95">
        <v>0</v>
      </c>
      <c r="J39" s="2">
        <v>38781143.090000004</v>
      </c>
      <c r="K39" s="95">
        <v>14</v>
      </c>
      <c r="L39" s="2">
        <v>38020008.769999973</v>
      </c>
      <c r="M39" s="95">
        <v>157</v>
      </c>
      <c r="N39" s="2">
        <v>0</v>
      </c>
      <c r="O39" s="95">
        <v>0</v>
      </c>
      <c r="P39" s="2">
        <v>574202.54999999993</v>
      </c>
      <c r="Q39" s="95">
        <v>8</v>
      </c>
      <c r="R39">
        <f t="shared" ref="R39:R44" si="7">C39+E39+G39+I39+K39+M39+O39+Q39</f>
        <v>185</v>
      </c>
      <c r="S39" s="6">
        <f t="shared" si="6"/>
        <v>80444948.369999975</v>
      </c>
    </row>
    <row r="40" spans="1:19">
      <c r="A40" s="38">
        <v>45716</v>
      </c>
      <c r="B40" s="2">
        <v>0</v>
      </c>
      <c r="C40" s="95">
        <v>0</v>
      </c>
      <c r="D40" s="2">
        <v>3031465.83</v>
      </c>
      <c r="E40" s="95">
        <v>6</v>
      </c>
      <c r="F40" s="2">
        <v>0</v>
      </c>
      <c r="G40" s="95">
        <v>0</v>
      </c>
      <c r="H40" s="2">
        <v>0</v>
      </c>
      <c r="I40" s="95">
        <v>0</v>
      </c>
      <c r="J40" s="2">
        <v>39437718.479999997</v>
      </c>
      <c r="K40" s="95">
        <v>16</v>
      </c>
      <c r="L40" s="2">
        <v>32566244.630000003</v>
      </c>
      <c r="M40" s="95">
        <v>148</v>
      </c>
      <c r="N40" s="2">
        <v>0</v>
      </c>
      <c r="O40" s="95">
        <v>0</v>
      </c>
      <c r="P40" s="2">
        <v>585053.28000000014</v>
      </c>
      <c r="Q40" s="95">
        <v>17</v>
      </c>
      <c r="R40">
        <f t="shared" si="7"/>
        <v>187</v>
      </c>
      <c r="S40" s="6">
        <f t="shared" si="6"/>
        <v>75620482.219999999</v>
      </c>
    </row>
    <row r="41" spans="1:19">
      <c r="A41" s="38">
        <v>45747</v>
      </c>
      <c r="B41" s="2">
        <v>0</v>
      </c>
      <c r="C41" s="95">
        <v>0</v>
      </c>
      <c r="D41" s="2">
        <v>2895214.8200000003</v>
      </c>
      <c r="E41" s="95">
        <v>6</v>
      </c>
      <c r="F41" s="2">
        <v>0</v>
      </c>
      <c r="G41" s="95">
        <v>0</v>
      </c>
      <c r="H41" s="2">
        <v>0</v>
      </c>
      <c r="I41" s="95">
        <v>0</v>
      </c>
      <c r="J41" s="2">
        <v>43580901.61999999</v>
      </c>
      <c r="K41" s="95">
        <v>19</v>
      </c>
      <c r="L41" s="2">
        <v>15149275.969999999</v>
      </c>
      <c r="M41" s="95">
        <v>144</v>
      </c>
      <c r="N41" s="2">
        <v>0</v>
      </c>
      <c r="O41" s="95">
        <v>0</v>
      </c>
      <c r="P41" s="2">
        <v>583355.79</v>
      </c>
      <c r="Q41" s="95">
        <v>17</v>
      </c>
      <c r="R41">
        <f t="shared" si="7"/>
        <v>186</v>
      </c>
      <c r="S41" s="6">
        <f t="shared" si="6"/>
        <v>62208748.199999988</v>
      </c>
    </row>
    <row r="42" spans="1:19">
      <c r="A42" s="38">
        <v>45777</v>
      </c>
      <c r="B42" s="2">
        <v>0</v>
      </c>
      <c r="C42" s="95">
        <v>0</v>
      </c>
      <c r="D42" s="2">
        <v>3010287.47</v>
      </c>
      <c r="E42" s="95">
        <v>6</v>
      </c>
      <c r="F42" s="2">
        <v>0</v>
      </c>
      <c r="G42" s="95">
        <v>0</v>
      </c>
      <c r="H42" s="2">
        <v>0</v>
      </c>
      <c r="I42" s="95">
        <v>0</v>
      </c>
      <c r="J42" s="2">
        <v>42758753.459999993</v>
      </c>
      <c r="K42" s="95">
        <v>18</v>
      </c>
      <c r="L42" s="2">
        <v>14503278.020000009</v>
      </c>
      <c r="M42" s="95">
        <v>141</v>
      </c>
      <c r="N42" s="2">
        <v>0</v>
      </c>
      <c r="O42" s="95">
        <v>0</v>
      </c>
      <c r="P42" s="2">
        <v>580950.44999999995</v>
      </c>
      <c r="Q42" s="95">
        <v>17</v>
      </c>
      <c r="R42">
        <f t="shared" si="7"/>
        <v>182</v>
      </c>
      <c r="S42" s="6">
        <f t="shared" ref="S42:S44" si="8">B42+D42+F42+H42+J42+L42+N42+P42</f>
        <v>60853269.400000006</v>
      </c>
    </row>
    <row r="43" spans="1:19">
      <c r="A43" s="38">
        <v>45808</v>
      </c>
      <c r="B43" s="2">
        <v>0</v>
      </c>
      <c r="C43" s="95">
        <v>0</v>
      </c>
      <c r="D43" s="2">
        <v>3094992.9600000004</v>
      </c>
      <c r="E43" s="95">
        <v>6</v>
      </c>
      <c r="F43" s="2">
        <v>0</v>
      </c>
      <c r="G43" s="95">
        <v>0</v>
      </c>
      <c r="H43" s="2">
        <v>0</v>
      </c>
      <c r="I43" s="95">
        <v>0</v>
      </c>
      <c r="J43" s="2">
        <v>45579154.669999987</v>
      </c>
      <c r="K43" s="95">
        <v>18</v>
      </c>
      <c r="L43" s="2">
        <v>14616377.839999998</v>
      </c>
      <c r="M43" s="95">
        <v>139</v>
      </c>
      <c r="N43" s="2">
        <v>0</v>
      </c>
      <c r="O43" s="95">
        <v>0</v>
      </c>
      <c r="P43" s="2">
        <v>595898.9</v>
      </c>
      <c r="Q43" s="95">
        <v>15</v>
      </c>
      <c r="R43">
        <f t="shared" si="7"/>
        <v>178</v>
      </c>
      <c r="S43" s="6">
        <f t="shared" si="8"/>
        <v>63886424.369999982</v>
      </c>
    </row>
    <row r="44" spans="1:19">
      <c r="A44" s="38">
        <v>45838</v>
      </c>
      <c r="B44" s="2">
        <v>0</v>
      </c>
      <c r="C44" s="95">
        <v>0</v>
      </c>
      <c r="D44" s="2">
        <v>3186525.97</v>
      </c>
      <c r="E44" s="95">
        <v>6</v>
      </c>
      <c r="F44" s="2">
        <v>0</v>
      </c>
      <c r="G44" s="95">
        <v>0</v>
      </c>
      <c r="H44" s="2">
        <v>0</v>
      </c>
      <c r="I44" s="95">
        <v>0</v>
      </c>
      <c r="J44" s="2">
        <v>42652135.54999999</v>
      </c>
      <c r="K44" s="95">
        <v>18</v>
      </c>
      <c r="L44" s="2">
        <v>104731510.36000003</v>
      </c>
      <c r="M44" s="95">
        <v>135</v>
      </c>
      <c r="N44" s="2">
        <v>0</v>
      </c>
      <c r="O44" s="95">
        <v>0</v>
      </c>
      <c r="P44" s="2">
        <v>612290.79</v>
      </c>
      <c r="Q44" s="95">
        <v>14</v>
      </c>
      <c r="R44">
        <f t="shared" si="7"/>
        <v>173</v>
      </c>
      <c r="S44" s="6">
        <f t="shared" si="8"/>
        <v>151182462.67000002</v>
      </c>
    </row>
    <row r="45" spans="1:19">
      <c r="B45" s="2"/>
      <c r="C45" s="2"/>
      <c r="D45" s="2"/>
      <c r="E45" s="2"/>
      <c r="F45" s="2"/>
      <c r="G45" s="95"/>
      <c r="H45" s="2"/>
      <c r="I45" s="95"/>
      <c r="J45" s="2"/>
      <c r="K45" s="95"/>
      <c r="L45" s="2"/>
      <c r="M45" s="95"/>
      <c r="N45" s="2"/>
      <c r="O45" s="95"/>
      <c r="P45" s="2"/>
      <c r="Q45" s="95"/>
      <c r="S45" s="6"/>
    </row>
    <row r="46" spans="1:19">
      <c r="G46" s="95"/>
      <c r="I46" s="95"/>
      <c r="J46" s="2"/>
      <c r="K46" s="95"/>
      <c r="M46" s="95"/>
      <c r="O46" s="95"/>
      <c r="P46" s="2"/>
      <c r="Q46" s="95"/>
    </row>
    <row r="47" spans="1:19">
      <c r="G47" s="95"/>
      <c r="I47" s="95"/>
      <c r="J47" s="2"/>
      <c r="K47" s="95"/>
      <c r="M47" s="95"/>
      <c r="O47" s="95"/>
      <c r="P47" s="2"/>
      <c r="Q47" s="95"/>
    </row>
    <row r="48" spans="1:19">
      <c r="G48" s="95"/>
      <c r="I48" s="95"/>
      <c r="K48" s="95"/>
      <c r="M48" s="95"/>
      <c r="O48" s="95"/>
      <c r="P48" s="2"/>
      <c r="Q48" s="95"/>
    </row>
    <row r="49" spans="16:16">
      <c r="P49" s="2"/>
    </row>
    <row r="50" spans="16:16">
      <c r="P50" s="2"/>
    </row>
    <row r="51" spans="16:16">
      <c r="P51" s="2"/>
    </row>
    <row r="52" spans="16:16">
      <c r="P52" s="2"/>
    </row>
    <row r="53" spans="16:16">
      <c r="P53" s="2"/>
    </row>
    <row r="54" spans="16:16">
      <c r="P54" s="2"/>
    </row>
    <row r="55" spans="16:16">
      <c r="P55" s="2"/>
    </row>
    <row r="56" spans="16:16">
      <c r="P56" s="2"/>
    </row>
    <row r="57" spans="16:16">
      <c r="P57" s="2"/>
    </row>
    <row r="58" spans="16:16">
      <c r="P58" s="2"/>
    </row>
    <row r="59" spans="16:16">
      <c r="P59" s="2"/>
    </row>
    <row r="60" spans="16:16">
      <c r="P60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59999389629810485"/>
  </sheetPr>
  <dimension ref="A1:V147"/>
  <sheetViews>
    <sheetView zoomScaleNormal="100" zoomScalePageLayoutView="90" workbookViewId="0">
      <pane xSplit="1" ySplit="1" topLeftCell="B114" activePane="bottomRight" state="frozen"/>
      <selection pane="topRight" activeCell="B1" sqref="B1"/>
      <selection pane="bottomLeft" activeCell="A2" sqref="A2"/>
      <selection pane="bottomRight" activeCell="B149" sqref="B149"/>
    </sheetView>
  </sheetViews>
  <sheetFormatPr baseColWidth="10" defaultColWidth="11" defaultRowHeight="16"/>
  <cols>
    <col min="1" max="1" width="9.83203125" style="54" bestFit="1" customWidth="1"/>
    <col min="2" max="2" width="16" style="2" bestFit="1" customWidth="1"/>
    <col min="3" max="4" width="15" style="2" bestFit="1" customWidth="1"/>
    <col min="5" max="5" width="14.6640625" style="2" bestFit="1" customWidth="1"/>
    <col min="6" max="6" width="14" style="2" bestFit="1" customWidth="1"/>
    <col min="7" max="7" width="15" style="2" bestFit="1" customWidth="1"/>
    <col min="8" max="8" width="15" style="2" customWidth="1"/>
    <col min="9" max="10" width="15" style="2" bestFit="1" customWidth="1"/>
    <col min="11" max="11" width="14.5" style="2" customWidth="1"/>
    <col min="12" max="13" width="15" style="2" bestFit="1" customWidth="1"/>
    <col min="14" max="16" width="15" style="2" customWidth="1"/>
    <col min="17" max="17" width="11.5" style="87" bestFit="1" customWidth="1"/>
    <col min="18" max="18" width="7.1640625" bestFit="1" customWidth="1"/>
    <col min="19" max="19" width="22" bestFit="1" customWidth="1"/>
    <col min="20" max="20" width="16.83203125" bestFit="1" customWidth="1"/>
    <col min="21" max="21" width="28.1640625" bestFit="1" customWidth="1"/>
    <col min="22" max="25" width="10.83203125" customWidth="1"/>
  </cols>
  <sheetData>
    <row r="1" spans="1:21">
      <c r="A1" s="12" t="s">
        <v>0</v>
      </c>
      <c r="B1" s="12" t="s">
        <v>10</v>
      </c>
      <c r="C1" s="12" t="s">
        <v>6</v>
      </c>
      <c r="D1" s="12" t="s">
        <v>17</v>
      </c>
      <c r="E1" s="12" t="s">
        <v>18</v>
      </c>
      <c r="F1" s="12" t="s">
        <v>19</v>
      </c>
      <c r="G1" s="12" t="s">
        <v>56</v>
      </c>
      <c r="H1" s="12" t="s">
        <v>135</v>
      </c>
      <c r="I1" s="12" t="s">
        <v>124</v>
      </c>
      <c r="J1" s="12" t="s">
        <v>125</v>
      </c>
      <c r="K1" s="12" t="s">
        <v>126</v>
      </c>
      <c r="L1" s="12" t="s">
        <v>162</v>
      </c>
      <c r="M1" s="12" t="s">
        <v>163</v>
      </c>
      <c r="N1" s="12" t="s">
        <v>173</v>
      </c>
      <c r="O1" s="12" t="s">
        <v>174</v>
      </c>
      <c r="P1" s="12" t="s">
        <v>176</v>
      </c>
      <c r="Q1" s="30" t="s">
        <v>71</v>
      </c>
      <c r="S1" s="193" t="s">
        <v>167</v>
      </c>
      <c r="T1" s="12" t="s">
        <v>7</v>
      </c>
      <c r="U1" s="3"/>
    </row>
    <row r="2" spans="1:21">
      <c r="A2" s="38">
        <f>AUM!A7</f>
        <v>41425</v>
      </c>
      <c r="B2" s="2">
        <v>2599691.8800000004</v>
      </c>
      <c r="C2" s="2">
        <v>1201042.0400099526</v>
      </c>
      <c r="Q2" s="87">
        <v>0</v>
      </c>
      <c r="R2" s="35">
        <f t="shared" ref="R2:R33" si="0">A2</f>
        <v>41425</v>
      </c>
      <c r="S2" s="6">
        <f t="shared" ref="S2:S17" si="1">B2-SUM(C2:F2)</f>
        <v>1398649.8399900477</v>
      </c>
      <c r="T2" s="8">
        <f>B2</f>
        <v>2599691.8800000004</v>
      </c>
      <c r="U2" s="6"/>
    </row>
    <row r="3" spans="1:21">
      <c r="A3" s="38">
        <f>AUM!A8</f>
        <v>41455</v>
      </c>
      <c r="B3" s="2">
        <v>4391264.8699999992</v>
      </c>
      <c r="C3" s="2">
        <v>2028738.0047857203</v>
      </c>
      <c r="Q3" s="87">
        <v>0</v>
      </c>
      <c r="R3" s="35">
        <f t="shared" si="0"/>
        <v>41455</v>
      </c>
      <c r="S3" s="6">
        <f t="shared" si="1"/>
        <v>2362526.8652142789</v>
      </c>
      <c r="T3" s="8">
        <f>B3-B2</f>
        <v>1791572.9899999988</v>
      </c>
    </row>
    <row r="4" spans="1:21">
      <c r="A4" s="38">
        <f>AUM!A9</f>
        <v>41486</v>
      </c>
      <c r="B4" s="2">
        <v>12097696.859999999</v>
      </c>
      <c r="C4" s="2">
        <v>5229719.22</v>
      </c>
      <c r="Q4" s="87">
        <v>0</v>
      </c>
      <c r="R4" s="35">
        <f t="shared" si="0"/>
        <v>41486</v>
      </c>
      <c r="S4" s="6">
        <f t="shared" si="1"/>
        <v>6867977.6399999997</v>
      </c>
      <c r="T4" s="8">
        <f t="shared" ref="T4:T34" si="2">B4-B3</f>
        <v>7706431.9900000002</v>
      </c>
    </row>
    <row r="5" spans="1:21">
      <c r="A5" s="38">
        <f>AUM!A10</f>
        <v>41517</v>
      </c>
      <c r="B5" s="2">
        <v>18062171.609999999</v>
      </c>
      <c r="C5" s="2">
        <v>8204835.9000000004</v>
      </c>
      <c r="Q5" s="87">
        <v>262</v>
      </c>
      <c r="R5" s="35">
        <f t="shared" si="0"/>
        <v>41517</v>
      </c>
      <c r="S5" s="6">
        <f t="shared" si="1"/>
        <v>9857335.709999999</v>
      </c>
      <c r="T5" s="8">
        <f t="shared" si="2"/>
        <v>5964474.75</v>
      </c>
    </row>
    <row r="6" spans="1:21">
      <c r="A6" s="38">
        <f>AUM!A11</f>
        <v>41547</v>
      </c>
      <c r="B6" s="2">
        <v>22831395.170000002</v>
      </c>
      <c r="C6" s="2">
        <v>12356945.23</v>
      </c>
      <c r="Q6" s="87">
        <v>299</v>
      </c>
      <c r="R6" s="35">
        <f t="shared" si="0"/>
        <v>41547</v>
      </c>
      <c r="S6" s="6">
        <f t="shared" si="1"/>
        <v>10474449.940000001</v>
      </c>
      <c r="T6" s="8">
        <f t="shared" si="2"/>
        <v>4769223.5600000024</v>
      </c>
    </row>
    <row r="7" spans="1:21">
      <c r="A7" s="38">
        <f>AUM!A12</f>
        <v>41578</v>
      </c>
      <c r="B7" s="2">
        <v>27627429.899999999</v>
      </c>
      <c r="C7" s="2">
        <v>15002999.33</v>
      </c>
      <c r="Q7" s="87">
        <v>358</v>
      </c>
      <c r="R7" s="35">
        <f t="shared" si="0"/>
        <v>41578</v>
      </c>
      <c r="S7" s="6">
        <f t="shared" si="1"/>
        <v>12624430.569999998</v>
      </c>
      <c r="T7" s="8">
        <f t="shared" si="2"/>
        <v>4796034.7299999967</v>
      </c>
    </row>
    <row r="8" spans="1:21">
      <c r="A8" s="38">
        <f>AUM!A13</f>
        <v>41608</v>
      </c>
      <c r="B8" s="2">
        <v>30573420.109999999</v>
      </c>
      <c r="C8" s="2">
        <v>16676946.68</v>
      </c>
      <c r="Q8" s="87">
        <v>395</v>
      </c>
      <c r="R8" s="35">
        <f t="shared" si="0"/>
        <v>41608</v>
      </c>
      <c r="S8" s="6">
        <f t="shared" si="1"/>
        <v>13896473.43</v>
      </c>
      <c r="T8" s="8">
        <f t="shared" si="2"/>
        <v>2945990.2100000009</v>
      </c>
    </row>
    <row r="9" spans="1:21">
      <c r="A9" s="38">
        <f>AUM!A14</f>
        <v>41639</v>
      </c>
      <c r="B9" s="2">
        <v>34238942.769999996</v>
      </c>
      <c r="C9" s="2">
        <v>18353049.150000002</v>
      </c>
      <c r="Q9" s="87">
        <v>436</v>
      </c>
      <c r="R9" s="35">
        <f t="shared" si="0"/>
        <v>41639</v>
      </c>
      <c r="S9" s="6">
        <f t="shared" si="1"/>
        <v>15885893.619999994</v>
      </c>
      <c r="T9" s="8">
        <f t="shared" si="2"/>
        <v>3665522.6599999964</v>
      </c>
    </row>
    <row r="10" spans="1:21">
      <c r="A10" s="38">
        <f>AUM!A15</f>
        <v>41670</v>
      </c>
      <c r="B10" s="2">
        <v>35803587.350000009</v>
      </c>
      <c r="C10" s="2">
        <v>22099168.579999998</v>
      </c>
      <c r="Q10" s="87">
        <v>473</v>
      </c>
      <c r="R10" s="35">
        <f t="shared" si="0"/>
        <v>41670</v>
      </c>
      <c r="S10" s="6">
        <f t="shared" si="1"/>
        <v>13704418.770000011</v>
      </c>
      <c r="T10" s="8">
        <f t="shared" si="2"/>
        <v>1564644.5800000131</v>
      </c>
    </row>
    <row r="11" spans="1:21">
      <c r="A11" s="38">
        <f>AUM!A16</f>
        <v>41698</v>
      </c>
      <c r="B11" s="2">
        <v>38646503.359999999</v>
      </c>
      <c r="C11" s="2">
        <v>24709717.390000001</v>
      </c>
      <c r="Q11" s="87">
        <v>492</v>
      </c>
      <c r="R11" s="35">
        <f t="shared" si="0"/>
        <v>41698</v>
      </c>
      <c r="S11" s="6">
        <f t="shared" si="1"/>
        <v>13936785.969999999</v>
      </c>
      <c r="T11" s="8">
        <f t="shared" si="2"/>
        <v>2842916.0099999905</v>
      </c>
    </row>
    <row r="12" spans="1:21">
      <c r="A12" s="38">
        <f>AUM!A17</f>
        <v>41729</v>
      </c>
      <c r="B12" s="2">
        <v>40070907.340000004</v>
      </c>
      <c r="C12" s="2">
        <v>26007748.059999999</v>
      </c>
      <c r="Q12" s="87">
        <v>507</v>
      </c>
      <c r="R12" s="35">
        <f t="shared" si="0"/>
        <v>41729</v>
      </c>
      <c r="S12" s="6">
        <f t="shared" si="1"/>
        <v>14063159.280000005</v>
      </c>
      <c r="T12" s="8">
        <f t="shared" si="2"/>
        <v>1424403.9800000042</v>
      </c>
    </row>
    <row r="13" spans="1:21">
      <c r="A13" s="38">
        <f>AUM!A18</f>
        <v>41759</v>
      </c>
      <c r="B13" s="2">
        <v>41540418.439999998</v>
      </c>
      <c r="C13" s="2">
        <v>26521389.099999998</v>
      </c>
      <c r="Q13" s="87">
        <v>514</v>
      </c>
      <c r="R13" s="35">
        <f t="shared" si="0"/>
        <v>41759</v>
      </c>
      <c r="S13" s="6">
        <f t="shared" si="1"/>
        <v>15019029.34</v>
      </c>
      <c r="T13" s="8">
        <f t="shared" si="2"/>
        <v>1469511.099999994</v>
      </c>
    </row>
    <row r="14" spans="1:21">
      <c r="A14" s="38">
        <f>AUM!A19</f>
        <v>41790</v>
      </c>
      <c r="B14" s="2">
        <v>40912421.609999999</v>
      </c>
      <c r="C14" s="2">
        <v>25872595.84</v>
      </c>
      <c r="Q14" s="87">
        <v>525</v>
      </c>
      <c r="R14" s="35">
        <f t="shared" si="0"/>
        <v>41790</v>
      </c>
      <c r="S14" s="6">
        <f t="shared" si="1"/>
        <v>15039825.77</v>
      </c>
      <c r="T14" s="8">
        <f t="shared" si="2"/>
        <v>-627996.82999999821</v>
      </c>
    </row>
    <row r="15" spans="1:21">
      <c r="A15" s="38">
        <f>AUM!A20</f>
        <v>41820</v>
      </c>
      <c r="B15" s="2">
        <v>42588975.109999999</v>
      </c>
      <c r="C15" s="2">
        <v>26860159.890000001</v>
      </c>
      <c r="Q15" s="87">
        <v>516</v>
      </c>
      <c r="R15" s="35">
        <f t="shared" si="0"/>
        <v>41820</v>
      </c>
      <c r="S15" s="6">
        <f t="shared" si="1"/>
        <v>15728815.219999999</v>
      </c>
      <c r="T15" s="8">
        <f t="shared" si="2"/>
        <v>1676553.5</v>
      </c>
    </row>
    <row r="16" spans="1:21">
      <c r="A16" s="38">
        <f>AUM!A21</f>
        <v>41851</v>
      </c>
      <c r="B16" s="2">
        <v>43836312.769999996</v>
      </c>
      <c r="C16" s="2">
        <v>28654165.149999999</v>
      </c>
      <c r="Q16" s="87">
        <v>533</v>
      </c>
      <c r="R16" s="35">
        <f t="shared" si="0"/>
        <v>41851</v>
      </c>
      <c r="S16" s="6">
        <f t="shared" si="1"/>
        <v>15182147.619999997</v>
      </c>
      <c r="T16" s="8">
        <f t="shared" si="2"/>
        <v>1247337.6599999964</v>
      </c>
    </row>
    <row r="17" spans="1:21">
      <c r="A17" s="38">
        <f>AUM!A22</f>
        <v>41882</v>
      </c>
      <c r="B17" s="2">
        <v>46046160.839999996</v>
      </c>
      <c r="C17" s="2">
        <v>29631896.649999999</v>
      </c>
      <c r="Q17" s="87">
        <v>546</v>
      </c>
      <c r="R17" s="35">
        <f t="shared" si="0"/>
        <v>41882</v>
      </c>
      <c r="S17" s="6">
        <f t="shared" si="1"/>
        <v>16414264.189999998</v>
      </c>
      <c r="T17" s="8">
        <f t="shared" si="2"/>
        <v>2209848.0700000003</v>
      </c>
    </row>
    <row r="18" spans="1:21">
      <c r="A18" s="38">
        <f>AUM!A23</f>
        <v>41912</v>
      </c>
      <c r="B18" s="2">
        <v>45510803.170000002</v>
      </c>
      <c r="C18" s="2">
        <v>29735775.760000002</v>
      </c>
      <c r="Q18" s="87">
        <v>554</v>
      </c>
      <c r="R18" s="35">
        <f t="shared" si="0"/>
        <v>41912</v>
      </c>
      <c r="S18" s="6">
        <f t="shared" ref="S18:S47" si="3">B18-SUM(C18:F18)</f>
        <v>15775027.41</v>
      </c>
      <c r="T18" s="8">
        <f t="shared" si="2"/>
        <v>-535357.66999999434</v>
      </c>
    </row>
    <row r="19" spans="1:21">
      <c r="A19" s="38">
        <f>AUM!A24</f>
        <v>41943</v>
      </c>
      <c r="B19" s="2">
        <v>49750240.164482765</v>
      </c>
      <c r="C19" s="2">
        <v>31119925.055172414</v>
      </c>
      <c r="Q19" s="87">
        <v>571</v>
      </c>
      <c r="R19" s="35">
        <f t="shared" si="0"/>
        <v>41943</v>
      </c>
      <c r="S19" s="6">
        <f t="shared" si="3"/>
        <v>18630315.109310351</v>
      </c>
      <c r="T19" s="8">
        <f t="shared" si="2"/>
        <v>4239436.9944827631</v>
      </c>
    </row>
    <row r="20" spans="1:21">
      <c r="A20" s="38">
        <f>AUM!A25</f>
        <v>41973</v>
      </c>
      <c r="B20" s="2">
        <v>53681887.009999998</v>
      </c>
      <c r="C20" s="2">
        <v>33536469.639999997</v>
      </c>
      <c r="Q20" s="87">
        <v>582</v>
      </c>
      <c r="R20" s="35">
        <f t="shared" si="0"/>
        <v>41973</v>
      </c>
      <c r="S20" s="6">
        <f t="shared" si="3"/>
        <v>20145417.370000001</v>
      </c>
      <c r="T20" s="8">
        <f t="shared" si="2"/>
        <v>3931646.845517233</v>
      </c>
    </row>
    <row r="21" spans="1:21">
      <c r="A21" s="38">
        <f>AUM!A26</f>
        <v>42004</v>
      </c>
      <c r="B21" s="2">
        <v>54311551.860000007</v>
      </c>
      <c r="C21" s="2">
        <v>34044020.289999999</v>
      </c>
      <c r="Q21" s="87">
        <v>568</v>
      </c>
      <c r="R21" s="35">
        <f t="shared" si="0"/>
        <v>42004</v>
      </c>
      <c r="S21" s="6">
        <f t="shared" si="3"/>
        <v>20267531.570000008</v>
      </c>
      <c r="T21" s="8">
        <f t="shared" si="2"/>
        <v>629664.85000000894</v>
      </c>
    </row>
    <row r="22" spans="1:21">
      <c r="A22" s="38">
        <f>AUM!A27</f>
        <v>42035</v>
      </c>
      <c r="B22" s="2">
        <v>57102567.269500047</v>
      </c>
      <c r="C22" s="2">
        <v>34482998.89000003</v>
      </c>
      <c r="Q22" s="87">
        <v>605</v>
      </c>
      <c r="R22" s="35">
        <f t="shared" si="0"/>
        <v>42035</v>
      </c>
      <c r="S22" s="6">
        <f t="shared" si="3"/>
        <v>22619568.379500017</v>
      </c>
      <c r="T22" s="8">
        <f t="shared" si="2"/>
        <v>2791015.4095000401</v>
      </c>
    </row>
    <row r="23" spans="1:21">
      <c r="A23" s="38">
        <f>AUM!A28</f>
        <v>42063</v>
      </c>
      <c r="B23" s="2">
        <v>56807016.539999999</v>
      </c>
      <c r="C23" s="2">
        <v>35059934.269999996</v>
      </c>
      <c r="Q23" s="87">
        <v>626</v>
      </c>
      <c r="R23" s="35">
        <f t="shared" si="0"/>
        <v>42063</v>
      </c>
      <c r="S23" s="6">
        <f t="shared" si="3"/>
        <v>21747082.270000003</v>
      </c>
      <c r="T23" s="8">
        <f t="shared" si="2"/>
        <v>-295550.72950004786</v>
      </c>
      <c r="U23" s="23"/>
    </row>
    <row r="24" spans="1:21">
      <c r="A24" s="38">
        <f>AUM!A29</f>
        <v>42094</v>
      </c>
      <c r="B24" s="2">
        <v>59417492.849999994</v>
      </c>
      <c r="C24" s="2">
        <v>35980991.800000004</v>
      </c>
      <c r="Q24" s="87">
        <v>651</v>
      </c>
      <c r="R24" s="35">
        <f t="shared" si="0"/>
        <v>42094</v>
      </c>
      <c r="S24" s="6">
        <f t="shared" si="3"/>
        <v>23436501.04999999</v>
      </c>
      <c r="T24" s="8">
        <f t="shared" si="2"/>
        <v>2610476.3099999949</v>
      </c>
    </row>
    <row r="25" spans="1:21">
      <c r="A25" s="38">
        <f>AUM!A30</f>
        <v>42124</v>
      </c>
      <c r="B25" s="2">
        <v>60330554.330000006</v>
      </c>
      <c r="C25" s="2">
        <v>36435522.010000005</v>
      </c>
      <c r="Q25" s="87">
        <v>671</v>
      </c>
      <c r="R25" s="35">
        <f t="shared" si="0"/>
        <v>42124</v>
      </c>
      <c r="S25" s="6">
        <f t="shared" si="3"/>
        <v>23895032.32</v>
      </c>
      <c r="T25" s="8">
        <f t="shared" si="2"/>
        <v>913061.48000001162</v>
      </c>
    </row>
    <row r="26" spans="1:21">
      <c r="A26" s="38">
        <v>42153</v>
      </c>
      <c r="B26" s="2">
        <v>60827051.890000001</v>
      </c>
      <c r="C26" s="2">
        <v>35696220.009999998</v>
      </c>
      <c r="Q26" s="87">
        <v>671</v>
      </c>
      <c r="R26" s="35">
        <f t="shared" si="0"/>
        <v>42153</v>
      </c>
      <c r="S26" s="6">
        <f t="shared" si="3"/>
        <v>25130831.880000003</v>
      </c>
      <c r="T26" s="8">
        <f t="shared" si="2"/>
        <v>496497.55999999493</v>
      </c>
    </row>
    <row r="27" spans="1:21">
      <c r="A27" s="39">
        <v>42185</v>
      </c>
      <c r="B27" s="2">
        <v>58583851.340000004</v>
      </c>
      <c r="C27" s="2">
        <v>35236988.923649997</v>
      </c>
      <c r="Q27" s="87">
        <v>688</v>
      </c>
      <c r="R27" s="35">
        <f t="shared" si="0"/>
        <v>42185</v>
      </c>
      <c r="S27" s="6">
        <f t="shared" si="3"/>
        <v>23346862.416350007</v>
      </c>
      <c r="T27" s="8">
        <f t="shared" si="2"/>
        <v>-2243200.549999997</v>
      </c>
    </row>
    <row r="28" spans="1:21">
      <c r="A28" s="38">
        <v>42216</v>
      </c>
      <c r="B28" s="2">
        <v>63726895.519999996</v>
      </c>
      <c r="C28" s="2">
        <v>37742760.788589999</v>
      </c>
      <c r="Q28" s="87">
        <v>703</v>
      </c>
      <c r="R28" s="35">
        <f t="shared" si="0"/>
        <v>42216</v>
      </c>
      <c r="S28" s="6">
        <f t="shared" si="3"/>
        <v>25984134.731409997</v>
      </c>
      <c r="T28" s="8">
        <f t="shared" si="2"/>
        <v>5143044.1799999923</v>
      </c>
    </row>
    <row r="29" spans="1:21">
      <c r="A29" s="38">
        <v>42247</v>
      </c>
      <c r="B29" s="2">
        <v>61528123.149999991</v>
      </c>
      <c r="C29" s="2">
        <v>35024855.933079995</v>
      </c>
      <c r="Q29" s="87">
        <v>711</v>
      </c>
      <c r="R29" s="35">
        <f t="shared" si="0"/>
        <v>42247</v>
      </c>
      <c r="S29" s="6">
        <f t="shared" si="3"/>
        <v>26503267.216919996</v>
      </c>
      <c r="T29" s="8">
        <f t="shared" si="2"/>
        <v>-2198772.3700000048</v>
      </c>
    </row>
    <row r="30" spans="1:21">
      <c r="A30" s="39">
        <v>42277</v>
      </c>
      <c r="B30" s="2">
        <v>60922572.089999996</v>
      </c>
      <c r="C30" s="2">
        <v>35010895.032569997</v>
      </c>
      <c r="Q30" s="87">
        <v>715</v>
      </c>
      <c r="R30" s="35">
        <f t="shared" si="0"/>
        <v>42277</v>
      </c>
      <c r="S30" s="6">
        <f t="shared" si="3"/>
        <v>25911677.057429999</v>
      </c>
      <c r="T30" s="8">
        <f t="shared" si="2"/>
        <v>-605551.05999999493</v>
      </c>
    </row>
    <row r="31" spans="1:21">
      <c r="A31" s="38">
        <v>42307</v>
      </c>
      <c r="B31" s="2">
        <v>64540040.660000004</v>
      </c>
      <c r="C31" s="2">
        <v>36935817.276050009</v>
      </c>
      <c r="Q31" s="87">
        <v>719</v>
      </c>
      <c r="R31" s="35">
        <f t="shared" si="0"/>
        <v>42307</v>
      </c>
      <c r="S31" s="6">
        <f t="shared" si="3"/>
        <v>27604223.383949995</v>
      </c>
      <c r="T31" s="8">
        <f t="shared" si="2"/>
        <v>3617468.5700000077</v>
      </c>
    </row>
    <row r="32" spans="1:21">
      <c r="A32" s="38">
        <v>42338</v>
      </c>
      <c r="B32" s="2">
        <v>63758036.230000004</v>
      </c>
      <c r="C32" s="2">
        <v>35520364.675350003</v>
      </c>
      <c r="Q32" s="87">
        <v>708</v>
      </c>
      <c r="R32" s="35">
        <f t="shared" si="0"/>
        <v>42338</v>
      </c>
      <c r="S32" s="6">
        <f t="shared" si="3"/>
        <v>28237671.554650001</v>
      </c>
      <c r="T32" s="8">
        <f t="shared" si="2"/>
        <v>-782004.4299999997</v>
      </c>
    </row>
    <row r="33" spans="1:22">
      <c r="A33" s="38">
        <v>42369</v>
      </c>
      <c r="B33" s="2">
        <v>61637594.159999996</v>
      </c>
      <c r="C33" s="2">
        <v>34539669.714340001</v>
      </c>
      <c r="Q33" s="87">
        <v>701</v>
      </c>
      <c r="R33" s="35">
        <f t="shared" si="0"/>
        <v>42369</v>
      </c>
      <c r="S33" s="6">
        <f t="shared" si="3"/>
        <v>27097924.445659995</v>
      </c>
      <c r="T33" s="8">
        <f t="shared" si="2"/>
        <v>-2120442.0700000077</v>
      </c>
    </row>
    <row r="34" spans="1:22">
      <c r="A34" s="38">
        <v>42398</v>
      </c>
      <c r="B34" s="2">
        <v>57790221.149999999</v>
      </c>
      <c r="C34" s="2">
        <v>33065128.858860001</v>
      </c>
      <c r="Q34" s="87">
        <v>691</v>
      </c>
      <c r="R34" s="35">
        <f t="shared" ref="R34:R65" si="4">A34</f>
        <v>42398</v>
      </c>
      <c r="S34" s="6">
        <f t="shared" si="3"/>
        <v>24725092.291139998</v>
      </c>
      <c r="T34" s="8">
        <f t="shared" si="2"/>
        <v>-3847373.0099999979</v>
      </c>
    </row>
    <row r="35" spans="1:22">
      <c r="A35" s="38">
        <v>42429</v>
      </c>
      <c r="B35" s="2">
        <v>60683385.18</v>
      </c>
      <c r="C35" s="2">
        <v>33844549.66155</v>
      </c>
      <c r="Q35" s="87">
        <v>696</v>
      </c>
      <c r="R35" s="35">
        <f t="shared" si="4"/>
        <v>42429</v>
      </c>
      <c r="S35" s="6">
        <f t="shared" si="3"/>
        <v>26838835.518449999</v>
      </c>
      <c r="T35" s="8">
        <f t="shared" ref="T35:T60" si="5">B35-B34</f>
        <v>2893164.0300000012</v>
      </c>
    </row>
    <row r="36" spans="1:22">
      <c r="A36" s="38">
        <v>42460</v>
      </c>
      <c r="B36" s="2">
        <v>64783409.100000001</v>
      </c>
      <c r="C36" s="2">
        <v>36194355.168399997</v>
      </c>
      <c r="Q36" s="87">
        <v>712</v>
      </c>
      <c r="R36" s="35">
        <f t="shared" si="4"/>
        <v>42460</v>
      </c>
      <c r="S36" s="6">
        <f t="shared" si="3"/>
        <v>28589053.931600004</v>
      </c>
      <c r="T36" s="8">
        <f t="shared" si="5"/>
        <v>4100023.9200000018</v>
      </c>
    </row>
    <row r="37" spans="1:22">
      <c r="A37" s="39">
        <v>42489</v>
      </c>
      <c r="B37" s="2">
        <v>64154562.509999998</v>
      </c>
      <c r="C37" s="2">
        <v>35941986.574200004</v>
      </c>
      <c r="Q37" s="87">
        <v>721</v>
      </c>
      <c r="R37" s="35">
        <f t="shared" si="4"/>
        <v>42489</v>
      </c>
      <c r="S37" s="6">
        <f t="shared" si="3"/>
        <v>28212575.935799994</v>
      </c>
      <c r="T37" s="8">
        <f t="shared" si="5"/>
        <v>-628846.59000000358</v>
      </c>
    </row>
    <row r="38" spans="1:22">
      <c r="A38" s="39">
        <v>42521</v>
      </c>
      <c r="B38" s="2">
        <v>65387261.590000004</v>
      </c>
      <c r="C38" s="2">
        <v>36152116.97343</v>
      </c>
      <c r="D38" s="2">
        <v>2734596.0958799999</v>
      </c>
      <c r="E38" s="2">
        <v>9258424.4979600012</v>
      </c>
      <c r="F38" s="2">
        <v>1547582.97912</v>
      </c>
      <c r="Q38" s="87">
        <v>699</v>
      </c>
      <c r="R38" s="35">
        <f t="shared" si="4"/>
        <v>42521</v>
      </c>
      <c r="S38" s="6">
        <f t="shared" si="3"/>
        <v>15694541.043609999</v>
      </c>
      <c r="T38" s="8">
        <f t="shared" si="5"/>
        <v>1232699.0800000057</v>
      </c>
    </row>
    <row r="39" spans="1:22">
      <c r="A39" s="39">
        <v>42551</v>
      </c>
      <c r="B39" s="2">
        <v>66425426.079999998</v>
      </c>
      <c r="C39" s="2">
        <v>36477167.439750001</v>
      </c>
      <c r="D39" s="2">
        <v>2760289.5344199999</v>
      </c>
      <c r="E39" s="2">
        <v>9274625.0567099992</v>
      </c>
      <c r="F39" s="2">
        <v>1560553.6964199997</v>
      </c>
      <c r="Q39" s="87">
        <v>664</v>
      </c>
      <c r="R39" s="35">
        <f t="shared" si="4"/>
        <v>42551</v>
      </c>
      <c r="S39" s="6">
        <f t="shared" si="3"/>
        <v>16352790.352700002</v>
      </c>
      <c r="T39" s="8">
        <f t="shared" si="5"/>
        <v>1038164.4899999946</v>
      </c>
      <c r="V39" s="48" t="s">
        <v>21</v>
      </c>
    </row>
    <row r="40" spans="1:22">
      <c r="A40" s="39">
        <v>42582</v>
      </c>
      <c r="B40" s="2">
        <v>68734524.870000005</v>
      </c>
      <c r="C40" s="2">
        <v>37174038.205920003</v>
      </c>
      <c r="D40" s="2">
        <v>2958111.1566499998</v>
      </c>
      <c r="E40" s="2">
        <v>9624158.32216</v>
      </c>
      <c r="F40" s="2">
        <v>1688505.2429800001</v>
      </c>
      <c r="Q40" s="87">
        <v>664</v>
      </c>
      <c r="R40" s="35">
        <f t="shared" si="4"/>
        <v>42582</v>
      </c>
      <c r="S40" s="6">
        <f t="shared" si="3"/>
        <v>17289711.942290001</v>
      </c>
      <c r="T40" s="8">
        <f t="shared" si="5"/>
        <v>2309098.7900000066</v>
      </c>
    </row>
    <row r="41" spans="1:22">
      <c r="A41" s="39">
        <v>42613</v>
      </c>
      <c r="B41" s="2">
        <v>65087920.379999995</v>
      </c>
      <c r="C41" s="2">
        <v>34358951.492189996</v>
      </c>
      <c r="D41" s="2">
        <v>2856890.94453</v>
      </c>
      <c r="E41" s="2">
        <v>9044639.2158599999</v>
      </c>
      <c r="F41" s="2">
        <v>1687091.1185999997</v>
      </c>
      <c r="Q41" s="87">
        <v>639</v>
      </c>
      <c r="R41" s="35">
        <f t="shared" si="4"/>
        <v>42613</v>
      </c>
      <c r="S41" s="6">
        <f t="shared" si="3"/>
        <v>17140347.608819991</v>
      </c>
      <c r="T41" s="8">
        <f t="shared" si="5"/>
        <v>-3646604.4900000095</v>
      </c>
      <c r="V41" s="48" t="s">
        <v>26</v>
      </c>
    </row>
    <row r="42" spans="1:22">
      <c r="A42" s="39">
        <v>42643</v>
      </c>
      <c r="B42" s="2">
        <v>61900024.879999995</v>
      </c>
      <c r="C42" s="2">
        <v>32447423.455650002</v>
      </c>
      <c r="D42" s="2">
        <v>2857684.6554700001</v>
      </c>
      <c r="E42" s="2">
        <v>8677484.7506999988</v>
      </c>
      <c r="F42" s="2">
        <v>1723649.6349599997</v>
      </c>
      <c r="Q42" s="87">
        <v>638</v>
      </c>
      <c r="R42" s="35">
        <f t="shared" si="4"/>
        <v>42643</v>
      </c>
      <c r="S42" s="6">
        <f t="shared" si="3"/>
        <v>16193782.383219995</v>
      </c>
      <c r="T42" s="8">
        <f t="shared" si="5"/>
        <v>-3187895.5</v>
      </c>
    </row>
    <row r="43" spans="1:22">
      <c r="A43" s="39">
        <v>42674</v>
      </c>
      <c r="B43" s="2">
        <v>61900026.879999995</v>
      </c>
      <c r="C43" s="2">
        <v>31708455.219599999</v>
      </c>
      <c r="D43" s="2">
        <v>2857684.6554700001</v>
      </c>
      <c r="E43" s="2">
        <v>8677484.7506999988</v>
      </c>
      <c r="F43" s="2">
        <v>1723649.6349599997</v>
      </c>
      <c r="Q43" s="87">
        <v>642</v>
      </c>
      <c r="R43" s="35">
        <f t="shared" si="4"/>
        <v>42674</v>
      </c>
      <c r="S43" s="6">
        <f t="shared" si="3"/>
        <v>16932752.619269997</v>
      </c>
      <c r="T43" s="8">
        <f t="shared" si="5"/>
        <v>2</v>
      </c>
    </row>
    <row r="44" spans="1:22">
      <c r="A44" s="39">
        <v>42704</v>
      </c>
      <c r="B44" s="2">
        <v>65604088.18</v>
      </c>
      <c r="C44" s="2">
        <v>32736340.364</v>
      </c>
      <c r="D44" s="2">
        <v>2925939.6788299996</v>
      </c>
      <c r="E44" s="2">
        <v>9291014.802720001</v>
      </c>
      <c r="F44" s="2">
        <v>1947131.5758</v>
      </c>
      <c r="Q44" s="87">
        <v>653</v>
      </c>
      <c r="R44" s="35">
        <f t="shared" si="4"/>
        <v>42704</v>
      </c>
      <c r="S44" s="6">
        <f t="shared" si="3"/>
        <v>18703661.758649997</v>
      </c>
      <c r="T44" s="8">
        <f t="shared" si="5"/>
        <v>3704061.3000000045</v>
      </c>
    </row>
    <row r="45" spans="1:22">
      <c r="A45" s="39">
        <v>42735</v>
      </c>
      <c r="B45" s="2">
        <v>66636443.990000002</v>
      </c>
      <c r="C45" s="2">
        <v>33026050.569600001</v>
      </c>
      <c r="D45" s="2">
        <v>3069206.33409</v>
      </c>
      <c r="E45" s="2">
        <v>8639510.1868799999</v>
      </c>
      <c r="F45" s="2">
        <v>1816669.2816599999</v>
      </c>
      <c r="Q45" s="87">
        <v>644</v>
      </c>
      <c r="R45" s="35">
        <f t="shared" si="4"/>
        <v>42735</v>
      </c>
      <c r="S45" s="6">
        <f t="shared" si="3"/>
        <v>20085007.617770001</v>
      </c>
      <c r="T45" s="8">
        <f t="shared" si="5"/>
        <v>1032355.8100000024</v>
      </c>
    </row>
    <row r="46" spans="1:22">
      <c r="A46" s="39">
        <v>42766</v>
      </c>
      <c r="B46" s="2">
        <v>64318705.309999995</v>
      </c>
      <c r="C46" s="2">
        <v>32965091.417720001</v>
      </c>
      <c r="D46" s="2">
        <v>3140917.34938</v>
      </c>
      <c r="E46" s="2">
        <v>9227499.4549200013</v>
      </c>
      <c r="F46" s="2">
        <v>1950982.56504</v>
      </c>
      <c r="Q46" s="87">
        <v>651</v>
      </c>
      <c r="R46" s="35">
        <f t="shared" si="4"/>
        <v>42766</v>
      </c>
      <c r="S46" s="6">
        <f t="shared" si="3"/>
        <v>17034214.522939995</v>
      </c>
      <c r="T46" s="8">
        <f t="shared" si="5"/>
        <v>-2317738.6800000072</v>
      </c>
    </row>
    <row r="47" spans="1:22">
      <c r="A47" s="39">
        <v>42794</v>
      </c>
      <c r="B47" s="2">
        <v>67788643.310000002</v>
      </c>
      <c r="C47" s="2">
        <v>34626520.235880002</v>
      </c>
      <c r="D47" s="2">
        <v>3266242.5910400003</v>
      </c>
      <c r="E47" s="2">
        <v>9669649.9917000011</v>
      </c>
      <c r="F47" s="2">
        <v>2054469.3919599999</v>
      </c>
      <c r="Q47" s="87">
        <v>657</v>
      </c>
      <c r="R47" s="35">
        <f t="shared" si="4"/>
        <v>42794</v>
      </c>
      <c r="S47" s="6">
        <f t="shared" si="3"/>
        <v>18171761.099419996</v>
      </c>
      <c r="T47" s="8">
        <f t="shared" si="5"/>
        <v>3469938.0000000075</v>
      </c>
    </row>
    <row r="48" spans="1:22">
      <c r="A48" s="39">
        <v>42825</v>
      </c>
      <c r="B48" s="2">
        <v>65344149.339999996</v>
      </c>
      <c r="C48" s="2">
        <v>33562051.220000014</v>
      </c>
      <c r="D48" s="2">
        <v>3177057.660000002</v>
      </c>
      <c r="E48" s="2">
        <v>9475570.8399999999</v>
      </c>
      <c r="F48" s="2">
        <v>2048728.449999999</v>
      </c>
      <c r="G48" s="2">
        <v>288456.26999999996</v>
      </c>
      <c r="Q48" s="87">
        <v>649</v>
      </c>
      <c r="R48" s="35">
        <f t="shared" si="4"/>
        <v>42825</v>
      </c>
      <c r="S48" s="6">
        <f t="shared" ref="S48:S53" si="6">B48-SUM(C48:G48)</f>
        <v>16792284.899999984</v>
      </c>
      <c r="T48" s="8">
        <f t="shared" si="5"/>
        <v>-2444493.9700000063</v>
      </c>
    </row>
    <row r="49" spans="1:20">
      <c r="A49" s="39">
        <v>42855</v>
      </c>
      <c r="B49" s="2">
        <v>66895479.68</v>
      </c>
      <c r="C49" s="2">
        <v>35060786.297600001</v>
      </c>
      <c r="D49" s="2">
        <v>3210330.7307699998</v>
      </c>
      <c r="E49" s="2">
        <v>10239790.943519998</v>
      </c>
      <c r="F49" s="2">
        <v>2131881.9246800002</v>
      </c>
      <c r="G49" s="2">
        <v>451322.77574999997</v>
      </c>
      <c r="Q49" s="87">
        <v>669</v>
      </c>
      <c r="R49" s="35">
        <f t="shared" si="4"/>
        <v>42855</v>
      </c>
      <c r="S49" s="6">
        <f t="shared" si="6"/>
        <v>15801367.007679999</v>
      </c>
      <c r="T49" s="8">
        <f t="shared" si="5"/>
        <v>1551330.3400000036</v>
      </c>
    </row>
    <row r="50" spans="1:20">
      <c r="A50" s="39">
        <v>42886</v>
      </c>
      <c r="B50" s="2">
        <v>67692518.179999992</v>
      </c>
      <c r="C50" s="2">
        <v>35201448.897</v>
      </c>
      <c r="D50" s="2">
        <v>3483900.0352799995</v>
      </c>
      <c r="E50" s="2">
        <v>9874453.6483599991</v>
      </c>
      <c r="F50" s="2">
        <v>2121683.3709000004</v>
      </c>
      <c r="G50" s="2">
        <v>460242.52944000001</v>
      </c>
      <c r="Q50" s="87">
        <v>675</v>
      </c>
      <c r="R50" s="35">
        <f t="shared" si="4"/>
        <v>42886</v>
      </c>
      <c r="S50" s="6">
        <f t="shared" si="6"/>
        <v>16550789.699019998</v>
      </c>
      <c r="T50" s="8">
        <f t="shared" si="5"/>
        <v>797038.49999999255</v>
      </c>
    </row>
    <row r="51" spans="1:20" ht="17" customHeight="1">
      <c r="A51" s="39">
        <v>42916</v>
      </c>
      <c r="B51" s="2">
        <v>67579550.950000003</v>
      </c>
      <c r="C51" s="2">
        <v>35435010.044880003</v>
      </c>
      <c r="D51" s="2">
        <v>3557150.0098200003</v>
      </c>
      <c r="E51" s="2">
        <v>10073261.737500001</v>
      </c>
      <c r="F51" s="2">
        <v>2131113.0445600003</v>
      </c>
      <c r="G51" s="2">
        <v>451315.00101000001</v>
      </c>
      <c r="Q51" s="87">
        <v>676</v>
      </c>
      <c r="R51" s="35">
        <f t="shared" si="4"/>
        <v>42916</v>
      </c>
      <c r="S51" s="6">
        <f t="shared" si="6"/>
        <v>15931701.112230003</v>
      </c>
      <c r="T51" s="8">
        <f t="shared" si="5"/>
        <v>-112967.22999998927</v>
      </c>
    </row>
    <row r="52" spans="1:20">
      <c r="A52" s="39">
        <v>42947</v>
      </c>
      <c r="B52" s="2">
        <v>68937083.159999996</v>
      </c>
      <c r="C52" s="2">
        <v>35756353.329659998</v>
      </c>
      <c r="D52" s="2">
        <v>3557200.6195199997</v>
      </c>
      <c r="E52" s="2">
        <v>10088753.998620002</v>
      </c>
      <c r="F52" s="2">
        <v>2178391.73404</v>
      </c>
      <c r="G52" s="2">
        <v>432923.45260999998</v>
      </c>
      <c r="Q52" s="87">
        <v>674</v>
      </c>
      <c r="R52" s="35">
        <f t="shared" si="4"/>
        <v>42947</v>
      </c>
      <c r="S52" s="6">
        <f t="shared" si="6"/>
        <v>16923460.025549993</v>
      </c>
      <c r="T52" s="8">
        <f t="shared" si="5"/>
        <v>1357532.2099999934</v>
      </c>
    </row>
    <row r="53" spans="1:20" ht="17" customHeight="1">
      <c r="A53" s="39">
        <v>42978</v>
      </c>
      <c r="B53" s="2">
        <v>68602689.650000006</v>
      </c>
      <c r="C53" s="2">
        <v>35598433.756959997</v>
      </c>
      <c r="D53" s="2">
        <v>3557738.8615999999</v>
      </c>
      <c r="E53" s="2">
        <v>9846737.1246300004</v>
      </c>
      <c r="F53" s="2">
        <v>2163178.8669200004</v>
      </c>
      <c r="G53" s="2">
        <v>437708.93046</v>
      </c>
      <c r="Q53" s="87">
        <v>679</v>
      </c>
      <c r="R53" s="35">
        <f t="shared" si="4"/>
        <v>42978</v>
      </c>
      <c r="S53" s="6">
        <f t="shared" si="6"/>
        <v>16998892.109430015</v>
      </c>
      <c r="T53" s="8">
        <f t="shared" si="5"/>
        <v>-334393.50999999046</v>
      </c>
    </row>
    <row r="54" spans="1:20">
      <c r="A54" s="39">
        <v>43008</v>
      </c>
      <c r="B54" s="2">
        <v>69300380.459999993</v>
      </c>
      <c r="C54" s="2">
        <v>35831291.62494</v>
      </c>
      <c r="D54" s="2">
        <v>3728762.4390300005</v>
      </c>
      <c r="E54" s="2">
        <v>10558545.122199999</v>
      </c>
      <c r="F54" s="2">
        <v>2336272.9207199998</v>
      </c>
      <c r="G54" s="2">
        <v>441724.29391999997</v>
      </c>
      <c r="Q54" s="87">
        <v>684</v>
      </c>
      <c r="R54" s="35">
        <f t="shared" si="4"/>
        <v>43008</v>
      </c>
      <c r="S54" s="6">
        <f t="shared" ref="S54:S60" si="7">B54-SUM(C54:G54)</f>
        <v>16403784.059189998</v>
      </c>
      <c r="T54" s="8">
        <f t="shared" si="5"/>
        <v>697690.80999998748</v>
      </c>
    </row>
    <row r="55" spans="1:20" ht="17" customHeight="1">
      <c r="A55" s="39">
        <v>43039</v>
      </c>
      <c r="B55" s="2">
        <v>72175017.420000002</v>
      </c>
      <c r="C55" s="2">
        <v>34979608.256909996</v>
      </c>
      <c r="D55" s="2">
        <v>3803786.0229999996</v>
      </c>
      <c r="E55" s="2">
        <v>10436165.1768</v>
      </c>
      <c r="F55" s="2">
        <v>2317050.7637</v>
      </c>
      <c r="G55" s="2">
        <v>434452.61090000003</v>
      </c>
      <c r="Q55" s="87">
        <v>684</v>
      </c>
      <c r="R55" s="35">
        <f t="shared" si="4"/>
        <v>43039</v>
      </c>
      <c r="S55" s="6">
        <f t="shared" si="7"/>
        <v>20203954.588690005</v>
      </c>
      <c r="T55" s="8">
        <f t="shared" si="5"/>
        <v>2874636.9600000083</v>
      </c>
    </row>
    <row r="56" spans="1:20">
      <c r="A56" s="39">
        <v>43069</v>
      </c>
      <c r="B56" s="2">
        <v>70021321.50999999</v>
      </c>
      <c r="C56" s="2">
        <v>37550729.931120001</v>
      </c>
      <c r="D56" s="2">
        <v>4162461.9230400003</v>
      </c>
      <c r="E56" s="2">
        <v>10741627.82784</v>
      </c>
      <c r="F56" s="2">
        <v>2375293.4161</v>
      </c>
      <c r="G56" s="2">
        <v>440372.16080000001</v>
      </c>
      <c r="Q56" s="87">
        <v>691</v>
      </c>
      <c r="R56" s="35">
        <f t="shared" si="4"/>
        <v>43069</v>
      </c>
      <c r="S56" s="6">
        <f t="shared" si="7"/>
        <v>14750836.251099981</v>
      </c>
      <c r="T56" s="8">
        <f t="shared" si="5"/>
        <v>-2153695.9100000113</v>
      </c>
    </row>
    <row r="57" spans="1:20" ht="17" customHeight="1">
      <c r="A57" s="39">
        <v>43100</v>
      </c>
      <c r="B57" s="2">
        <v>70626859.310000002</v>
      </c>
      <c r="C57" s="2">
        <v>37187503.361579992</v>
      </c>
      <c r="D57" s="2">
        <v>4297130.1678599995</v>
      </c>
      <c r="E57" s="2">
        <v>10246138.28067</v>
      </c>
      <c r="F57" s="2">
        <v>2365850.3166999999</v>
      </c>
      <c r="G57" s="2">
        <v>436791.16469999996</v>
      </c>
      <c r="Q57" s="87">
        <v>681</v>
      </c>
      <c r="R57" s="35">
        <f t="shared" si="4"/>
        <v>43100</v>
      </c>
      <c r="S57" s="6">
        <f t="shared" si="7"/>
        <v>16093446.018490009</v>
      </c>
      <c r="T57" s="8">
        <f t="shared" si="5"/>
        <v>605537.80000001192</v>
      </c>
    </row>
    <row r="58" spans="1:20">
      <c r="A58" s="39">
        <v>43131</v>
      </c>
      <c r="B58" s="2">
        <v>71273442.134899989</v>
      </c>
      <c r="C58" s="2">
        <v>38923187.212500006</v>
      </c>
      <c r="D58" s="2">
        <v>4561508.4094999963</v>
      </c>
      <c r="E58" s="2">
        <v>10264273.822099993</v>
      </c>
      <c r="F58" s="2">
        <v>2393922.7392000007</v>
      </c>
      <c r="G58" s="2">
        <v>452464.31</v>
      </c>
      <c r="Q58" s="87">
        <v>690</v>
      </c>
      <c r="R58" s="35">
        <f t="shared" si="4"/>
        <v>43131</v>
      </c>
      <c r="S58" s="6">
        <f t="shared" si="7"/>
        <v>14678085.64159999</v>
      </c>
      <c r="T58" s="8">
        <f t="shared" si="5"/>
        <v>646582.82489998639</v>
      </c>
    </row>
    <row r="59" spans="1:20">
      <c r="A59" s="39">
        <v>43159</v>
      </c>
      <c r="B59" s="2">
        <v>69878201.609700039</v>
      </c>
      <c r="C59" s="2">
        <v>37770373.580499962</v>
      </c>
      <c r="D59" s="2">
        <v>4345201.7449000003</v>
      </c>
      <c r="E59" s="2">
        <v>9750604.7694000062</v>
      </c>
      <c r="F59" s="2">
        <v>2343874.6688999999</v>
      </c>
      <c r="G59" s="2">
        <v>408162.96539999993</v>
      </c>
      <c r="Q59" s="87">
        <v>703</v>
      </c>
      <c r="R59" s="35">
        <f t="shared" si="4"/>
        <v>43159</v>
      </c>
      <c r="S59" s="6">
        <f t="shared" si="7"/>
        <v>15259983.880600065</v>
      </c>
      <c r="T59" s="8">
        <f t="shared" si="5"/>
        <v>-1395240.5251999497</v>
      </c>
    </row>
    <row r="60" spans="1:20">
      <c r="A60" s="39">
        <v>43190</v>
      </c>
      <c r="B60" s="2">
        <v>73127759</v>
      </c>
      <c r="C60" s="2">
        <v>38147497.969999999</v>
      </c>
      <c r="D60" s="2">
        <v>4358633.8800000008</v>
      </c>
      <c r="E60" s="2">
        <v>10191320.41</v>
      </c>
      <c r="F60" s="2">
        <v>2439393.3199999998</v>
      </c>
      <c r="G60" s="2">
        <v>397030.93</v>
      </c>
      <c r="Q60" s="87">
        <v>727</v>
      </c>
      <c r="R60" s="35">
        <f t="shared" si="4"/>
        <v>43190</v>
      </c>
      <c r="S60" s="6">
        <f t="shared" si="7"/>
        <v>17593882.489999995</v>
      </c>
      <c r="T60" s="8">
        <f t="shared" si="5"/>
        <v>3249557.390299961</v>
      </c>
    </row>
    <row r="61" spans="1:20">
      <c r="A61" s="39">
        <v>43220</v>
      </c>
      <c r="B61" s="2">
        <v>74328997.331199959</v>
      </c>
      <c r="C61" s="2">
        <v>39070934.403499991</v>
      </c>
      <c r="D61" s="2">
        <v>4464996.3366000019</v>
      </c>
      <c r="E61" s="2">
        <v>10446230.682100005</v>
      </c>
      <c r="F61" s="2">
        <v>2502007.7016999996</v>
      </c>
      <c r="G61" s="2">
        <v>377759.63309999998</v>
      </c>
      <c r="Q61" s="87">
        <v>749</v>
      </c>
      <c r="R61" s="35">
        <f t="shared" si="4"/>
        <v>43220</v>
      </c>
      <c r="S61" s="6">
        <f t="shared" ref="S61:S86" si="8">B61-SUM(C61:G61)</f>
        <v>17467068.574199952</v>
      </c>
      <c r="T61" s="8">
        <f t="shared" ref="T61:T84" si="9">B61-B60</f>
        <v>1201238.3311999589</v>
      </c>
    </row>
    <row r="62" spans="1:20">
      <c r="A62" s="39">
        <v>43251</v>
      </c>
      <c r="B62" s="2">
        <v>76972934.196500093</v>
      </c>
      <c r="C62" s="2">
        <v>40157111.039700009</v>
      </c>
      <c r="D62" s="2">
        <v>4682928.6031000027</v>
      </c>
      <c r="E62" s="2">
        <v>10880253.992899999</v>
      </c>
      <c r="F62" s="2">
        <v>2694202.3757999996</v>
      </c>
      <c r="G62" s="2">
        <v>361219.34419999982</v>
      </c>
      <c r="Q62" s="87">
        <v>752</v>
      </c>
      <c r="R62" s="35">
        <f t="shared" si="4"/>
        <v>43251</v>
      </c>
      <c r="S62" s="6">
        <f t="shared" si="8"/>
        <v>18197218.840800084</v>
      </c>
      <c r="T62" s="8">
        <f t="shared" si="9"/>
        <v>2643936.8653001338</v>
      </c>
    </row>
    <row r="63" spans="1:20">
      <c r="A63" s="39">
        <v>43281</v>
      </c>
      <c r="B63" s="2">
        <v>74300182.944600061</v>
      </c>
      <c r="C63" s="2">
        <v>39402038.754599996</v>
      </c>
      <c r="D63" s="2">
        <v>4877570.0087000011</v>
      </c>
      <c r="E63" s="2">
        <v>10877349.058800001</v>
      </c>
      <c r="F63" s="2">
        <v>2763239.940599998</v>
      </c>
      <c r="G63" s="2">
        <v>352465.7757</v>
      </c>
      <c r="Q63" s="87">
        <v>689</v>
      </c>
      <c r="R63" s="35">
        <f t="shared" si="4"/>
        <v>43281</v>
      </c>
      <c r="S63" s="6">
        <f t="shared" si="8"/>
        <v>16027519.406200059</v>
      </c>
      <c r="T63" s="8">
        <f t="shared" si="9"/>
        <v>-2672751.2519000322</v>
      </c>
    </row>
    <row r="64" spans="1:20">
      <c r="A64" s="39">
        <v>43312</v>
      </c>
      <c r="B64" s="2">
        <v>76678746.096800029</v>
      </c>
      <c r="C64" s="2">
        <v>41308975.605399996</v>
      </c>
      <c r="D64" s="2">
        <v>4482890.0059000002</v>
      </c>
      <c r="E64" s="2">
        <v>11311477.749400005</v>
      </c>
      <c r="F64" s="2">
        <v>2706140.7173000011</v>
      </c>
      <c r="G64" s="2">
        <v>365311.62989999988</v>
      </c>
      <c r="Q64" s="87">
        <v>663</v>
      </c>
      <c r="R64" s="35">
        <f t="shared" si="4"/>
        <v>43312</v>
      </c>
      <c r="S64" s="6">
        <f t="shared" si="8"/>
        <v>16503950.388900027</v>
      </c>
      <c r="T64" s="8">
        <f t="shared" si="9"/>
        <v>2378563.1521999687</v>
      </c>
    </row>
    <row r="65" spans="1:20">
      <c r="A65" s="39">
        <v>43343</v>
      </c>
      <c r="B65" s="2">
        <v>80142552.393200159</v>
      </c>
      <c r="C65" s="2">
        <v>44419218.59140002</v>
      </c>
      <c r="D65" s="2">
        <v>3511806.9046999975</v>
      </c>
      <c r="E65" s="2">
        <v>12242708.557299994</v>
      </c>
      <c r="F65" s="2">
        <v>2575987.4051999999</v>
      </c>
      <c r="G65" s="2">
        <v>368924.49779999978</v>
      </c>
      <c r="Q65" s="87">
        <v>670</v>
      </c>
      <c r="R65" s="35">
        <f t="shared" si="4"/>
        <v>43343</v>
      </c>
      <c r="S65" s="6">
        <f t="shared" si="8"/>
        <v>17023906.436800152</v>
      </c>
      <c r="T65" s="8">
        <f t="shared" si="9"/>
        <v>3463806.2964001298</v>
      </c>
    </row>
    <row r="66" spans="1:20">
      <c r="A66" s="39">
        <v>43373</v>
      </c>
      <c r="B66" s="2">
        <v>80171283.378100082</v>
      </c>
      <c r="C66" s="2">
        <v>44857834.171800025</v>
      </c>
      <c r="D66" s="2">
        <v>3451713.7906999979</v>
      </c>
      <c r="E66" s="2">
        <v>12103243.407000002</v>
      </c>
      <c r="F66" s="2">
        <v>2450141.6127999998</v>
      </c>
      <c r="G66" s="2">
        <v>365771.63050000009</v>
      </c>
      <c r="Q66" s="87">
        <v>676</v>
      </c>
      <c r="R66" s="35">
        <f t="shared" ref="R66:R97" si="10">A66</f>
        <v>43373</v>
      </c>
      <c r="S66" s="6">
        <f t="shared" si="8"/>
        <v>16942578.76530005</v>
      </c>
      <c r="T66" s="8">
        <f t="shared" si="9"/>
        <v>28730.984899923205</v>
      </c>
    </row>
    <row r="67" spans="1:20">
      <c r="A67" s="39">
        <v>43404</v>
      </c>
      <c r="B67" s="2">
        <v>79456182.853299841</v>
      </c>
      <c r="C67" s="2">
        <v>43335705.966999978</v>
      </c>
      <c r="D67" s="2">
        <v>3070637.2668000017</v>
      </c>
      <c r="E67" s="2">
        <v>11074650.077799996</v>
      </c>
      <c r="F67" s="2">
        <v>2172806.0173000013</v>
      </c>
      <c r="G67" s="2">
        <v>336428.43629999988</v>
      </c>
      <c r="Q67" s="87">
        <v>686</v>
      </c>
      <c r="R67" s="35">
        <f t="shared" si="10"/>
        <v>43404</v>
      </c>
      <c r="S67" s="6">
        <f t="shared" si="8"/>
        <v>19465955.08809986</v>
      </c>
      <c r="T67" s="8">
        <f t="shared" si="9"/>
        <v>-715100.52480024099</v>
      </c>
    </row>
    <row r="68" spans="1:20">
      <c r="A68" s="39">
        <v>43434</v>
      </c>
      <c r="B68" s="2">
        <v>80038379.101900026</v>
      </c>
      <c r="C68" s="2">
        <v>43740614.356199972</v>
      </c>
      <c r="D68" s="2">
        <v>3207168.0314999986</v>
      </c>
      <c r="E68" s="2">
        <v>11081372.018599991</v>
      </c>
      <c r="F68" s="2">
        <v>2246146.6724999999</v>
      </c>
      <c r="G68" s="2">
        <v>349323.31069999997</v>
      </c>
      <c r="Q68" s="87">
        <v>684</v>
      </c>
      <c r="R68" s="35">
        <f t="shared" si="10"/>
        <v>43434</v>
      </c>
      <c r="S68" s="6">
        <f t="shared" si="8"/>
        <v>19413754.712400064</v>
      </c>
      <c r="T68" s="8">
        <f t="shared" si="9"/>
        <v>582196.24860018492</v>
      </c>
    </row>
    <row r="69" spans="1:20">
      <c r="A69" s="39">
        <v>43465</v>
      </c>
      <c r="B69" s="2">
        <v>75382537.945500135</v>
      </c>
      <c r="C69" s="2">
        <v>39841260.752200007</v>
      </c>
      <c r="D69" s="2">
        <v>2983045.0468000006</v>
      </c>
      <c r="E69" s="2">
        <v>9892243.8044999912</v>
      </c>
      <c r="F69" s="2">
        <v>2050918.0074000023</v>
      </c>
      <c r="G69" s="2">
        <v>313785.38599999994</v>
      </c>
      <c r="Q69" s="87">
        <v>694</v>
      </c>
      <c r="R69" s="35">
        <f t="shared" si="10"/>
        <v>43465</v>
      </c>
      <c r="S69" s="6">
        <f t="shared" si="8"/>
        <v>20301284.948600136</v>
      </c>
      <c r="T69" s="8">
        <f t="shared" si="9"/>
        <v>-4655841.1563998908</v>
      </c>
    </row>
    <row r="70" spans="1:20">
      <c r="A70" s="39">
        <v>43496</v>
      </c>
      <c r="B70" s="2">
        <v>79345562.763899997</v>
      </c>
      <c r="C70" s="2">
        <v>42965334.733200021</v>
      </c>
      <c r="D70" s="2">
        <v>3168021.3705000002</v>
      </c>
      <c r="E70" s="2">
        <v>10822193.625800002</v>
      </c>
      <c r="F70" s="2">
        <v>2236562.5450000004</v>
      </c>
      <c r="G70" s="2">
        <v>320895.6244000002</v>
      </c>
      <c r="Q70" s="87">
        <v>694</v>
      </c>
      <c r="R70" s="35">
        <f t="shared" si="10"/>
        <v>43496</v>
      </c>
      <c r="S70" s="6">
        <f t="shared" si="8"/>
        <v>19832554.864999972</v>
      </c>
      <c r="T70" s="8">
        <f t="shared" si="9"/>
        <v>3963024.8183998615</v>
      </c>
    </row>
    <row r="71" spans="1:20">
      <c r="A71" s="39">
        <v>43524</v>
      </c>
      <c r="B71" s="2">
        <v>82898478.565200031</v>
      </c>
      <c r="C71" s="2">
        <v>44890088.810800016</v>
      </c>
      <c r="D71" s="2">
        <v>3416813.1646999996</v>
      </c>
      <c r="E71" s="2">
        <v>11379372.80219999</v>
      </c>
      <c r="F71" s="2">
        <v>2462808.9110999992</v>
      </c>
      <c r="G71" s="2">
        <v>269168.06469999993</v>
      </c>
      <c r="Q71" s="87">
        <v>712</v>
      </c>
      <c r="R71" s="35">
        <f t="shared" si="10"/>
        <v>43524</v>
      </c>
      <c r="S71" s="6">
        <f t="shared" si="8"/>
        <v>20480226.811700024</v>
      </c>
      <c r="T71" s="8">
        <f t="shared" si="9"/>
        <v>3552915.8013000339</v>
      </c>
    </row>
    <row r="72" spans="1:20">
      <c r="A72" s="39">
        <v>43555</v>
      </c>
      <c r="B72" s="2">
        <v>84994199.995299935</v>
      </c>
      <c r="C72" s="2">
        <v>45702254.086299993</v>
      </c>
      <c r="D72" s="2">
        <v>3252828.3817999987</v>
      </c>
      <c r="E72" s="2">
        <v>11511638.5195</v>
      </c>
      <c r="F72" s="2">
        <v>2458682.8889000011</v>
      </c>
      <c r="G72" s="2">
        <v>688937.8807000001</v>
      </c>
      <c r="Q72" s="87">
        <v>726</v>
      </c>
      <c r="R72" s="35">
        <f t="shared" si="10"/>
        <v>43555</v>
      </c>
      <c r="S72" s="6">
        <f t="shared" si="8"/>
        <v>21379858.23809994</v>
      </c>
      <c r="T72" s="8">
        <f t="shared" si="9"/>
        <v>2095721.4300999045</v>
      </c>
    </row>
    <row r="73" spans="1:20">
      <c r="A73" s="39">
        <v>43585</v>
      </c>
      <c r="B73" s="2">
        <v>87083019.756300047</v>
      </c>
      <c r="C73" s="2">
        <v>47418913.834299937</v>
      </c>
      <c r="D73" s="2">
        <v>3212449.9708000002</v>
      </c>
      <c r="E73" s="2">
        <v>11848441.576799998</v>
      </c>
      <c r="F73" s="2">
        <v>2699890.3535999977</v>
      </c>
      <c r="G73" s="2">
        <v>895197.28540000017</v>
      </c>
      <c r="Q73" s="87">
        <v>738</v>
      </c>
      <c r="R73" s="35">
        <f t="shared" si="10"/>
        <v>43585</v>
      </c>
      <c r="S73" s="6">
        <f t="shared" si="8"/>
        <v>21008126.735400118</v>
      </c>
      <c r="T73" s="8">
        <f t="shared" si="9"/>
        <v>2088819.7610001117</v>
      </c>
    </row>
    <row r="74" spans="1:20">
      <c r="A74" s="39">
        <v>43616</v>
      </c>
      <c r="B74" s="2">
        <v>85153122.529499859</v>
      </c>
      <c r="C74" s="2">
        <v>45212550.145500004</v>
      </c>
      <c r="D74" s="2">
        <v>2723589.3501000009</v>
      </c>
      <c r="E74" s="2">
        <v>11262475.139999995</v>
      </c>
      <c r="F74" s="2">
        <v>2682539.7977000005</v>
      </c>
      <c r="G74" s="2">
        <v>1106630.8023999999</v>
      </c>
      <c r="Q74" s="87">
        <v>749</v>
      </c>
      <c r="R74" s="35">
        <f t="shared" si="10"/>
        <v>43616</v>
      </c>
      <c r="S74" s="6">
        <f t="shared" si="8"/>
        <v>22165337.293799855</v>
      </c>
      <c r="T74" s="8">
        <f t="shared" si="9"/>
        <v>-1929897.2268001884</v>
      </c>
    </row>
    <row r="75" spans="1:20">
      <c r="A75" s="39">
        <v>43646</v>
      </c>
      <c r="B75" s="2">
        <v>87873369.530599982</v>
      </c>
      <c r="C75" s="2">
        <v>47739271.344799995</v>
      </c>
      <c r="D75" s="2">
        <v>2931433.1517999982</v>
      </c>
      <c r="E75" s="2">
        <v>11848090.312400008</v>
      </c>
      <c r="F75" s="2">
        <v>2935280.7749000019</v>
      </c>
      <c r="G75" s="2">
        <v>1166017.6432999996</v>
      </c>
      <c r="Q75" s="87">
        <v>729</v>
      </c>
      <c r="R75" s="35">
        <f t="shared" si="10"/>
        <v>43646</v>
      </c>
      <c r="S75" s="6">
        <f t="shared" si="8"/>
        <v>21253276.30339998</v>
      </c>
      <c r="T75" s="8">
        <f t="shared" si="9"/>
        <v>2720247.0011001229</v>
      </c>
    </row>
    <row r="76" spans="1:20">
      <c r="A76" s="39">
        <v>43677</v>
      </c>
      <c r="B76" s="2">
        <v>89201695.948400065</v>
      </c>
      <c r="C76" s="2">
        <v>48859921.714900047</v>
      </c>
      <c r="D76" s="2">
        <v>2944296.9967000009</v>
      </c>
      <c r="E76" s="2">
        <v>12045203.477099996</v>
      </c>
      <c r="F76" s="2">
        <v>3116737.2804</v>
      </c>
      <c r="G76" s="2">
        <v>1162356.1794999999</v>
      </c>
      <c r="Q76" s="87">
        <v>735</v>
      </c>
      <c r="R76" s="35">
        <f t="shared" si="10"/>
        <v>43677</v>
      </c>
      <c r="S76" s="6">
        <f t="shared" si="8"/>
        <v>21073180.299800009</v>
      </c>
      <c r="T76" s="8">
        <f t="shared" si="9"/>
        <v>1328326.4178000838</v>
      </c>
    </row>
    <row r="77" spans="1:20">
      <c r="A77" s="39">
        <v>43708</v>
      </c>
      <c r="B77" s="2">
        <v>92677671.760299861</v>
      </c>
      <c r="C77" s="2">
        <v>50163096.367300056</v>
      </c>
      <c r="D77" s="2">
        <v>2866938.7170000002</v>
      </c>
      <c r="E77" s="2">
        <v>12031730.269499993</v>
      </c>
      <c r="F77" s="2">
        <v>3018087.8944000024</v>
      </c>
      <c r="G77" s="2">
        <v>1244618.0902999998</v>
      </c>
      <c r="Q77" s="87">
        <v>748</v>
      </c>
      <c r="R77" s="35">
        <f t="shared" si="10"/>
        <v>43708</v>
      </c>
      <c r="S77" s="6">
        <f t="shared" si="8"/>
        <v>23353200.421799809</v>
      </c>
      <c r="T77" s="8">
        <f t="shared" si="9"/>
        <v>3475975.8118997961</v>
      </c>
    </row>
    <row r="78" spans="1:20">
      <c r="A78" s="39">
        <v>43738</v>
      </c>
      <c r="B78" s="2">
        <v>101104837.39040005</v>
      </c>
      <c r="C78" s="2">
        <v>54773318.615199968</v>
      </c>
      <c r="D78" s="2">
        <v>2988542.5716999993</v>
      </c>
      <c r="E78" s="2">
        <v>13769884.240299989</v>
      </c>
      <c r="F78" s="2">
        <v>3238083.2587000025</v>
      </c>
      <c r="G78" s="2">
        <v>1304061.9102999992</v>
      </c>
      <c r="Q78" s="87">
        <v>806</v>
      </c>
      <c r="R78" s="35">
        <f t="shared" si="10"/>
        <v>43738</v>
      </c>
      <c r="S78" s="6">
        <f t="shared" si="8"/>
        <v>25030946.794200093</v>
      </c>
      <c r="T78" s="8">
        <f t="shared" si="9"/>
        <v>8427165.6301001906</v>
      </c>
    </row>
    <row r="79" spans="1:20">
      <c r="A79" s="39">
        <v>43769</v>
      </c>
      <c r="B79" s="2">
        <v>106575960.61870028</v>
      </c>
      <c r="C79" s="2">
        <v>56925678.149200015</v>
      </c>
      <c r="D79" s="2">
        <v>2962230.8951999997</v>
      </c>
      <c r="E79" s="2">
        <v>14680332.837299995</v>
      </c>
      <c r="F79" s="2">
        <v>3432340.6153999954</v>
      </c>
      <c r="G79" s="2">
        <v>1382400.2610000002</v>
      </c>
      <c r="Q79" s="87">
        <v>841</v>
      </c>
      <c r="R79" s="35">
        <f t="shared" si="10"/>
        <v>43769</v>
      </c>
      <c r="S79" s="6">
        <f t="shared" si="8"/>
        <v>27192977.860600263</v>
      </c>
      <c r="T79" s="8">
        <f t="shared" si="9"/>
        <v>5471123.2283002287</v>
      </c>
    </row>
    <row r="80" spans="1:20">
      <c r="A80" s="39">
        <v>43799</v>
      </c>
      <c r="B80" s="2">
        <v>113724617.07440013</v>
      </c>
      <c r="C80" s="2">
        <v>62371908.49119997</v>
      </c>
      <c r="D80" s="2">
        <v>3080094.8018000014</v>
      </c>
      <c r="E80" s="2">
        <v>16031980.733999999</v>
      </c>
      <c r="F80" s="2">
        <v>3739202.395800001</v>
      </c>
      <c r="G80" s="2">
        <v>1511137.6531999998</v>
      </c>
      <c r="Q80" s="87">
        <v>878</v>
      </c>
      <c r="R80" s="35">
        <f t="shared" si="10"/>
        <v>43799</v>
      </c>
      <c r="S80" s="6">
        <f t="shared" si="8"/>
        <v>26990292.998400167</v>
      </c>
      <c r="T80" s="8">
        <f t="shared" si="9"/>
        <v>7148656.4556998461</v>
      </c>
    </row>
    <row r="81" spans="1:20">
      <c r="A81" s="39">
        <v>43830</v>
      </c>
      <c r="B81" s="2">
        <v>120702217.15979987</v>
      </c>
      <c r="C81" s="2">
        <v>66051082.840399943</v>
      </c>
      <c r="D81" s="2">
        <v>3248424.5891000032</v>
      </c>
      <c r="E81" s="2">
        <v>17065601.707099993</v>
      </c>
      <c r="F81" s="2">
        <v>4041075.1864999998</v>
      </c>
      <c r="G81" s="2">
        <v>1571169.8219999997</v>
      </c>
      <c r="Q81" s="87">
        <v>934</v>
      </c>
      <c r="R81" s="35">
        <f t="shared" si="10"/>
        <v>43830</v>
      </c>
      <c r="S81" s="6">
        <f t="shared" si="8"/>
        <v>28724863.014699936</v>
      </c>
      <c r="T81" s="8">
        <f t="shared" si="9"/>
        <v>6977600.0853997469</v>
      </c>
    </row>
    <row r="82" spans="1:20">
      <c r="A82" s="39">
        <v>43861</v>
      </c>
      <c r="B82" s="2">
        <v>148424026.92739993</v>
      </c>
      <c r="C82" s="2">
        <v>80669267.87270008</v>
      </c>
      <c r="D82" s="2">
        <v>3253911.6220000014</v>
      </c>
      <c r="E82" s="2">
        <v>18916204.600799978</v>
      </c>
      <c r="F82" s="2">
        <v>4136849.0933999978</v>
      </c>
      <c r="G82" s="2">
        <v>1635012.3051999998</v>
      </c>
      <c r="Q82" s="87">
        <v>964</v>
      </c>
      <c r="R82" s="35">
        <f t="shared" si="10"/>
        <v>43861</v>
      </c>
      <c r="S82" s="6">
        <f t="shared" si="8"/>
        <v>39812781.433299884</v>
      </c>
      <c r="T82" s="8">
        <f t="shared" si="9"/>
        <v>27721809.76760006</v>
      </c>
    </row>
    <row r="83" spans="1:20">
      <c r="A83" s="39">
        <v>43890</v>
      </c>
      <c r="B83" s="2">
        <v>143735122.42799979</v>
      </c>
      <c r="C83" s="2">
        <v>73941432.999900013</v>
      </c>
      <c r="D83" s="2">
        <v>3123099.9977999981</v>
      </c>
      <c r="E83" s="2">
        <v>16756869.064500012</v>
      </c>
      <c r="F83" s="2">
        <v>3893120.382300002</v>
      </c>
      <c r="G83" s="2">
        <v>1682131.1045999997</v>
      </c>
      <c r="Q83" s="87">
        <v>1036</v>
      </c>
      <c r="R83" s="35">
        <f t="shared" si="10"/>
        <v>43890</v>
      </c>
      <c r="S83" s="6">
        <f t="shared" si="8"/>
        <v>44338468.878899783</v>
      </c>
      <c r="T83" s="8">
        <f t="shared" si="9"/>
        <v>-4688904.4994001389</v>
      </c>
    </row>
    <row r="84" spans="1:20">
      <c r="A84" s="39">
        <v>43921</v>
      </c>
      <c r="B84" s="2">
        <v>132287734.09860002</v>
      </c>
      <c r="C84" s="2">
        <v>61095848.850999996</v>
      </c>
      <c r="D84" s="2">
        <v>3021244.4156000023</v>
      </c>
      <c r="E84" s="2">
        <v>13226996.497600015</v>
      </c>
      <c r="F84" s="2">
        <v>3587253.0862000035</v>
      </c>
      <c r="G84" s="2">
        <v>4254754.6385000013</v>
      </c>
      <c r="Q84" s="87">
        <v>1108</v>
      </c>
      <c r="R84" s="35">
        <f t="shared" si="10"/>
        <v>43921</v>
      </c>
      <c r="S84" s="6">
        <f t="shared" si="8"/>
        <v>47101636.609699994</v>
      </c>
      <c r="T84" s="8">
        <f t="shared" si="9"/>
        <v>-11447388.329399779</v>
      </c>
    </row>
    <row r="85" spans="1:20">
      <c r="A85" s="39">
        <v>43951</v>
      </c>
      <c r="B85" s="2">
        <v>145028772.51070005</v>
      </c>
      <c r="C85" s="2">
        <v>59068738.417600028</v>
      </c>
      <c r="D85" s="2">
        <v>3183337.022299998</v>
      </c>
      <c r="E85" s="2">
        <v>14663845.7632</v>
      </c>
      <c r="F85" s="2">
        <v>4875660.6253000014</v>
      </c>
      <c r="G85" s="2">
        <v>12207931.257599991</v>
      </c>
      <c r="Q85" s="87">
        <v>1163</v>
      </c>
      <c r="R85" s="35">
        <f t="shared" si="10"/>
        <v>43951</v>
      </c>
      <c r="S85" s="6">
        <f t="shared" si="8"/>
        <v>51029259.424700022</v>
      </c>
      <c r="T85" s="8">
        <f t="shared" ref="T85:T90" si="11">B85-B84</f>
        <v>12741038.412100032</v>
      </c>
    </row>
    <row r="86" spans="1:20">
      <c r="A86" s="39">
        <v>43982</v>
      </c>
      <c r="B86" s="2">
        <v>158585495.19419998</v>
      </c>
      <c r="C86" s="2">
        <v>62816489.423699997</v>
      </c>
      <c r="D86" s="2">
        <v>3758468.0869000019</v>
      </c>
      <c r="E86" s="2">
        <v>15939382.091199998</v>
      </c>
      <c r="F86" s="2">
        <v>5417519.5452999957</v>
      </c>
      <c r="G86" s="2">
        <v>13819377.605299989</v>
      </c>
      <c r="Q86" s="87">
        <v>1221</v>
      </c>
      <c r="R86" s="35">
        <f t="shared" si="10"/>
        <v>43982</v>
      </c>
      <c r="S86" s="6">
        <f t="shared" si="8"/>
        <v>56834258.441799998</v>
      </c>
      <c r="T86" s="8">
        <f t="shared" si="11"/>
        <v>13556722.683499932</v>
      </c>
    </row>
    <row r="87" spans="1:20">
      <c r="A87" s="39">
        <v>44012</v>
      </c>
      <c r="B87" s="2">
        <v>166915574.25520015</v>
      </c>
      <c r="C87" s="2">
        <v>60384106.899300054</v>
      </c>
      <c r="D87" s="2">
        <v>3978297.5576000013</v>
      </c>
      <c r="E87" s="2">
        <v>15126007.563799994</v>
      </c>
      <c r="F87" s="2">
        <v>5528930.0172000071</v>
      </c>
      <c r="G87" s="2">
        <v>14828536.286599999</v>
      </c>
      <c r="I87" s="2">
        <v>3161128.3655000008</v>
      </c>
      <c r="J87" s="2">
        <v>700981.37989999994</v>
      </c>
      <c r="K87" s="2">
        <v>30683.832699999999</v>
      </c>
      <c r="Q87" s="87">
        <v>1248</v>
      </c>
      <c r="R87" s="35">
        <f t="shared" si="10"/>
        <v>44012</v>
      </c>
      <c r="S87" s="6">
        <f t="shared" ref="S87:S92" si="12">B87-SUM(C87:K87)</f>
        <v>63176902.352600098</v>
      </c>
      <c r="T87" s="8">
        <f t="shared" si="11"/>
        <v>8330079.0610001683</v>
      </c>
    </row>
    <row r="88" spans="1:20">
      <c r="A88" s="39">
        <v>44043</v>
      </c>
      <c r="B88" s="2">
        <v>172369874.01140004</v>
      </c>
      <c r="C88" s="2">
        <v>63464054.185100019</v>
      </c>
      <c r="D88" s="2">
        <v>4120990.8033000007</v>
      </c>
      <c r="E88" s="2">
        <v>16208347.455300013</v>
      </c>
      <c r="F88" s="2">
        <v>5755940.8965000035</v>
      </c>
      <c r="G88" s="2">
        <v>16134860.171500016</v>
      </c>
      <c r="I88" s="2">
        <v>3832885.2275999999</v>
      </c>
      <c r="J88" s="2">
        <v>798200.62239999999</v>
      </c>
      <c r="K88" s="2">
        <v>31258.776300000001</v>
      </c>
      <c r="Q88" s="87">
        <v>1274</v>
      </c>
      <c r="R88" s="35">
        <f t="shared" si="10"/>
        <v>44043</v>
      </c>
      <c r="S88" s="6">
        <f t="shared" si="12"/>
        <v>62023335.873400003</v>
      </c>
      <c r="T88" s="8">
        <f t="shared" si="11"/>
        <v>5454299.7561998963</v>
      </c>
    </row>
    <row r="89" spans="1:20">
      <c r="A89" s="39">
        <v>44074</v>
      </c>
      <c r="B89" s="2">
        <v>181272755.63579994</v>
      </c>
      <c r="C89" s="2">
        <v>65891158.165400013</v>
      </c>
      <c r="D89" s="2">
        <v>4458567.3038999997</v>
      </c>
      <c r="E89" s="2">
        <v>16696408.667700004</v>
      </c>
      <c r="F89" s="2">
        <v>5911938.9999999991</v>
      </c>
      <c r="G89" s="2">
        <v>18258234.568599992</v>
      </c>
      <c r="I89" s="2">
        <v>4442490.355299999</v>
      </c>
      <c r="J89" s="2">
        <v>814333.64740000002</v>
      </c>
      <c r="K89" s="2">
        <v>31319.296600000001</v>
      </c>
      <c r="Q89" s="87">
        <v>1311</v>
      </c>
      <c r="R89" s="35">
        <f t="shared" si="10"/>
        <v>44074</v>
      </c>
      <c r="S89" s="6">
        <f t="shared" si="12"/>
        <v>64768304.630899921</v>
      </c>
      <c r="T89" s="8">
        <f t="shared" si="11"/>
        <v>8902881.6243999004</v>
      </c>
    </row>
    <row r="90" spans="1:20">
      <c r="A90" s="39">
        <v>44104</v>
      </c>
      <c r="B90" s="2">
        <v>179096803.75850037</v>
      </c>
      <c r="C90" s="2">
        <v>62524349.303000018</v>
      </c>
      <c r="D90" s="2">
        <v>4403445.8655000012</v>
      </c>
      <c r="E90" s="2">
        <v>16173790.674099995</v>
      </c>
      <c r="F90" s="2">
        <v>5783330.2778000012</v>
      </c>
      <c r="G90" s="2">
        <v>18731734.446600001</v>
      </c>
      <c r="I90" s="2">
        <v>4727754.9512</v>
      </c>
      <c r="J90" s="2">
        <v>1330011.8623999998</v>
      </c>
      <c r="K90" s="2">
        <v>506516.4498</v>
      </c>
      <c r="Q90" s="87">
        <v>1338</v>
      </c>
      <c r="R90" s="35">
        <f t="shared" si="10"/>
        <v>44104</v>
      </c>
      <c r="S90" s="6">
        <f t="shared" si="12"/>
        <v>64915869.928100362</v>
      </c>
      <c r="T90" s="8">
        <f t="shared" si="11"/>
        <v>-2175951.877299577</v>
      </c>
    </row>
    <row r="91" spans="1:20">
      <c r="A91" s="39">
        <v>44135</v>
      </c>
      <c r="B91" s="2">
        <v>176040243.45400026</v>
      </c>
      <c r="C91" s="2">
        <v>59413574.452799961</v>
      </c>
      <c r="D91" s="2">
        <v>4378614.6981000006</v>
      </c>
      <c r="E91" s="2">
        <v>16473496.948199995</v>
      </c>
      <c r="F91" s="2">
        <v>5966378.4293000028</v>
      </c>
      <c r="G91" s="2">
        <v>18874356.971000012</v>
      </c>
      <c r="I91" s="2">
        <v>4721940.0454999981</v>
      </c>
      <c r="J91" s="2">
        <v>1310828.9993</v>
      </c>
      <c r="K91" s="2">
        <v>501574.8259</v>
      </c>
      <c r="Q91" s="87">
        <v>1355</v>
      </c>
      <c r="R91" s="35">
        <f t="shared" si="10"/>
        <v>44135</v>
      </c>
      <c r="S91" s="6">
        <f t="shared" si="12"/>
        <v>64399478.083900273</v>
      </c>
      <c r="T91" s="8">
        <f t="shared" ref="T91:T99" si="13">B91-B90</f>
        <v>-3056560.304500103</v>
      </c>
    </row>
    <row r="92" spans="1:20">
      <c r="A92" s="39">
        <v>44165</v>
      </c>
      <c r="B92" s="2">
        <v>192824499.12710047</v>
      </c>
      <c r="C92" s="2">
        <v>35888685.952200025</v>
      </c>
      <c r="D92" s="2">
        <v>4180908.466</v>
      </c>
      <c r="E92" s="2">
        <v>18472159.479600005</v>
      </c>
      <c r="F92" s="2">
        <v>7831843.738699995</v>
      </c>
      <c r="G92" s="2">
        <v>39405585.526899979</v>
      </c>
      <c r="I92" s="2">
        <v>4353118.4602000006</v>
      </c>
      <c r="J92" s="2">
        <v>1426305.9370000002</v>
      </c>
      <c r="K92" s="2">
        <v>514423.04799999995</v>
      </c>
      <c r="Q92" s="87">
        <v>1371</v>
      </c>
      <c r="R92" s="35">
        <f t="shared" si="10"/>
        <v>44165</v>
      </c>
      <c r="S92" s="6">
        <f t="shared" si="12"/>
        <v>80751468.518500477</v>
      </c>
      <c r="T92" s="8">
        <f t="shared" si="13"/>
        <v>16784255.673100203</v>
      </c>
    </row>
    <row r="93" spans="1:20">
      <c r="A93" s="39">
        <v>44196</v>
      </c>
      <c r="B93" s="2">
        <v>199802555.74779952</v>
      </c>
      <c r="C93" s="2">
        <v>37170275.373999998</v>
      </c>
      <c r="D93" s="2">
        <v>4385707.481800003</v>
      </c>
      <c r="E93" s="2">
        <v>20108524.330099992</v>
      </c>
      <c r="F93" s="2">
        <v>8348308.1811999995</v>
      </c>
      <c r="G93" s="2">
        <v>41630404.504800037</v>
      </c>
      <c r="I93" s="2">
        <v>4506991.9339999994</v>
      </c>
      <c r="J93" s="2">
        <v>1425280.4477000001</v>
      </c>
      <c r="K93" s="2">
        <v>511952.23600000003</v>
      </c>
      <c r="Q93" s="87">
        <v>1398</v>
      </c>
      <c r="R93" s="35">
        <f t="shared" si="10"/>
        <v>44196</v>
      </c>
      <c r="S93" s="6">
        <f t="shared" ref="S93:S99" si="14">B93-SUM(C93:K93)</f>
        <v>81715111.258199483</v>
      </c>
      <c r="T93" s="8">
        <f t="shared" si="13"/>
        <v>6978056.620699048</v>
      </c>
    </row>
    <row r="94" spans="1:20">
      <c r="A94" s="39">
        <v>44227</v>
      </c>
      <c r="B94" s="2">
        <v>274307169.60999948</v>
      </c>
      <c r="C94" s="2">
        <v>38349980.079999998</v>
      </c>
      <c r="D94" s="2">
        <v>4412740.8399999989</v>
      </c>
      <c r="E94" s="2">
        <v>20077889.980000004</v>
      </c>
      <c r="F94" s="2">
        <v>8410516.1500000097</v>
      </c>
      <c r="G94" s="2">
        <v>40520866.389999971</v>
      </c>
      <c r="I94" s="2">
        <v>4648710.5900000008</v>
      </c>
      <c r="J94" s="2">
        <v>1409551.0100000002</v>
      </c>
      <c r="K94" s="2">
        <v>756786.16</v>
      </c>
      <c r="Q94" s="169">
        <v>1564</v>
      </c>
      <c r="R94" s="35">
        <f t="shared" si="10"/>
        <v>44227</v>
      </c>
      <c r="S94" s="6">
        <f t="shared" si="14"/>
        <v>155720128.40999949</v>
      </c>
      <c r="T94" s="8">
        <f t="shared" si="13"/>
        <v>74504613.862199962</v>
      </c>
    </row>
    <row r="95" spans="1:20">
      <c r="A95" s="39">
        <v>44255</v>
      </c>
      <c r="B95" s="2">
        <v>280605416.95185971</v>
      </c>
      <c r="C95" s="2">
        <v>27918668.9586</v>
      </c>
      <c r="D95" s="2">
        <v>3301706.2280999999</v>
      </c>
      <c r="E95" s="2">
        <v>8852149.6624799967</v>
      </c>
      <c r="F95" s="2">
        <v>5710292.3474800009</v>
      </c>
      <c r="G95" s="2">
        <v>47029332.62940003</v>
      </c>
      <c r="I95" s="2">
        <v>5049154.2988799997</v>
      </c>
      <c r="J95" s="2">
        <v>1705083.3199700005</v>
      </c>
      <c r="K95" s="2">
        <v>665537.83530000004</v>
      </c>
      <c r="Q95" s="169">
        <v>1592</v>
      </c>
      <c r="R95" s="35">
        <f t="shared" si="10"/>
        <v>44255</v>
      </c>
      <c r="S95" s="6">
        <f t="shared" si="14"/>
        <v>180373491.67164969</v>
      </c>
      <c r="T95" s="8">
        <f t="shared" si="13"/>
        <v>6298247.3418602347</v>
      </c>
    </row>
    <row r="96" spans="1:20">
      <c r="A96" s="39">
        <v>44286</v>
      </c>
      <c r="B96" s="2">
        <v>291373182.45129806</v>
      </c>
      <c r="C96" s="2">
        <v>28978345.697840001</v>
      </c>
      <c r="D96" s="2">
        <v>3715542.4110600017</v>
      </c>
      <c r="E96" s="2">
        <v>9149117.9256299995</v>
      </c>
      <c r="F96" s="2">
        <v>5839408.7792500015</v>
      </c>
      <c r="G96" s="2">
        <v>49271147.354750022</v>
      </c>
      <c r="H96" s="2">
        <v>14804293.601079997</v>
      </c>
      <c r="I96" s="2">
        <v>5334258.3847499993</v>
      </c>
      <c r="J96" s="2">
        <v>1731631.5239200003</v>
      </c>
      <c r="K96" s="2">
        <v>666194.18425000005</v>
      </c>
      <c r="Q96" s="169">
        <v>1665</v>
      </c>
      <c r="R96" s="35">
        <f t="shared" si="10"/>
        <v>44286</v>
      </c>
      <c r="S96" s="6">
        <f t="shared" si="14"/>
        <v>171883242.58876806</v>
      </c>
      <c r="T96" s="8">
        <f t="shared" si="13"/>
        <v>10767765.499438345</v>
      </c>
    </row>
    <row r="97" spans="1:20">
      <c r="A97" s="39">
        <v>44316</v>
      </c>
      <c r="B97" s="2">
        <v>304717317.15142715</v>
      </c>
      <c r="C97" s="2">
        <v>30535439.588369995</v>
      </c>
      <c r="D97" s="2">
        <v>4114221.1888000015</v>
      </c>
      <c r="E97" s="2">
        <v>9501819.9924999997</v>
      </c>
      <c r="F97" s="2">
        <v>6160629.5259600049</v>
      </c>
      <c r="G97" s="2">
        <v>52346892.827879973</v>
      </c>
      <c r="H97" s="2">
        <v>15527491.162350003</v>
      </c>
      <c r="I97" s="2">
        <v>5663168.5438599996</v>
      </c>
      <c r="J97" s="2">
        <v>2027274.2374199997</v>
      </c>
      <c r="K97" s="2">
        <v>681685.65190000006</v>
      </c>
      <c r="Q97" s="169">
        <v>1722</v>
      </c>
      <c r="R97" s="35">
        <f t="shared" si="10"/>
        <v>44316</v>
      </c>
      <c r="S97" s="6">
        <f t="shared" si="14"/>
        <v>178158694.43238717</v>
      </c>
      <c r="T97" s="8">
        <f t="shared" si="13"/>
        <v>13344134.700129092</v>
      </c>
    </row>
    <row r="98" spans="1:20">
      <c r="A98" s="39">
        <v>44347</v>
      </c>
      <c r="B98" s="2">
        <v>307527480.01347899</v>
      </c>
      <c r="C98" s="2">
        <v>30460079.822400026</v>
      </c>
      <c r="D98" s="2">
        <v>5288333.450399993</v>
      </c>
      <c r="E98" s="2">
        <v>9486356.4552599974</v>
      </c>
      <c r="F98" s="2">
        <v>6595247.2903199978</v>
      </c>
      <c r="G98" s="2">
        <v>52741346.290240012</v>
      </c>
      <c r="H98" s="2">
        <v>16142248.431680009</v>
      </c>
      <c r="I98" s="2">
        <v>5196520.4843999986</v>
      </c>
      <c r="J98" s="2">
        <v>2574849.4479</v>
      </c>
      <c r="K98" s="2">
        <v>682347.4826300001</v>
      </c>
      <c r="Q98" s="169">
        <v>1747</v>
      </c>
      <c r="R98" s="35">
        <f t="shared" ref="R98:R126" si="15">A98</f>
        <v>44347</v>
      </c>
      <c r="S98" s="6">
        <f t="shared" si="14"/>
        <v>178360150.85824895</v>
      </c>
      <c r="T98" s="8">
        <f t="shared" si="13"/>
        <v>2810162.8620518446</v>
      </c>
    </row>
    <row r="99" spans="1:20">
      <c r="A99" s="39">
        <v>44377</v>
      </c>
      <c r="B99" s="2">
        <v>316356768.60529995</v>
      </c>
      <c r="C99" s="2">
        <v>31584507.963099994</v>
      </c>
      <c r="D99" s="2">
        <v>5583731.2452000026</v>
      </c>
      <c r="E99" s="2">
        <v>9547247.9527000003</v>
      </c>
      <c r="F99" s="2">
        <v>6652420.290899992</v>
      </c>
      <c r="G99" s="2">
        <v>54077492.084200025</v>
      </c>
      <c r="H99" s="2">
        <v>16418510.131400008</v>
      </c>
      <c r="I99" s="2">
        <v>5312200.052000002</v>
      </c>
      <c r="J99" s="2">
        <v>2666152.2135999999</v>
      </c>
      <c r="K99" s="2">
        <v>690201.47089999996</v>
      </c>
      <c r="Q99" s="169">
        <v>1783</v>
      </c>
      <c r="R99" s="35">
        <f t="shared" si="15"/>
        <v>44377</v>
      </c>
      <c r="S99" s="6">
        <f t="shared" si="14"/>
        <v>183824305.20129994</v>
      </c>
      <c r="T99" s="8">
        <f t="shared" si="13"/>
        <v>8829288.5918209553</v>
      </c>
    </row>
    <row r="100" spans="1:20">
      <c r="A100" s="39">
        <v>44408</v>
      </c>
      <c r="B100" s="2">
        <v>324191678.09279937</v>
      </c>
      <c r="C100" s="2">
        <v>32377409.413800005</v>
      </c>
      <c r="D100" s="2">
        <v>5899618.4173999997</v>
      </c>
      <c r="E100" s="2">
        <v>6107514.7854000013</v>
      </c>
      <c r="F100" s="2">
        <v>4177687.6026999974</v>
      </c>
      <c r="G100" s="2">
        <v>54405693.659599975</v>
      </c>
      <c r="H100" s="2">
        <v>25350584.384400025</v>
      </c>
      <c r="I100" s="2">
        <v>5752582.2514000013</v>
      </c>
      <c r="J100" s="2">
        <v>2738498.5208000005</v>
      </c>
      <c r="K100" s="2">
        <v>695500.52250000008</v>
      </c>
      <c r="Q100" s="169">
        <v>1821</v>
      </c>
      <c r="R100" s="35">
        <f t="shared" si="15"/>
        <v>44408</v>
      </c>
      <c r="S100" s="6">
        <f t="shared" ref="S100:S109" si="16">B100-SUM(C100:K100)</f>
        <v>186686588.53479937</v>
      </c>
      <c r="T100" s="8">
        <f t="shared" ref="T100:T143" si="17">B100-B99</f>
        <v>7834909.4874994159</v>
      </c>
    </row>
    <row r="101" spans="1:20">
      <c r="A101" s="39">
        <v>44439</v>
      </c>
      <c r="B101" s="2">
        <v>332363788.06299973</v>
      </c>
      <c r="C101" s="2">
        <v>33688392.107299998</v>
      </c>
      <c r="D101" s="2">
        <v>6239632.419599995</v>
      </c>
      <c r="E101" s="2">
        <v>6103733.1669000033</v>
      </c>
      <c r="F101" s="2">
        <v>4241330.4487999985</v>
      </c>
      <c r="G101" s="2">
        <v>56906736.30599995</v>
      </c>
      <c r="H101" s="2">
        <v>26011291.543900013</v>
      </c>
      <c r="I101" s="2">
        <v>5894627.8293000003</v>
      </c>
      <c r="J101" s="2">
        <v>2785051.1543999994</v>
      </c>
      <c r="K101" s="2">
        <v>698086.02359999996</v>
      </c>
      <c r="Q101" s="169">
        <v>1864</v>
      </c>
      <c r="R101" s="35">
        <f t="shared" si="15"/>
        <v>44439</v>
      </c>
      <c r="S101" s="6">
        <f t="shared" si="16"/>
        <v>189794907.06319979</v>
      </c>
      <c r="T101" s="8">
        <f t="shared" si="17"/>
        <v>8172109.9702003598</v>
      </c>
    </row>
    <row r="102" spans="1:20">
      <c r="A102" s="39">
        <v>44469</v>
      </c>
      <c r="B102" s="2">
        <v>328967809.99619943</v>
      </c>
      <c r="C102" s="2">
        <v>32490948.71620002</v>
      </c>
      <c r="D102" s="2">
        <v>6107942.9084999999</v>
      </c>
      <c r="E102" s="2">
        <v>6001438.3363000024</v>
      </c>
      <c r="F102" s="2">
        <v>4225882.277900001</v>
      </c>
      <c r="G102" s="2">
        <v>56553505.960400015</v>
      </c>
      <c r="H102" s="2">
        <v>26332464.877999965</v>
      </c>
      <c r="I102" s="2">
        <v>5769761.1617999999</v>
      </c>
      <c r="J102" s="2">
        <v>2811206.1623</v>
      </c>
      <c r="K102" s="2">
        <v>686152.92910000007</v>
      </c>
      <c r="Q102" s="169">
        <v>1896</v>
      </c>
      <c r="R102" s="35">
        <f t="shared" si="15"/>
        <v>44469</v>
      </c>
      <c r="S102" s="6">
        <f t="shared" si="16"/>
        <v>187988506.66569942</v>
      </c>
      <c r="T102" s="8">
        <f t="shared" si="17"/>
        <v>-3395978.0668002963</v>
      </c>
    </row>
    <row r="103" spans="1:20">
      <c r="A103" s="39">
        <v>44500</v>
      </c>
      <c r="B103" s="2">
        <v>347622026.31270027</v>
      </c>
      <c r="C103" s="2">
        <v>35098665.702400021</v>
      </c>
      <c r="D103" s="2">
        <v>6822853.080900006</v>
      </c>
      <c r="E103" s="2">
        <v>6199137.1784999976</v>
      </c>
      <c r="F103" s="2">
        <v>4476377.2995999968</v>
      </c>
      <c r="G103" s="2">
        <v>60165623.966499999</v>
      </c>
      <c r="H103" s="2">
        <v>27261446.577800013</v>
      </c>
      <c r="I103" s="2">
        <v>6532469.0355999991</v>
      </c>
      <c r="J103" s="2">
        <v>2939896.9654000001</v>
      </c>
      <c r="K103" s="2">
        <v>695434.22479999997</v>
      </c>
      <c r="Q103" s="169">
        <v>1931</v>
      </c>
      <c r="R103" s="35">
        <f t="shared" si="15"/>
        <v>44500</v>
      </c>
      <c r="S103" s="6">
        <f t="shared" si="16"/>
        <v>197430122.28120023</v>
      </c>
      <c r="T103" s="8">
        <f t="shared" si="17"/>
        <v>18654216.316500843</v>
      </c>
    </row>
    <row r="104" spans="1:20">
      <c r="A104" s="39">
        <v>44530</v>
      </c>
      <c r="B104" s="2">
        <v>346693802.75260055</v>
      </c>
      <c r="C104" s="2">
        <v>34396439.432800002</v>
      </c>
      <c r="D104" s="2">
        <v>6778015.3260999992</v>
      </c>
      <c r="E104" s="2">
        <v>6131128.3981999978</v>
      </c>
      <c r="F104" s="2">
        <v>4438310.6817999966</v>
      </c>
      <c r="G104" s="2">
        <v>59065419.572799906</v>
      </c>
      <c r="H104" s="2">
        <v>26194010.1796</v>
      </c>
      <c r="I104" s="2">
        <v>5913194.5033</v>
      </c>
      <c r="J104" s="2">
        <v>3488980.4917000001</v>
      </c>
      <c r="K104" s="2">
        <v>691456.52670000005</v>
      </c>
      <c r="Q104" s="169">
        <v>1971</v>
      </c>
      <c r="R104" s="35">
        <f t="shared" si="15"/>
        <v>44530</v>
      </c>
      <c r="S104" s="6">
        <f t="shared" si="16"/>
        <v>199596847.63960066</v>
      </c>
      <c r="T104" s="8">
        <f t="shared" si="17"/>
        <v>-928223.56009972095</v>
      </c>
    </row>
    <row r="105" spans="1:20">
      <c r="A105" s="39">
        <v>44561</v>
      </c>
      <c r="B105" s="2">
        <v>358153227.17509925</v>
      </c>
      <c r="C105" s="2">
        <v>36522597.550399996</v>
      </c>
      <c r="D105" s="2">
        <v>7294977.2591999983</v>
      </c>
      <c r="E105" s="2">
        <v>6670959.3012999967</v>
      </c>
      <c r="F105" s="2">
        <v>4899683.2918000035</v>
      </c>
      <c r="G105" s="2">
        <v>63428076.219899952</v>
      </c>
      <c r="H105" s="2">
        <v>28564114.493499991</v>
      </c>
      <c r="I105" s="2">
        <v>6554758.4844000014</v>
      </c>
      <c r="J105" s="2">
        <v>3499536.3656000001</v>
      </c>
      <c r="K105" s="2">
        <v>0</v>
      </c>
      <c r="Q105" s="169">
        <v>2000</v>
      </c>
      <c r="R105" s="35">
        <f t="shared" si="15"/>
        <v>44561</v>
      </c>
      <c r="S105" s="6">
        <f t="shared" si="16"/>
        <v>200718524.20899934</v>
      </c>
      <c r="T105" s="8">
        <f t="shared" si="17"/>
        <v>11459424.422498703</v>
      </c>
    </row>
    <row r="106" spans="1:20">
      <c r="A106" s="39">
        <v>44592</v>
      </c>
      <c r="B106" s="2">
        <v>345539330.56479692</v>
      </c>
      <c r="C106" s="2">
        <v>34085524.171000026</v>
      </c>
      <c r="D106" s="2">
        <v>6951126.6296999957</v>
      </c>
      <c r="E106" s="2">
        <v>6241989.0861999998</v>
      </c>
      <c r="F106" s="2">
        <v>4618364.0302000027</v>
      </c>
      <c r="G106" s="2">
        <v>62570130.229000002</v>
      </c>
      <c r="H106" s="2">
        <v>26950374.133700006</v>
      </c>
      <c r="I106" s="2">
        <v>6360996.2373000002</v>
      </c>
      <c r="J106" s="2">
        <v>3381541.8134999997</v>
      </c>
      <c r="K106" s="2">
        <v>0</v>
      </c>
      <c r="Q106" s="169">
        <v>2030</v>
      </c>
      <c r="R106" s="35">
        <f t="shared" si="15"/>
        <v>44592</v>
      </c>
      <c r="S106" s="6">
        <f t="shared" si="16"/>
        <v>194379284.2341969</v>
      </c>
      <c r="T106" s="8">
        <f t="shared" si="17"/>
        <v>-12613896.610302329</v>
      </c>
    </row>
    <row r="107" spans="1:20">
      <c r="A107" s="39">
        <v>44620</v>
      </c>
      <c r="B107" s="2">
        <v>341154749.45870137</v>
      </c>
      <c r="C107" s="2">
        <v>32543247.454500001</v>
      </c>
      <c r="D107" s="2">
        <v>6746194.7782000005</v>
      </c>
      <c r="E107" s="2">
        <v>6112423.5774999997</v>
      </c>
      <c r="F107" s="2">
        <v>4584414.5158000011</v>
      </c>
      <c r="G107" s="2">
        <v>60588966.23179999</v>
      </c>
      <c r="H107" s="2">
        <v>27231128.408300012</v>
      </c>
      <c r="I107" s="2">
        <v>6595112.5279000001</v>
      </c>
      <c r="J107" s="2">
        <v>3310386.7332000006</v>
      </c>
      <c r="K107" s="2">
        <v>0</v>
      </c>
      <c r="Q107" s="169">
        <v>2063</v>
      </c>
      <c r="R107" s="35">
        <f t="shared" si="15"/>
        <v>44620</v>
      </c>
      <c r="S107" s="6">
        <f t="shared" si="16"/>
        <v>193442875.23150134</v>
      </c>
      <c r="T107" s="8">
        <f t="shared" si="17"/>
        <v>-4384581.1060955524</v>
      </c>
    </row>
    <row r="108" spans="1:20">
      <c r="A108" s="39">
        <v>44651</v>
      </c>
      <c r="B108" s="2">
        <v>352970239.64230198</v>
      </c>
      <c r="C108" s="2">
        <v>34088445.616799988</v>
      </c>
      <c r="D108" s="2">
        <v>7471077.9566999888</v>
      </c>
      <c r="E108" s="2">
        <v>6252769.7891000006</v>
      </c>
      <c r="F108" s="2">
        <v>4773703.9004000034</v>
      </c>
      <c r="G108" s="2">
        <v>64385789.827199981</v>
      </c>
      <c r="H108" s="2">
        <v>29169571.955199994</v>
      </c>
      <c r="I108" s="2">
        <v>7609168.4370999988</v>
      </c>
      <c r="J108" s="2">
        <v>3284201.7088000006</v>
      </c>
      <c r="K108" s="2">
        <v>0</v>
      </c>
      <c r="Q108" s="169">
        <v>2111</v>
      </c>
      <c r="R108" s="35">
        <f t="shared" si="15"/>
        <v>44651</v>
      </c>
      <c r="S108" s="6">
        <f t="shared" si="16"/>
        <v>195935510.45100203</v>
      </c>
      <c r="T108" s="8">
        <f t="shared" si="17"/>
        <v>11815490.183600605</v>
      </c>
    </row>
    <row r="109" spans="1:20">
      <c r="A109" s="39">
        <v>44681</v>
      </c>
      <c r="B109" s="2">
        <v>336772880.5328002</v>
      </c>
      <c r="C109" s="2">
        <v>32851899.002099998</v>
      </c>
      <c r="D109" s="2">
        <v>7285023.8778999951</v>
      </c>
      <c r="E109" s="2">
        <v>5915372.8990999991</v>
      </c>
      <c r="F109" s="2">
        <v>4515569.3115999997</v>
      </c>
      <c r="G109" s="2">
        <v>60500488.583200008</v>
      </c>
      <c r="H109" s="2">
        <v>27523353.458400004</v>
      </c>
      <c r="I109" s="2">
        <v>5352113.9130000025</v>
      </c>
      <c r="J109" s="2">
        <v>3376652.7614000002</v>
      </c>
      <c r="K109" s="2">
        <v>0</v>
      </c>
      <c r="Q109" s="169">
        <v>2149</v>
      </c>
      <c r="R109" s="35">
        <f t="shared" si="15"/>
        <v>44681</v>
      </c>
      <c r="S109" s="6">
        <f t="shared" si="16"/>
        <v>189452406.72610018</v>
      </c>
      <c r="T109" s="8">
        <f t="shared" si="17"/>
        <v>-16197359.109501779</v>
      </c>
    </row>
    <row r="110" spans="1:20">
      <c r="A110" s="39">
        <v>44712</v>
      </c>
      <c r="B110" s="2">
        <v>344067280.79290068</v>
      </c>
      <c r="C110" s="2">
        <v>32443450.149299998</v>
      </c>
      <c r="D110" s="2">
        <v>7538913.9612000016</v>
      </c>
      <c r="E110" s="2">
        <v>6022463.8103999998</v>
      </c>
      <c r="F110" s="2">
        <v>4940199.3669000017</v>
      </c>
      <c r="G110" s="2">
        <v>60787640.392400049</v>
      </c>
      <c r="H110" s="2">
        <v>29276336.641700037</v>
      </c>
      <c r="I110" s="2">
        <v>5728499.6777999997</v>
      </c>
      <c r="J110" s="2">
        <v>3426652.2396000004</v>
      </c>
      <c r="K110" s="2">
        <v>0</v>
      </c>
      <c r="Q110" s="169">
        <v>2205</v>
      </c>
      <c r="R110" s="35">
        <f t="shared" si="15"/>
        <v>44712</v>
      </c>
      <c r="S110" s="6">
        <f t="shared" ref="S110:S115" si="18">B110-SUM(C110:K110)</f>
        <v>193903124.55360058</v>
      </c>
      <c r="T110" s="8">
        <f t="shared" si="17"/>
        <v>7294400.2601004839</v>
      </c>
    </row>
    <row r="111" spans="1:20">
      <c r="A111" s="39">
        <v>44742</v>
      </c>
      <c r="B111" s="2">
        <v>326266999.97319978</v>
      </c>
      <c r="C111" s="2">
        <v>30611631.066000007</v>
      </c>
      <c r="D111" s="2">
        <v>7243493.5028000018</v>
      </c>
      <c r="E111" s="2">
        <v>5841078.3500999985</v>
      </c>
      <c r="F111" s="2">
        <v>4773822.047600003</v>
      </c>
      <c r="G111" s="2">
        <v>58084360.432000041</v>
      </c>
      <c r="H111" s="2">
        <v>27227971.543599993</v>
      </c>
      <c r="I111" s="2">
        <v>5284271.3208999988</v>
      </c>
      <c r="J111" s="2">
        <v>3419706.1134000006</v>
      </c>
      <c r="K111" s="2">
        <v>0</v>
      </c>
      <c r="Q111" s="169">
        <v>2251</v>
      </c>
      <c r="R111" s="35">
        <f t="shared" si="15"/>
        <v>44742</v>
      </c>
      <c r="S111" s="6">
        <f t="shared" si="18"/>
        <v>183780665.59679973</v>
      </c>
      <c r="T111" s="8">
        <f t="shared" si="17"/>
        <v>-17800280.819700897</v>
      </c>
    </row>
    <row r="112" spans="1:20">
      <c r="A112" s="39">
        <v>44773</v>
      </c>
      <c r="B112" s="2">
        <v>341557140.23469925</v>
      </c>
      <c r="C112" s="2">
        <v>31806817.652800009</v>
      </c>
      <c r="D112" s="2">
        <v>7885913.2720000055</v>
      </c>
      <c r="E112" s="2">
        <v>6089459.2619000003</v>
      </c>
      <c r="F112" s="2">
        <v>5082089.2229000023</v>
      </c>
      <c r="G112" s="2">
        <v>60835869.732599989</v>
      </c>
      <c r="H112" s="2">
        <v>30164606.264599998</v>
      </c>
      <c r="I112" s="2">
        <v>5414984.8292999985</v>
      </c>
      <c r="J112" s="2">
        <v>3547158.1274999995</v>
      </c>
      <c r="K112" s="2">
        <v>0</v>
      </c>
      <c r="Q112" s="169">
        <v>2294</v>
      </c>
      <c r="R112" s="35">
        <f t="shared" si="15"/>
        <v>44773</v>
      </c>
      <c r="S112" s="6">
        <f t="shared" si="18"/>
        <v>190730241.87109926</v>
      </c>
      <c r="T112" s="8">
        <f t="shared" si="17"/>
        <v>15290140.261499465</v>
      </c>
    </row>
    <row r="113" spans="1:20">
      <c r="A113" s="39">
        <v>44804</v>
      </c>
      <c r="B113" s="2">
        <v>339006391.96210146</v>
      </c>
      <c r="C113" s="2">
        <v>31781993.358300019</v>
      </c>
      <c r="D113" s="2">
        <v>8025723.8490999909</v>
      </c>
      <c r="E113" s="2">
        <v>5905793.7196999993</v>
      </c>
      <c r="F113" s="2">
        <v>5071048.8416000046</v>
      </c>
      <c r="G113" s="2">
        <v>60011281.914499983</v>
      </c>
      <c r="H113" s="2">
        <v>30101249.011299994</v>
      </c>
      <c r="I113" s="2">
        <v>3672290.1537999995</v>
      </c>
      <c r="J113" s="2">
        <v>3697649.6718000001</v>
      </c>
      <c r="K113" s="2">
        <v>0</v>
      </c>
      <c r="Q113" s="169">
        <v>2353</v>
      </c>
      <c r="R113" s="35">
        <f t="shared" si="15"/>
        <v>44804</v>
      </c>
      <c r="S113" s="6">
        <f t="shared" si="18"/>
        <v>190739361.44200146</v>
      </c>
      <c r="T113" s="8">
        <f t="shared" si="17"/>
        <v>-2550748.2725977898</v>
      </c>
    </row>
    <row r="114" spans="1:20">
      <c r="A114" s="39">
        <v>44834</v>
      </c>
      <c r="B114" s="2">
        <v>322855370.86990482</v>
      </c>
      <c r="C114" s="2">
        <v>29758984.349900015</v>
      </c>
      <c r="D114" s="2">
        <v>7628071.6706000045</v>
      </c>
      <c r="E114" s="2">
        <v>5554533.7613000013</v>
      </c>
      <c r="F114" s="2">
        <v>4902800.1757999975</v>
      </c>
      <c r="G114" s="2">
        <v>56852936.086799979</v>
      </c>
      <c r="H114" s="2">
        <v>28003644.371999994</v>
      </c>
      <c r="I114" s="2">
        <v>3305758.0497999997</v>
      </c>
      <c r="J114" s="2">
        <v>3580243.4063999993</v>
      </c>
      <c r="K114" s="2">
        <v>0</v>
      </c>
      <c r="Q114" s="169">
        <v>2412</v>
      </c>
      <c r="R114" s="35">
        <f t="shared" si="15"/>
        <v>44834</v>
      </c>
      <c r="S114" s="6">
        <f t="shared" si="18"/>
        <v>183268398.99730483</v>
      </c>
      <c r="T114" s="8">
        <f t="shared" si="17"/>
        <v>-16151021.092196643</v>
      </c>
    </row>
    <row r="115" spans="1:20">
      <c r="A115" s="39">
        <v>44865</v>
      </c>
      <c r="B115" s="2">
        <v>347549677.73770219</v>
      </c>
      <c r="C115" s="2">
        <v>33582851.7993</v>
      </c>
      <c r="D115" s="2">
        <v>8799223.4944999926</v>
      </c>
      <c r="E115" s="2">
        <v>6240544.9769999981</v>
      </c>
      <c r="F115" s="2">
        <v>5600284.8755000066</v>
      </c>
      <c r="G115" s="2">
        <v>62758343.210000031</v>
      </c>
      <c r="H115" s="2">
        <v>32044908.543799978</v>
      </c>
      <c r="I115" s="2">
        <v>3530935.0668999995</v>
      </c>
      <c r="J115" s="2">
        <v>3509840.3369999994</v>
      </c>
      <c r="K115" s="2">
        <v>0</v>
      </c>
      <c r="Q115" s="169">
        <v>2480</v>
      </c>
      <c r="R115" s="35">
        <f t="shared" si="15"/>
        <v>44865</v>
      </c>
      <c r="S115" s="6">
        <f t="shared" si="18"/>
        <v>191482745.4337022</v>
      </c>
      <c r="T115" s="8">
        <f t="shared" si="17"/>
        <v>24694306.867797375</v>
      </c>
    </row>
    <row r="116" spans="1:20">
      <c r="A116" s="39">
        <v>44895</v>
      </c>
      <c r="B116" s="2">
        <v>364386871.26490241</v>
      </c>
      <c r="C116" s="2">
        <v>35526593.426600002</v>
      </c>
      <c r="D116" s="2">
        <v>9330311.1645</v>
      </c>
      <c r="E116" s="2">
        <v>6436631.5784000009</v>
      </c>
      <c r="F116" s="2">
        <v>5906413.8752000015</v>
      </c>
      <c r="G116" s="2">
        <v>67705839.567900017</v>
      </c>
      <c r="H116" s="2">
        <v>33434856.24849996</v>
      </c>
      <c r="I116" s="2">
        <v>3582957.4180999999</v>
      </c>
      <c r="J116" s="2">
        <v>3753551.556799999</v>
      </c>
      <c r="K116" s="2">
        <v>0</v>
      </c>
      <c r="Q116" s="169">
        <v>2541</v>
      </c>
      <c r="R116" s="35">
        <f t="shared" si="15"/>
        <v>44895</v>
      </c>
      <c r="S116" s="6">
        <f>B116-SUM(C116:K116)</f>
        <v>198709716.42890242</v>
      </c>
      <c r="T116" s="8">
        <f t="shared" si="17"/>
        <v>16837193.527200222</v>
      </c>
    </row>
    <row r="117" spans="1:20">
      <c r="A117" s="39">
        <v>44926</v>
      </c>
      <c r="B117" s="2">
        <v>353922756.08819973</v>
      </c>
      <c r="C117" s="2">
        <v>34339814.968099989</v>
      </c>
      <c r="D117" s="2">
        <v>9176842.9203000031</v>
      </c>
      <c r="E117" s="2">
        <v>6119811.4617999997</v>
      </c>
      <c r="F117" s="2">
        <v>5741683.9447999988</v>
      </c>
      <c r="G117" s="2">
        <v>65570773.236199945</v>
      </c>
      <c r="H117" s="2">
        <v>31896416.54060002</v>
      </c>
      <c r="I117" s="2">
        <v>3435820.1459999997</v>
      </c>
      <c r="J117" s="2">
        <v>3697083.3955999999</v>
      </c>
      <c r="K117" s="2">
        <v>0</v>
      </c>
      <c r="Q117" s="169">
        <v>2591</v>
      </c>
      <c r="R117" s="35">
        <f t="shared" si="15"/>
        <v>44926</v>
      </c>
      <c r="S117" s="6">
        <f>B117-SUM(C117:K117)</f>
        <v>193944509.47479978</v>
      </c>
      <c r="T117" s="8">
        <f t="shared" si="17"/>
        <v>-10464115.176702678</v>
      </c>
    </row>
    <row r="118" spans="1:20">
      <c r="A118" s="39">
        <v>44957</v>
      </c>
      <c r="B118" s="2">
        <v>373931759.90679932</v>
      </c>
      <c r="C118" s="2">
        <v>35223790.515799992</v>
      </c>
      <c r="D118" s="2">
        <v>9799671.0373999979</v>
      </c>
      <c r="E118" s="2">
        <v>6390332.9848000016</v>
      </c>
      <c r="F118" s="2">
        <v>6133870.8287000004</v>
      </c>
      <c r="G118" s="2">
        <v>70318863.370600075</v>
      </c>
      <c r="H118" s="2">
        <v>34962677.91550003</v>
      </c>
      <c r="I118" s="2">
        <v>3682968.5211000005</v>
      </c>
      <c r="J118" s="2">
        <v>3863578.709199999</v>
      </c>
      <c r="K118" s="2">
        <v>0</v>
      </c>
      <c r="Q118" s="169">
        <v>2615</v>
      </c>
      <c r="R118" s="35">
        <f t="shared" si="15"/>
        <v>44957</v>
      </c>
      <c r="S118" s="6">
        <f>B118-SUM(C118:K118)</f>
        <v>203556006.02369922</v>
      </c>
      <c r="T118" s="8">
        <f t="shared" si="17"/>
        <v>20009003.818599582</v>
      </c>
    </row>
    <row r="119" spans="1:20">
      <c r="A119" s="39">
        <v>44985</v>
      </c>
      <c r="B119" s="2">
        <v>371723613.58700055</v>
      </c>
      <c r="C119" s="2">
        <v>34499830.071600012</v>
      </c>
      <c r="D119" s="2">
        <v>9924228.4555999972</v>
      </c>
      <c r="E119" s="2">
        <v>6297710.8204999985</v>
      </c>
      <c r="F119" s="2">
        <v>6107679.932</v>
      </c>
      <c r="G119" s="2">
        <v>69040941.261700019</v>
      </c>
      <c r="H119" s="2">
        <v>34761215.565200016</v>
      </c>
      <c r="I119" s="2">
        <v>3662039.1215999988</v>
      </c>
      <c r="J119" s="2">
        <v>4051180.3505000002</v>
      </c>
      <c r="K119" s="2">
        <v>0</v>
      </c>
      <c r="Q119" s="169">
        <v>2671</v>
      </c>
      <c r="R119" s="35">
        <f t="shared" si="15"/>
        <v>44985</v>
      </c>
      <c r="S119" s="6">
        <f>B119-SUM(C119:K119)</f>
        <v>203378788.00830051</v>
      </c>
      <c r="T119" s="8">
        <f t="shared" si="17"/>
        <v>-2208146.3197987676</v>
      </c>
    </row>
    <row r="120" spans="1:20">
      <c r="A120" s="39">
        <v>45016</v>
      </c>
      <c r="B120" s="2">
        <v>377437155.72715604</v>
      </c>
      <c r="C120" s="2">
        <v>34700646.975600004</v>
      </c>
      <c r="D120" s="2">
        <v>10328106.832699995</v>
      </c>
      <c r="E120" s="2">
        <v>6041924.7536999993</v>
      </c>
      <c r="F120" s="2">
        <v>6115576.0480000032</v>
      </c>
      <c r="G120" s="2">
        <v>69871207.134199992</v>
      </c>
      <c r="H120" s="2">
        <v>32937773.649100006</v>
      </c>
      <c r="I120" s="2">
        <v>3753164.6192999999</v>
      </c>
      <c r="J120" s="2">
        <v>4175000.0652999994</v>
      </c>
      <c r="K120" s="2">
        <v>0</v>
      </c>
      <c r="L120" s="2">
        <v>4916176.1288000001</v>
      </c>
      <c r="M120" s="2">
        <v>0</v>
      </c>
      <c r="Q120" s="169">
        <v>2725</v>
      </c>
      <c r="R120" s="35">
        <f t="shared" si="15"/>
        <v>45016</v>
      </c>
      <c r="S120" s="6">
        <f t="shared" ref="S120:S130" si="19">B120-SUM(C120:M120)</f>
        <v>204597579.52045605</v>
      </c>
      <c r="T120" s="8">
        <f t="shared" si="17"/>
        <v>5713542.1401554942</v>
      </c>
    </row>
    <row r="121" spans="1:20">
      <c r="A121" s="39">
        <v>45046</v>
      </c>
      <c r="B121" s="2">
        <v>386893553.65000099</v>
      </c>
      <c r="C121" s="2">
        <v>35128681.334400021</v>
      </c>
      <c r="D121" s="2">
        <v>10428330.214400001</v>
      </c>
      <c r="E121" s="2">
        <v>5983728.8247000007</v>
      </c>
      <c r="F121" s="2">
        <v>6265963.1128000021</v>
      </c>
      <c r="G121" s="2">
        <v>71477403.663900048</v>
      </c>
      <c r="H121" s="2">
        <v>33414020.847699989</v>
      </c>
      <c r="I121" s="2">
        <v>4313697.4813999999</v>
      </c>
      <c r="J121" s="2">
        <v>4109349.6502</v>
      </c>
      <c r="K121" s="2">
        <v>0</v>
      </c>
      <c r="L121" s="2">
        <v>43324930.560000032</v>
      </c>
      <c r="M121" s="2">
        <v>22730350.710000001</v>
      </c>
      <c r="Q121" s="169">
        <v>2794</v>
      </c>
      <c r="R121" s="35">
        <f t="shared" si="15"/>
        <v>45046</v>
      </c>
      <c r="S121" s="6">
        <f t="shared" si="19"/>
        <v>149717097.25050086</v>
      </c>
      <c r="T121" s="8">
        <f t="shared" si="17"/>
        <v>9456397.9228449464</v>
      </c>
    </row>
    <row r="122" spans="1:20">
      <c r="A122" s="39">
        <v>45077</v>
      </c>
      <c r="B122" s="2">
        <v>388710819.24797338</v>
      </c>
      <c r="C122" s="2">
        <v>34335673.569280006</v>
      </c>
      <c r="D122" s="2">
        <v>10434048.5295</v>
      </c>
      <c r="E122" s="2">
        <v>5900091.8143000007</v>
      </c>
      <c r="F122" s="2">
        <v>6203738.3592500016</v>
      </c>
      <c r="G122" s="2">
        <v>70743274.660599947</v>
      </c>
      <c r="H122" s="2">
        <v>33231058.996100001</v>
      </c>
      <c r="I122" s="2">
        <v>4538221.6099999985</v>
      </c>
      <c r="J122" s="2">
        <v>3507188.2199999993</v>
      </c>
      <c r="K122" s="2">
        <v>0</v>
      </c>
      <c r="L122" s="2">
        <v>43844664.163999982</v>
      </c>
      <c r="M122" s="2">
        <v>23129952.479999997</v>
      </c>
      <c r="Q122" s="169">
        <v>2862</v>
      </c>
      <c r="R122" s="35">
        <f t="shared" si="15"/>
        <v>45077</v>
      </c>
      <c r="S122" s="6">
        <f t="shared" si="19"/>
        <v>152842906.84494346</v>
      </c>
      <c r="T122" s="8">
        <f t="shared" si="17"/>
        <v>1817265.597972393</v>
      </c>
    </row>
    <row r="123" spans="1:20">
      <c r="A123" s="39">
        <v>45107</v>
      </c>
      <c r="B123" s="2">
        <v>404996901.82560891</v>
      </c>
      <c r="C123" s="2">
        <v>36344937.642379999</v>
      </c>
      <c r="D123" s="2">
        <v>11264626.670099985</v>
      </c>
      <c r="E123" s="2">
        <v>6305323.5676100012</v>
      </c>
      <c r="F123" s="2">
        <v>6757860.1300599948</v>
      </c>
      <c r="G123" s="2">
        <v>75236029.679500043</v>
      </c>
      <c r="H123" s="2">
        <v>37543439.233700037</v>
      </c>
      <c r="I123" s="2">
        <v>4536151.8499999996</v>
      </c>
      <c r="J123" s="2">
        <v>2236824.84</v>
      </c>
      <c r="K123" s="2">
        <v>0</v>
      </c>
      <c r="L123" s="2">
        <v>46075736.066599973</v>
      </c>
      <c r="M123" s="2">
        <v>25235025.746799972</v>
      </c>
      <c r="Q123" s="169">
        <v>2918</v>
      </c>
      <c r="R123" s="35">
        <f t="shared" si="15"/>
        <v>45107</v>
      </c>
      <c r="S123" s="6">
        <f t="shared" si="19"/>
        <v>153460946.3988589</v>
      </c>
      <c r="T123" s="8">
        <f t="shared" si="17"/>
        <v>16286082.577635527</v>
      </c>
    </row>
    <row r="124" spans="1:20">
      <c r="A124" s="39">
        <v>45138</v>
      </c>
      <c r="B124" s="2">
        <v>427580424.28255558</v>
      </c>
      <c r="C124" s="2">
        <v>37215648.557199992</v>
      </c>
      <c r="D124" s="2">
        <v>11652587.911200004</v>
      </c>
      <c r="E124" s="2">
        <v>6526468.8409000002</v>
      </c>
      <c r="F124" s="2">
        <v>7061604.2287199963</v>
      </c>
      <c r="G124" s="2">
        <v>76526611.550379932</v>
      </c>
      <c r="H124" s="2">
        <v>39254350.647949994</v>
      </c>
      <c r="I124" s="2">
        <v>4676332.2000000011</v>
      </c>
      <c r="J124" s="2">
        <v>2295775.12</v>
      </c>
      <c r="K124" s="2">
        <v>0</v>
      </c>
      <c r="L124" s="2">
        <v>47907290.109999992</v>
      </c>
      <c r="M124" s="2">
        <v>26781441.305800058</v>
      </c>
      <c r="Q124" s="87">
        <v>3012</v>
      </c>
      <c r="R124" s="35">
        <f t="shared" si="15"/>
        <v>45138</v>
      </c>
      <c r="S124" s="6">
        <f t="shared" si="19"/>
        <v>167682313.81040564</v>
      </c>
      <c r="T124" s="8">
        <f t="shared" si="17"/>
        <v>22583522.456946671</v>
      </c>
    </row>
    <row r="125" spans="1:20">
      <c r="A125" s="39">
        <v>45169</v>
      </c>
      <c r="B125" s="2">
        <v>428724638.03000045</v>
      </c>
      <c r="C125" s="2">
        <v>37770920.070000023</v>
      </c>
      <c r="D125" s="2">
        <v>11974401.169999992</v>
      </c>
      <c r="E125" s="2">
        <v>6375940.6400000025</v>
      </c>
      <c r="F125" s="2">
        <v>7057518.1899999902</v>
      </c>
      <c r="G125" s="2">
        <v>77390258.050000027</v>
      </c>
      <c r="H125" s="2">
        <v>38482374.780000009</v>
      </c>
      <c r="I125" s="2">
        <v>6046406.5199999986</v>
      </c>
      <c r="J125" s="2">
        <v>2428312.65</v>
      </c>
      <c r="K125" s="2">
        <v>0</v>
      </c>
      <c r="L125" s="2">
        <v>48061312.200000003</v>
      </c>
      <c r="M125" s="2">
        <v>26891452</v>
      </c>
      <c r="Q125" s="87">
        <v>3176</v>
      </c>
      <c r="R125" s="35">
        <f t="shared" si="15"/>
        <v>45169</v>
      </c>
      <c r="S125" s="6">
        <f t="shared" si="19"/>
        <v>166245741.76000041</v>
      </c>
      <c r="T125" s="8">
        <f t="shared" si="17"/>
        <v>1144213.7474448681</v>
      </c>
    </row>
    <row r="126" spans="1:20">
      <c r="A126" s="39">
        <v>45199</v>
      </c>
      <c r="B126" s="2">
        <v>435928196.6099968</v>
      </c>
      <c r="C126" s="2">
        <v>41740874.549999945</v>
      </c>
      <c r="D126" s="2">
        <v>9648617.2999999877</v>
      </c>
      <c r="E126" s="2">
        <v>7190673.8800000018</v>
      </c>
      <c r="F126" s="2">
        <v>6471147.8499999996</v>
      </c>
      <c r="G126" s="2">
        <v>80396726.699999943</v>
      </c>
      <c r="H126" s="2">
        <v>39061913.659999967</v>
      </c>
      <c r="I126" s="2">
        <v>6313345.580000001</v>
      </c>
      <c r="J126" s="2">
        <v>3361437.7400000007</v>
      </c>
      <c r="K126" s="2">
        <v>0</v>
      </c>
      <c r="L126" s="2">
        <v>46330295.780000038</v>
      </c>
      <c r="M126" s="2">
        <v>26503060.570000008</v>
      </c>
      <c r="Q126" s="169">
        <v>3383</v>
      </c>
      <c r="R126" s="35">
        <f t="shared" si="15"/>
        <v>45199</v>
      </c>
      <c r="S126" s="6">
        <f t="shared" si="19"/>
        <v>168910102.9999969</v>
      </c>
      <c r="T126" s="8">
        <f t="shared" si="17"/>
        <v>7203558.5799963474</v>
      </c>
    </row>
    <row r="127" spans="1:20">
      <c r="A127" s="39">
        <v>45230</v>
      </c>
      <c r="B127" s="2">
        <v>421286192.38000196</v>
      </c>
      <c r="C127" s="2">
        <v>41136228.170000017</v>
      </c>
      <c r="D127" s="2">
        <v>9348095.5999999885</v>
      </c>
      <c r="E127" s="2">
        <v>7153869.1800000006</v>
      </c>
      <c r="F127" s="2">
        <v>6214725.3800000101</v>
      </c>
      <c r="G127" s="2">
        <v>78918452.010000095</v>
      </c>
      <c r="H127" s="2">
        <v>36401077.849999934</v>
      </c>
      <c r="I127" s="2">
        <v>6316274.0300000003</v>
      </c>
      <c r="J127" s="2">
        <v>3612415.95</v>
      </c>
      <c r="K127" s="2">
        <v>0</v>
      </c>
      <c r="L127" s="2">
        <v>43337091.869999953</v>
      </c>
      <c r="M127" s="2">
        <v>24723457.399999984</v>
      </c>
      <c r="Q127" s="87">
        <v>3396</v>
      </c>
      <c r="R127" s="35">
        <f t="shared" ref="R127:R134" si="20">A127</f>
        <v>45230</v>
      </c>
      <c r="S127" s="6">
        <f t="shared" si="19"/>
        <v>164124504.94000202</v>
      </c>
      <c r="T127" s="8">
        <f t="shared" si="17"/>
        <v>-14642004.229994833</v>
      </c>
    </row>
    <row r="128" spans="1:20">
      <c r="A128" s="39">
        <v>45260</v>
      </c>
      <c r="B128" s="2">
        <v>448857504.45000088</v>
      </c>
      <c r="C128" s="2">
        <v>43776126.620000012</v>
      </c>
      <c r="D128" s="2">
        <v>9396569.2199999895</v>
      </c>
      <c r="E128" s="2">
        <v>7775526.2799999891</v>
      </c>
      <c r="F128" s="2">
        <v>6383999.3000000063</v>
      </c>
      <c r="G128" s="2">
        <v>82357917.73999995</v>
      </c>
      <c r="H128" s="2">
        <v>39040345.330000013</v>
      </c>
      <c r="I128" s="2">
        <v>6825602.8100000005</v>
      </c>
      <c r="J128" s="2">
        <v>3917446.8600000003</v>
      </c>
      <c r="K128" s="2">
        <v>0</v>
      </c>
      <c r="L128" s="2">
        <v>45115242.080000162</v>
      </c>
      <c r="M128" s="2">
        <v>26432958.340000149</v>
      </c>
      <c r="Q128" s="87">
        <v>3436</v>
      </c>
      <c r="R128" s="35">
        <f t="shared" si="20"/>
        <v>45260</v>
      </c>
      <c r="S128" s="6">
        <f t="shared" si="19"/>
        <v>177835769.8700006</v>
      </c>
      <c r="T128" s="8">
        <f t="shared" si="17"/>
        <v>27571312.06999892</v>
      </c>
    </row>
    <row r="129" spans="1:20">
      <c r="A129" s="39">
        <v>45291</v>
      </c>
      <c r="B129" s="2">
        <v>456449960.29999816</v>
      </c>
      <c r="C129" s="2">
        <v>45229256.389999934</v>
      </c>
      <c r="D129" s="2">
        <v>9473267.2499999925</v>
      </c>
      <c r="E129" s="2">
        <v>0</v>
      </c>
      <c r="F129" s="2">
        <v>0</v>
      </c>
      <c r="G129" s="2">
        <v>83262298.070000067</v>
      </c>
      <c r="H129" s="2">
        <v>57320367.109999798</v>
      </c>
      <c r="I129" s="2">
        <v>7324957.8599999994</v>
      </c>
      <c r="J129" s="2">
        <v>4125274.2700000009</v>
      </c>
      <c r="K129" s="2">
        <v>0</v>
      </c>
      <c r="L129" s="2">
        <v>45227128.889999948</v>
      </c>
      <c r="M129" s="2">
        <v>26156422.390000012</v>
      </c>
      <c r="Q129" s="87">
        <v>3449</v>
      </c>
      <c r="R129" s="35">
        <f t="shared" si="20"/>
        <v>45291</v>
      </c>
      <c r="S129" s="6">
        <f t="shared" si="19"/>
        <v>178330988.06999844</v>
      </c>
      <c r="T129" s="8">
        <f t="shared" si="17"/>
        <v>7592455.849997282</v>
      </c>
    </row>
    <row r="130" spans="1:20">
      <c r="A130" s="39">
        <v>45322</v>
      </c>
      <c r="B130" s="2">
        <v>458868942.57000238</v>
      </c>
      <c r="C130" s="2">
        <v>45903200.540000081</v>
      </c>
      <c r="D130" s="2">
        <v>9617850.3300000094</v>
      </c>
      <c r="E130" s="2">
        <v>0</v>
      </c>
      <c r="F130" s="2">
        <v>0</v>
      </c>
      <c r="G130" s="2">
        <v>84107967.489999935</v>
      </c>
      <c r="H130" s="2">
        <v>56643127.639999911</v>
      </c>
      <c r="I130" s="2">
        <v>6792340.4299999988</v>
      </c>
      <c r="J130" s="2">
        <v>4041007.1099999985</v>
      </c>
      <c r="K130" s="2">
        <v>0</v>
      </c>
      <c r="L130" s="2">
        <v>45344688.240000054</v>
      </c>
      <c r="M130" s="2">
        <v>26582530.29999999</v>
      </c>
      <c r="Q130" s="87">
        <v>3460</v>
      </c>
      <c r="R130" s="35">
        <f t="shared" si="20"/>
        <v>45322</v>
      </c>
      <c r="S130" s="6">
        <f t="shared" si="19"/>
        <v>179836230.49000239</v>
      </c>
      <c r="T130" s="8">
        <f t="shared" si="17"/>
        <v>2418982.2700042129</v>
      </c>
    </row>
    <row r="131" spans="1:20">
      <c r="A131" s="39">
        <v>45351</v>
      </c>
      <c r="B131" s="2">
        <v>464325660.93999684</v>
      </c>
      <c r="C131" s="2">
        <v>46409165.550000027</v>
      </c>
      <c r="D131" s="2">
        <v>9668344.5399999898</v>
      </c>
      <c r="E131" s="2">
        <v>0</v>
      </c>
      <c r="F131" s="2">
        <v>0</v>
      </c>
      <c r="G131" s="2">
        <v>86263825.450000167</v>
      </c>
      <c r="H131" s="2">
        <v>58415266.079999901</v>
      </c>
      <c r="I131" s="2">
        <v>7351907.540000001</v>
      </c>
      <c r="J131" s="2">
        <v>4610515.7</v>
      </c>
      <c r="K131" s="2">
        <v>0</v>
      </c>
      <c r="L131" s="2">
        <v>46260712.369999997</v>
      </c>
      <c r="M131" s="2">
        <v>27762910.579999905</v>
      </c>
      <c r="N131" s="2">
        <v>36041.300000000003</v>
      </c>
      <c r="O131" s="2">
        <v>54865.759999999995</v>
      </c>
      <c r="Q131" s="87">
        <v>3487</v>
      </c>
      <c r="R131" s="35">
        <f t="shared" si="20"/>
        <v>45351</v>
      </c>
      <c r="S131" s="6">
        <f>B131-SUM(C131:O131)</f>
        <v>177492106.06999683</v>
      </c>
      <c r="T131" s="8">
        <f t="shared" si="17"/>
        <v>5456718.3699944615</v>
      </c>
    </row>
    <row r="132" spans="1:20">
      <c r="A132" s="39">
        <v>45382</v>
      </c>
      <c r="B132" s="2">
        <v>478641629.0699991</v>
      </c>
      <c r="C132" s="2">
        <v>79084594.710000068</v>
      </c>
      <c r="D132" s="2">
        <v>9829832.5000000037</v>
      </c>
      <c r="E132" s="2">
        <v>0</v>
      </c>
      <c r="F132" s="2">
        <v>0</v>
      </c>
      <c r="G132" s="2">
        <v>59419365.389999956</v>
      </c>
      <c r="H132" s="2">
        <v>48090546.810000055</v>
      </c>
      <c r="I132" s="2">
        <v>7740863.5599999987</v>
      </c>
      <c r="J132" s="2">
        <v>4811182.6800000006</v>
      </c>
      <c r="K132" s="2">
        <v>0</v>
      </c>
      <c r="L132" s="2">
        <v>32845058.429999992</v>
      </c>
      <c r="M132" s="2">
        <v>28589057.330000032</v>
      </c>
      <c r="N132" s="2">
        <v>24265322.979999971</v>
      </c>
      <c r="O132" s="2">
        <v>22655849.039999951</v>
      </c>
      <c r="Q132" s="87">
        <v>3547</v>
      </c>
      <c r="R132" s="35">
        <f t="shared" si="20"/>
        <v>45382</v>
      </c>
      <c r="S132" s="6">
        <f>B132-SUM(C132:O132)</f>
        <v>161309955.63999903</v>
      </c>
      <c r="T132" s="8">
        <f t="shared" si="17"/>
        <v>14315968.13000226</v>
      </c>
    </row>
    <row r="133" spans="1:20">
      <c r="A133" s="39">
        <v>45412</v>
      </c>
      <c r="B133" s="2">
        <v>465094699.28999972</v>
      </c>
      <c r="C133" s="2">
        <v>76012022.580000103</v>
      </c>
      <c r="D133" s="2">
        <v>8868508.7400000095</v>
      </c>
      <c r="E133" s="2">
        <v>0</v>
      </c>
      <c r="F133" s="2">
        <v>0</v>
      </c>
      <c r="G133" s="2">
        <v>57397883.529999964</v>
      </c>
      <c r="H133" s="2">
        <v>44783997.429999918</v>
      </c>
      <c r="I133" s="2">
        <v>7425055.5399999991</v>
      </c>
      <c r="J133" s="2">
        <v>4535913.2300000004</v>
      </c>
      <c r="K133" s="2">
        <v>0</v>
      </c>
      <c r="L133" s="2">
        <v>30564451.670000043</v>
      </c>
      <c r="M133" s="2">
        <v>27943821.780000053</v>
      </c>
      <c r="N133" s="2">
        <v>25571527.789999999</v>
      </c>
      <c r="O133" s="2">
        <v>27225884.76000002</v>
      </c>
      <c r="Q133" s="87">
        <v>3589</v>
      </c>
      <c r="R133" s="35">
        <f t="shared" si="20"/>
        <v>45412</v>
      </c>
      <c r="S133" s="6">
        <f>B133-SUM(C133:O133)</f>
        <v>154765632.23999965</v>
      </c>
      <c r="T133" s="8">
        <f t="shared" si="17"/>
        <v>-13546929.779999375</v>
      </c>
    </row>
    <row r="134" spans="1:20">
      <c r="A134" s="39">
        <v>45443</v>
      </c>
      <c r="B134" s="2">
        <v>477069683.40999746</v>
      </c>
      <c r="C134" s="2">
        <v>78584185.740000084</v>
      </c>
      <c r="D134" s="2">
        <v>7373738.7800000105</v>
      </c>
      <c r="E134" s="2">
        <v>0</v>
      </c>
      <c r="F134" s="2">
        <v>0</v>
      </c>
      <c r="G134" s="2">
        <v>57868277.189999908</v>
      </c>
      <c r="H134" s="2">
        <v>46532369.560000055</v>
      </c>
      <c r="I134" s="2">
        <v>8415344.2599999979</v>
      </c>
      <c r="J134" s="2">
        <v>6012198.8599999994</v>
      </c>
      <c r="K134" s="2">
        <v>0</v>
      </c>
      <c r="L134" s="2">
        <v>31126855.679999962</v>
      </c>
      <c r="M134" s="2">
        <v>31818407.96000002</v>
      </c>
      <c r="N134" s="2">
        <v>27520494.299999978</v>
      </c>
      <c r="O134" s="2">
        <v>30589579.469999984</v>
      </c>
      <c r="Q134" s="87">
        <v>3631</v>
      </c>
      <c r="R134" s="35">
        <f t="shared" si="20"/>
        <v>45443</v>
      </c>
      <c r="S134" s="6">
        <f>B134-SUM(C134:O134)</f>
        <v>151228231.60999751</v>
      </c>
      <c r="T134" s="8">
        <f t="shared" si="17"/>
        <v>11974984.11999774</v>
      </c>
    </row>
    <row r="135" spans="1:20">
      <c r="A135" s="39">
        <v>45473</v>
      </c>
      <c r="B135" s="2">
        <v>487590808.20000327</v>
      </c>
      <c r="C135" s="2">
        <v>79840978.14000006</v>
      </c>
      <c r="D135" s="2">
        <v>7117656.3299999973</v>
      </c>
      <c r="E135" s="2">
        <v>0</v>
      </c>
      <c r="F135" s="2">
        <v>0</v>
      </c>
      <c r="G135" s="2">
        <v>57241119.350000061</v>
      </c>
      <c r="H135" s="2">
        <v>45192805.590000182</v>
      </c>
      <c r="I135" s="2">
        <v>8539723.3500000015</v>
      </c>
      <c r="J135" s="2">
        <v>5641823.6599999992</v>
      </c>
      <c r="K135" s="2">
        <v>0</v>
      </c>
      <c r="L135" s="2">
        <v>31487659.860000025</v>
      </c>
      <c r="M135" s="2">
        <v>33024999.360000085</v>
      </c>
      <c r="N135" s="2">
        <v>28226581.099999979</v>
      </c>
      <c r="O135" s="2">
        <v>32127656.429999843</v>
      </c>
      <c r="P135" s="2">
        <v>29464.48</v>
      </c>
      <c r="Q135" s="87">
        <v>3655</v>
      </c>
      <c r="R135" s="35">
        <f t="shared" ref="R135:R146" si="21">A135</f>
        <v>45473</v>
      </c>
      <c r="S135" s="6">
        <f>B135-SUM(C135:P135)</f>
        <v>159120340.55000305</v>
      </c>
      <c r="T135" s="8">
        <f t="shared" si="17"/>
        <v>10521124.790005803</v>
      </c>
    </row>
    <row r="136" spans="1:20">
      <c r="A136" s="39">
        <v>45504</v>
      </c>
      <c r="B136" s="2">
        <v>505832368.46000272</v>
      </c>
      <c r="C136" s="2">
        <v>86564184.479999721</v>
      </c>
      <c r="D136" s="2">
        <v>6737629.6099999966</v>
      </c>
      <c r="E136" s="2">
        <v>0</v>
      </c>
      <c r="F136" s="2">
        <v>0</v>
      </c>
      <c r="G136" s="2">
        <v>54474889.640000038</v>
      </c>
      <c r="H136" s="2">
        <v>47654916.320000008</v>
      </c>
      <c r="I136" s="2">
        <v>8828331.3099999968</v>
      </c>
      <c r="J136" s="2">
        <v>5820031.3700000001</v>
      </c>
      <c r="K136" s="2">
        <v>0</v>
      </c>
      <c r="L136" s="2">
        <v>32375982.759999942</v>
      </c>
      <c r="M136" s="2">
        <v>35327522.340000018</v>
      </c>
      <c r="N136" s="2">
        <v>31684495.429999996</v>
      </c>
      <c r="O136" s="2">
        <v>36996747.620000318</v>
      </c>
      <c r="P136" s="2">
        <v>2317925.39</v>
      </c>
      <c r="Q136" s="87">
        <v>3715</v>
      </c>
      <c r="R136" s="35">
        <f t="shared" si="21"/>
        <v>45504</v>
      </c>
      <c r="S136" s="6">
        <f>B136-SUM(C136:P136)</f>
        <v>157049712.19000268</v>
      </c>
      <c r="T136" s="8">
        <f t="shared" si="17"/>
        <v>18241560.259999454</v>
      </c>
    </row>
    <row r="137" spans="1:20">
      <c r="A137" s="39">
        <v>45535</v>
      </c>
      <c r="B137" s="2">
        <v>514125119.14999801</v>
      </c>
      <c r="C137" s="2">
        <v>91126650.049999774</v>
      </c>
      <c r="D137" s="2">
        <v>6563194.950000002</v>
      </c>
      <c r="E137" s="2">
        <v>0</v>
      </c>
      <c r="F137" s="2">
        <v>0</v>
      </c>
      <c r="G137" s="2">
        <v>55428638.970000029</v>
      </c>
      <c r="H137" s="2">
        <v>46187195.060000055</v>
      </c>
      <c r="I137" s="2">
        <v>9052464.6199999955</v>
      </c>
      <c r="J137" s="2">
        <v>5903023.5999999996</v>
      </c>
      <c r="K137" s="2">
        <v>0</v>
      </c>
      <c r="L137" s="2">
        <v>32012622.370000042</v>
      </c>
      <c r="M137" s="2">
        <v>36157936.709999919</v>
      </c>
      <c r="N137" s="2">
        <v>32550110.930000044</v>
      </c>
      <c r="O137" s="2">
        <v>39866325.299999915</v>
      </c>
      <c r="P137" s="2">
        <v>2681948.04</v>
      </c>
      <c r="Q137" s="87">
        <v>3776</v>
      </c>
      <c r="R137" s="35">
        <f t="shared" si="21"/>
        <v>45535</v>
      </c>
      <c r="S137" s="6">
        <f>B137-SUM(C137:P137)+3179677.53</f>
        <v>159774686.07999822</v>
      </c>
      <c r="T137" s="8">
        <f t="shared" si="17"/>
        <v>8292750.6899952888</v>
      </c>
    </row>
    <row r="138" spans="1:20">
      <c r="A138" s="39">
        <v>45565</v>
      </c>
      <c r="B138" s="2">
        <v>523397565.69999772</v>
      </c>
      <c r="C138" s="2">
        <v>92284606.9799999</v>
      </c>
      <c r="D138" s="2">
        <v>5952869.1899999985</v>
      </c>
      <c r="E138" s="2">
        <v>0</v>
      </c>
      <c r="F138" s="2">
        <v>0</v>
      </c>
      <c r="G138" s="2">
        <v>55023974.840000033</v>
      </c>
      <c r="H138" s="2">
        <v>46674776.869999975</v>
      </c>
      <c r="I138" s="2">
        <v>9236001.9100000039</v>
      </c>
      <c r="J138" s="2">
        <v>6075046.830000001</v>
      </c>
      <c r="K138" s="2">
        <v>0</v>
      </c>
      <c r="L138" s="2">
        <v>32263688.590000011</v>
      </c>
      <c r="M138" s="2">
        <v>36562737.720000073</v>
      </c>
      <c r="N138" s="2">
        <v>33530404.009999935</v>
      </c>
      <c r="O138" s="2">
        <v>43503095.510000095</v>
      </c>
      <c r="P138" s="2">
        <v>2713091.7499999991</v>
      </c>
      <c r="Q138" s="87">
        <v>3812</v>
      </c>
      <c r="R138" s="35">
        <f t="shared" si="21"/>
        <v>45565</v>
      </c>
      <c r="S138" s="6">
        <f t="shared" ref="S138:S143" si="22">B138-SUM(C138:P138)</f>
        <v>159577271.49999768</v>
      </c>
      <c r="T138" s="8">
        <f t="shared" si="17"/>
        <v>9272446.5499997139</v>
      </c>
    </row>
    <row r="139" spans="1:20">
      <c r="A139" s="39">
        <v>45596</v>
      </c>
      <c r="B139" s="2">
        <v>517810108.97999859</v>
      </c>
      <c r="C139" s="2">
        <v>90519051.519999951</v>
      </c>
      <c r="D139" s="2">
        <v>5045464.0100000007</v>
      </c>
      <c r="E139" s="2">
        <v>0</v>
      </c>
      <c r="F139" s="2">
        <v>0</v>
      </c>
      <c r="G139" s="2">
        <v>53135864.88000001</v>
      </c>
      <c r="H139" s="2">
        <v>45511151.109999985</v>
      </c>
      <c r="I139" s="2">
        <v>9005409.8799999971</v>
      </c>
      <c r="J139" s="2">
        <v>5935099.1099999994</v>
      </c>
      <c r="K139" s="2">
        <v>0</v>
      </c>
      <c r="L139" s="2">
        <v>31599746.700000085</v>
      </c>
      <c r="M139" s="2">
        <v>36248988.210000023</v>
      </c>
      <c r="N139" s="2">
        <v>33323824.400000069</v>
      </c>
      <c r="O139" s="2">
        <v>47999436.739999801</v>
      </c>
      <c r="P139" s="2">
        <v>3266172.56</v>
      </c>
      <c r="Q139" s="87">
        <v>3865</v>
      </c>
      <c r="R139" s="35">
        <f t="shared" si="21"/>
        <v>45596</v>
      </c>
      <c r="S139" s="6">
        <f t="shared" si="22"/>
        <v>156219899.85999864</v>
      </c>
      <c r="T139" s="8">
        <f t="shared" si="17"/>
        <v>-5587456.7199991345</v>
      </c>
    </row>
    <row r="140" spans="1:20">
      <c r="A140" s="39">
        <v>45626</v>
      </c>
      <c r="B140" s="2">
        <v>552412994.24000275</v>
      </c>
      <c r="C140" s="2">
        <v>97431175.36999996</v>
      </c>
      <c r="D140" s="2">
        <v>4974262.1500000004</v>
      </c>
      <c r="E140" s="2">
        <v>0</v>
      </c>
      <c r="F140" s="2">
        <v>0</v>
      </c>
      <c r="G140" s="2">
        <v>54922047.349999905</v>
      </c>
      <c r="H140" s="2">
        <v>49340389.990000024</v>
      </c>
      <c r="I140" s="2">
        <v>9651722.1300000045</v>
      </c>
      <c r="J140" s="2">
        <v>6342224.54</v>
      </c>
      <c r="K140" s="2">
        <v>0</v>
      </c>
      <c r="L140" s="2">
        <v>33347589.469999984</v>
      </c>
      <c r="M140" s="2">
        <v>38921840.780000061</v>
      </c>
      <c r="N140" s="2">
        <v>35279022.50000003</v>
      </c>
      <c r="O140" s="2">
        <v>51626263.440000102</v>
      </c>
      <c r="P140" s="2">
        <v>4487794.9899999984</v>
      </c>
      <c r="Q140" s="87">
        <v>3926</v>
      </c>
      <c r="R140" s="35">
        <f t="shared" si="21"/>
        <v>45626</v>
      </c>
      <c r="S140" s="6">
        <f t="shared" si="22"/>
        <v>166088661.53000265</v>
      </c>
      <c r="T140" s="8">
        <f t="shared" si="17"/>
        <v>34602885.260004163</v>
      </c>
    </row>
    <row r="141" spans="1:20">
      <c r="A141" s="39">
        <v>45657</v>
      </c>
      <c r="B141" s="2">
        <f>567263327.8+3183213.85</f>
        <v>570446541.64999998</v>
      </c>
      <c r="C141" s="2">
        <v>93640490.949999884</v>
      </c>
      <c r="D141" s="2">
        <v>4504343.3099999987</v>
      </c>
      <c r="E141" s="2">
        <v>0</v>
      </c>
      <c r="F141" s="2">
        <v>0</v>
      </c>
      <c r="G141" s="2">
        <v>52736071.890000075</v>
      </c>
      <c r="H141" s="2">
        <v>44974757.660000108</v>
      </c>
      <c r="I141" s="2">
        <v>9417489.4200000037</v>
      </c>
      <c r="J141" s="2">
        <v>6434801.4299999997</v>
      </c>
      <c r="K141" s="2">
        <v>0</v>
      </c>
      <c r="L141" s="2">
        <v>31969266.979999974</v>
      </c>
      <c r="M141" s="2">
        <v>38644823.600000009</v>
      </c>
      <c r="N141" s="2">
        <v>35223256.819999933</v>
      </c>
      <c r="O141" s="2">
        <v>50411417.899999931</v>
      </c>
      <c r="P141" s="2">
        <v>5456848.3300000001</v>
      </c>
      <c r="Q141" s="87">
        <v>4181</v>
      </c>
      <c r="R141" s="35">
        <f t="shared" si="21"/>
        <v>45657</v>
      </c>
      <c r="S141" s="6">
        <f t="shared" si="22"/>
        <v>197032973.36000001</v>
      </c>
      <c r="T141" s="8">
        <f t="shared" si="17"/>
        <v>18033547.409997225</v>
      </c>
    </row>
    <row r="142" spans="1:20">
      <c r="A142" s="39">
        <v>45688</v>
      </c>
      <c r="B142" s="2">
        <v>581462159.17999864</v>
      </c>
      <c r="C142" s="6">
        <v>96991670.240000129</v>
      </c>
      <c r="D142" s="6">
        <v>4470825.1800000025</v>
      </c>
      <c r="E142" s="6">
        <v>0</v>
      </c>
      <c r="F142" s="6">
        <v>0</v>
      </c>
      <c r="G142" s="6">
        <v>52817992.639999904</v>
      </c>
      <c r="H142" s="6">
        <v>46406428.53999994</v>
      </c>
      <c r="I142" s="6">
        <v>19955359.359999985</v>
      </c>
      <c r="J142" s="6">
        <v>15564676.190000001</v>
      </c>
      <c r="K142" s="6">
        <v>0</v>
      </c>
      <c r="L142" s="6">
        <v>32299280.170000035</v>
      </c>
      <c r="M142" s="6">
        <v>41071176.080000125</v>
      </c>
      <c r="N142" s="6">
        <v>37538125.889999934</v>
      </c>
      <c r="O142" s="6">
        <v>53405862.029999867</v>
      </c>
      <c r="P142" s="6">
        <v>6920502.580000001</v>
      </c>
      <c r="Q142" s="87">
        <v>4266</v>
      </c>
      <c r="R142" s="35">
        <f t="shared" si="21"/>
        <v>45688</v>
      </c>
      <c r="S142" s="6">
        <f t="shared" si="22"/>
        <v>174020260.27999878</v>
      </c>
      <c r="T142" s="8">
        <f t="shared" si="17"/>
        <v>11015617.52999866</v>
      </c>
    </row>
    <row r="143" spans="1:20">
      <c r="A143" s="39">
        <v>45716</v>
      </c>
      <c r="B143" s="2">
        <v>592309348.5899986</v>
      </c>
      <c r="C143" s="6">
        <v>90266727.309999809</v>
      </c>
      <c r="D143" s="6">
        <v>4194641.5900000008</v>
      </c>
      <c r="E143" s="6">
        <v>0</v>
      </c>
      <c r="F143" s="6">
        <v>0</v>
      </c>
      <c r="G143" s="6">
        <v>55447214.520000108</v>
      </c>
      <c r="H143" s="6">
        <v>40375220.350000106</v>
      </c>
      <c r="I143" s="6">
        <v>20915838.260000005</v>
      </c>
      <c r="J143" s="6">
        <v>15904579.710000003</v>
      </c>
      <c r="K143" s="6">
        <v>0</v>
      </c>
      <c r="L143" s="6">
        <v>35446155.500000015</v>
      </c>
      <c r="M143" s="6">
        <v>33702557.839999996</v>
      </c>
      <c r="N143" s="6">
        <v>37931820.550000004</v>
      </c>
      <c r="O143" s="6">
        <v>68993521.960000083</v>
      </c>
      <c r="P143" s="6">
        <v>10404682.160000009</v>
      </c>
      <c r="Q143" s="87">
        <v>4354</v>
      </c>
      <c r="R143" s="35">
        <f t="shared" si="21"/>
        <v>45716</v>
      </c>
      <c r="S143" s="6">
        <f t="shared" si="22"/>
        <v>178726388.83999842</v>
      </c>
      <c r="T143" s="8">
        <f t="shared" si="17"/>
        <v>10847189.409999967</v>
      </c>
    </row>
    <row r="144" spans="1:20">
      <c r="A144" s="39">
        <v>45747</v>
      </c>
      <c r="B144" s="2">
        <v>578093762.76000023</v>
      </c>
      <c r="C144" s="6">
        <v>96160796.78000012</v>
      </c>
      <c r="D144" s="6">
        <v>4010913.3399999989</v>
      </c>
      <c r="E144" s="6">
        <v>0</v>
      </c>
      <c r="F144" s="6">
        <v>0</v>
      </c>
      <c r="G144" s="6">
        <v>42352947.769999996</v>
      </c>
      <c r="H144" s="6">
        <v>33114930.330000028</v>
      </c>
      <c r="I144" s="6">
        <v>20373247.450000014</v>
      </c>
      <c r="J144" s="6">
        <v>18582474.310000006</v>
      </c>
      <c r="K144" s="6">
        <v>0</v>
      </c>
      <c r="L144" s="6">
        <v>31146481.889999997</v>
      </c>
      <c r="M144" s="6">
        <v>31696727.510000054</v>
      </c>
      <c r="N144" s="6">
        <v>39837241.259999879</v>
      </c>
      <c r="O144" s="6">
        <v>78872485.279999807</v>
      </c>
      <c r="P144" s="6">
        <v>11399619.65</v>
      </c>
      <c r="Q144" s="87">
        <v>4384</v>
      </c>
      <c r="R144" s="35">
        <f t="shared" si="21"/>
        <v>45747</v>
      </c>
      <c r="S144" s="6">
        <f t="shared" ref="S144" si="23">B144-SUM(C144:P144)</f>
        <v>170545897.19000036</v>
      </c>
      <c r="T144" s="8">
        <f t="shared" ref="T144" si="24">B144-B143</f>
        <v>-14215585.829998374</v>
      </c>
    </row>
    <row r="145" spans="1:20">
      <c r="A145" s="39">
        <v>45777</v>
      </c>
      <c r="B145" s="2">
        <v>580003198.49000347</v>
      </c>
      <c r="C145" s="6">
        <v>95081144.600000024</v>
      </c>
      <c r="D145" s="6">
        <v>3898026.2000000016</v>
      </c>
      <c r="E145" s="6">
        <v>0</v>
      </c>
      <c r="F145" s="6">
        <v>0</v>
      </c>
      <c r="G145" s="6">
        <v>42405405.35999994</v>
      </c>
      <c r="H145" s="6">
        <v>32927546.73999998</v>
      </c>
      <c r="I145" s="6">
        <v>21233151.970000014</v>
      </c>
      <c r="J145" s="6">
        <v>18818779.450000007</v>
      </c>
      <c r="K145" s="6">
        <v>0</v>
      </c>
      <c r="L145" s="6">
        <v>31022280.939999949</v>
      </c>
      <c r="M145" s="6">
        <v>31814594.539999913</v>
      </c>
      <c r="N145" s="6">
        <v>39256123.189999983</v>
      </c>
      <c r="O145" s="6">
        <v>81241736.690000013</v>
      </c>
      <c r="P145" s="6">
        <v>11598988.069999998</v>
      </c>
      <c r="Q145" s="87">
        <v>4465</v>
      </c>
      <c r="R145" s="35">
        <f t="shared" si="21"/>
        <v>45777</v>
      </c>
      <c r="S145" s="6">
        <f t="shared" ref="S145" si="25">B145-SUM(C145:P145)</f>
        <v>170705420.74000365</v>
      </c>
      <c r="T145" s="8">
        <f t="shared" ref="T145" si="26">B145-B144</f>
        <v>1909435.7300032377</v>
      </c>
    </row>
    <row r="146" spans="1:20">
      <c r="A146" s="39">
        <v>45808</v>
      </c>
      <c r="B146" s="2">
        <v>600327458.28000081</v>
      </c>
      <c r="C146" s="6">
        <v>93423666.760000065</v>
      </c>
      <c r="D146" s="6">
        <v>3936586.5599999987</v>
      </c>
      <c r="E146" s="6">
        <v>0</v>
      </c>
      <c r="F146" s="6">
        <v>0</v>
      </c>
      <c r="G146" s="6">
        <v>42491977.199999981</v>
      </c>
      <c r="H146" s="6">
        <v>34330741.870000064</v>
      </c>
      <c r="I146" s="6">
        <v>23482807.04999999</v>
      </c>
      <c r="J146" s="6">
        <v>21629209.339999996</v>
      </c>
      <c r="K146" s="6">
        <v>0</v>
      </c>
      <c r="L146" s="6">
        <v>31293013.729999997</v>
      </c>
      <c r="M146" s="6">
        <v>33927048.609999962</v>
      </c>
      <c r="N146" s="6">
        <v>40223768.310000002</v>
      </c>
      <c r="O146" s="6">
        <v>85855849.919999778</v>
      </c>
      <c r="P146" s="6">
        <v>13123920.919999991</v>
      </c>
      <c r="Q146" s="87">
        <v>4509</v>
      </c>
      <c r="R146" s="35">
        <f t="shared" si="21"/>
        <v>45808</v>
      </c>
      <c r="S146" s="6">
        <f t="shared" ref="S146" si="27">B146-SUM(C146:P146)</f>
        <v>176608868.01000094</v>
      </c>
      <c r="T146" s="8">
        <f t="shared" ref="T146" si="28">B146-B145</f>
        <v>20324259.789997339</v>
      </c>
    </row>
    <row r="147" spans="1:20">
      <c r="A147" s="39">
        <v>45838</v>
      </c>
      <c r="B147" s="2">
        <v>618008219.08999944</v>
      </c>
      <c r="C147" s="6">
        <v>94697799.309999958</v>
      </c>
      <c r="D147" s="6">
        <v>3890656.030000004</v>
      </c>
      <c r="E147" s="6">
        <v>0</v>
      </c>
      <c r="F147" s="6">
        <v>0</v>
      </c>
      <c r="G147" s="6">
        <v>42979345.320000067</v>
      </c>
      <c r="H147" s="6">
        <v>35959451.530000076</v>
      </c>
      <c r="I147" s="6">
        <v>25502464.579999987</v>
      </c>
      <c r="J147" s="6">
        <v>22364948.16</v>
      </c>
      <c r="K147" s="6">
        <v>0</v>
      </c>
      <c r="L147" s="6">
        <v>31978666.769999955</v>
      </c>
      <c r="M147" s="6">
        <v>35760545.659999937</v>
      </c>
      <c r="N147" s="6">
        <v>41436607.569999896</v>
      </c>
      <c r="O147" s="6">
        <v>87993598.530000001</v>
      </c>
      <c r="P147" s="6">
        <v>14286084.709999999</v>
      </c>
      <c r="Q147" s="87">
        <v>4566</v>
      </c>
      <c r="R147" s="35">
        <f t="shared" ref="R147" si="29">A147</f>
        <v>45838</v>
      </c>
      <c r="S147" s="6">
        <f t="shared" ref="S147" si="30">B147-SUM(C147:P147)</f>
        <v>181158050.91999954</v>
      </c>
      <c r="T147" s="8">
        <f t="shared" ref="T147" si="31">B147-B146</f>
        <v>17680760.809998631</v>
      </c>
    </row>
  </sheetData>
  <pageMargins left="0.75" right="0.75" top="1" bottom="1" header="0.5" footer="0.5"/>
  <pageSetup orientation="portrait" horizontalDpi="4294967292" verticalDpi="4294967292"/>
  <ignoredErrors>
    <ignoredError sqref="S137:S138" formula="1"/>
    <ignoredError sqref="S141" formula="1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0.59999389629810485"/>
  </sheetPr>
  <dimension ref="A1:V152"/>
  <sheetViews>
    <sheetView workbookViewId="0">
      <pane xSplit="1" ySplit="1" topLeftCell="B124" activePane="bottomRight" state="frozen"/>
      <selection pane="topRight" activeCell="B1" sqref="B1"/>
      <selection pane="bottomLeft" activeCell="A2" sqref="A2"/>
      <selection pane="bottomRight" activeCell="L153" sqref="L153"/>
    </sheetView>
  </sheetViews>
  <sheetFormatPr baseColWidth="10" defaultColWidth="11" defaultRowHeight="16"/>
  <cols>
    <col min="1" max="1" width="10.83203125" style="53" customWidth="1"/>
    <col min="2" max="2" width="16" style="25" bestFit="1" customWidth="1"/>
    <col min="3" max="3" width="15" style="25" bestFit="1" customWidth="1"/>
    <col min="4" max="4" width="14" style="25" bestFit="1" customWidth="1"/>
    <col min="5" max="7" width="15.1640625" style="25" bestFit="1" customWidth="1"/>
    <col min="8" max="8" width="14.1640625" style="25" bestFit="1" customWidth="1"/>
    <col min="9" max="10" width="15.1640625" style="25" bestFit="1" customWidth="1"/>
    <col min="11" max="11" width="15" style="25" bestFit="1" customWidth="1"/>
    <col min="12" max="12" width="15" style="25" customWidth="1"/>
    <col min="13" max="13" width="16" style="25" bestFit="1" customWidth="1"/>
    <col min="14" max="14" width="15" style="25" customWidth="1"/>
    <col min="15" max="15" width="5.33203125" style="87" bestFit="1" customWidth="1"/>
    <col min="16" max="16" width="16.1640625" bestFit="1" customWidth="1"/>
  </cols>
  <sheetData>
    <row r="1" spans="1:16" s="3" customFormat="1">
      <c r="A1" s="52"/>
      <c r="B1" s="30" t="s">
        <v>1</v>
      </c>
      <c r="C1" s="30" t="s">
        <v>6</v>
      </c>
      <c r="D1" s="30" t="s">
        <v>18</v>
      </c>
      <c r="E1" s="30" t="s">
        <v>56</v>
      </c>
      <c r="F1" s="30" t="s">
        <v>124</v>
      </c>
      <c r="G1" s="30" t="s">
        <v>125</v>
      </c>
      <c r="H1" s="30" t="s">
        <v>126</v>
      </c>
      <c r="I1" s="30" t="s">
        <v>135</v>
      </c>
      <c r="J1" s="30" t="s">
        <v>162</v>
      </c>
      <c r="K1" s="30" t="s">
        <v>163</v>
      </c>
      <c r="L1" s="30" t="s">
        <v>173</v>
      </c>
      <c r="M1" s="30" t="s">
        <v>174</v>
      </c>
      <c r="N1" s="30" t="s">
        <v>176</v>
      </c>
      <c r="O1" s="86" t="s">
        <v>69</v>
      </c>
      <c r="P1" s="17" t="s">
        <v>167</v>
      </c>
    </row>
    <row r="2" spans="1:16">
      <c r="A2" s="56">
        <f>AUM!A2</f>
        <v>41274</v>
      </c>
      <c r="B2" s="25">
        <v>823821.47</v>
      </c>
      <c r="C2" s="25">
        <v>463171.92120961199</v>
      </c>
      <c r="P2" s="23">
        <f t="shared" ref="P2:P8" si="0">B2-SUM(C2:E2)</f>
        <v>360649.54879038798</v>
      </c>
    </row>
    <row r="3" spans="1:16">
      <c r="A3" s="56">
        <f>AUM!A3</f>
        <v>41305</v>
      </c>
      <c r="B3" s="25">
        <v>1683008.58</v>
      </c>
      <c r="C3" s="25">
        <v>946227.24194219045</v>
      </c>
      <c r="P3" s="23">
        <f t="shared" si="0"/>
        <v>736781.33805780963</v>
      </c>
    </row>
    <row r="4" spans="1:16">
      <c r="A4" s="56">
        <f>AUM!A4</f>
        <v>41333</v>
      </c>
      <c r="B4" s="25">
        <v>1748061.12</v>
      </c>
      <c r="C4" s="25">
        <v>982801.31900692778</v>
      </c>
      <c r="P4" s="23">
        <f t="shared" si="0"/>
        <v>765259.80099307233</v>
      </c>
    </row>
    <row r="5" spans="1:16">
      <c r="A5" s="56">
        <f>AUM!A5</f>
        <v>41364</v>
      </c>
      <c r="B5" s="25">
        <v>1851987.4800000002</v>
      </c>
      <c r="C5" s="25">
        <v>1041231.1773905917</v>
      </c>
      <c r="P5" s="23">
        <f t="shared" si="0"/>
        <v>810756.30260940851</v>
      </c>
    </row>
    <row r="6" spans="1:16">
      <c r="A6" s="56">
        <f>AUM!A6</f>
        <v>41394</v>
      </c>
      <c r="B6" s="25">
        <v>1886073.4400000002</v>
      </c>
      <c r="C6" s="25">
        <v>1060395.1105416347</v>
      </c>
      <c r="P6" s="23">
        <f t="shared" si="0"/>
        <v>825678.32945836545</v>
      </c>
    </row>
    <row r="7" spans="1:16">
      <c r="A7" s="56">
        <f>AUM!A7</f>
        <v>41425</v>
      </c>
      <c r="B7" s="25">
        <v>1944207.83</v>
      </c>
      <c r="C7" s="25">
        <v>1093079.6399999999</v>
      </c>
      <c r="P7" s="23">
        <f t="shared" si="0"/>
        <v>851128.19000000018</v>
      </c>
    </row>
    <row r="8" spans="1:16">
      <c r="A8" s="56">
        <f>AUM!A8</f>
        <v>41455</v>
      </c>
      <c r="B8" s="25">
        <v>1944207.83</v>
      </c>
      <c r="C8" s="25">
        <v>1093079.6399999999</v>
      </c>
      <c r="P8" s="23">
        <f t="shared" si="0"/>
        <v>851128.19000000018</v>
      </c>
    </row>
    <row r="9" spans="1:16">
      <c r="A9" s="56">
        <f>AUM!A9</f>
        <v>41486</v>
      </c>
      <c r="B9" s="25">
        <v>1944207.83</v>
      </c>
      <c r="C9" s="25">
        <v>1093079.6399999999</v>
      </c>
      <c r="P9" s="23">
        <f t="shared" ref="P9:P31" si="1">B9-SUM(C9:E9)</f>
        <v>851128.19000000018</v>
      </c>
    </row>
    <row r="10" spans="1:16">
      <c r="A10" s="56">
        <f>AUM!A10</f>
        <v>41517</v>
      </c>
      <c r="B10" s="25">
        <v>1944207.83</v>
      </c>
      <c r="C10" s="25">
        <v>1093079.6399999999</v>
      </c>
      <c r="P10" s="23">
        <f t="shared" si="1"/>
        <v>851128.19000000018</v>
      </c>
    </row>
    <row r="11" spans="1:16">
      <c r="A11" s="56">
        <f>AUM!A11</f>
        <v>41547</v>
      </c>
      <c r="B11" s="25">
        <v>2296813.88</v>
      </c>
      <c r="C11" s="25">
        <v>1093079.6399999999</v>
      </c>
      <c r="P11" s="23">
        <f t="shared" si="1"/>
        <v>1203734.24</v>
      </c>
    </row>
    <row r="12" spans="1:16">
      <c r="A12" s="56">
        <f>AUM!A12</f>
        <v>41578</v>
      </c>
      <c r="B12" s="25">
        <v>2340804.92</v>
      </c>
      <c r="C12" s="25">
        <v>1093079.6399999999</v>
      </c>
      <c r="P12" s="23">
        <f t="shared" si="1"/>
        <v>1247725.28</v>
      </c>
    </row>
    <row r="13" spans="1:16">
      <c r="A13" s="56">
        <f>AUM!A13</f>
        <v>41608</v>
      </c>
      <c r="B13" s="25">
        <v>2958660.7</v>
      </c>
      <c r="C13" s="25">
        <v>1399000</v>
      </c>
      <c r="P13" s="23">
        <f t="shared" si="1"/>
        <v>1559660.7000000002</v>
      </c>
    </row>
    <row r="14" spans="1:16">
      <c r="A14" s="56">
        <f>AUM!A14</f>
        <v>41639</v>
      </c>
      <c r="B14" s="25">
        <v>3288558.88</v>
      </c>
      <c r="C14" s="27">
        <v>1995257.0518732844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P14" s="23">
        <f t="shared" si="1"/>
        <v>1293301.8281267155</v>
      </c>
    </row>
    <row r="15" spans="1:16">
      <c r="A15" s="56">
        <f>AUM!A15</f>
        <v>41670</v>
      </c>
      <c r="B15" s="25">
        <v>3289638.9999999995</v>
      </c>
      <c r="C15" s="27">
        <v>1987508.7249732176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P15" s="23">
        <f t="shared" si="1"/>
        <v>1302130.275026782</v>
      </c>
    </row>
    <row r="16" spans="1:16">
      <c r="A16" s="56">
        <f>AUM!A16</f>
        <v>41698</v>
      </c>
      <c r="B16" s="25">
        <v>3456572.04</v>
      </c>
      <c r="C16" s="25">
        <v>2100051.73</v>
      </c>
      <c r="P16" s="23">
        <f t="shared" si="1"/>
        <v>1356520.31</v>
      </c>
    </row>
    <row r="17" spans="1:22">
      <c r="A17" s="56">
        <f>AUM!A17</f>
        <v>41729</v>
      </c>
      <c r="B17" s="25">
        <v>3476301.3</v>
      </c>
      <c r="C17" s="25">
        <v>1949361.48</v>
      </c>
      <c r="P17" s="23">
        <f t="shared" si="1"/>
        <v>1526939.8199999998</v>
      </c>
    </row>
    <row r="18" spans="1:22">
      <c r="A18" s="56">
        <f>AUM!A18</f>
        <v>41759</v>
      </c>
      <c r="B18" s="25">
        <v>3749300</v>
      </c>
      <c r="C18" s="25">
        <v>2077648.44</v>
      </c>
      <c r="P18" s="23">
        <f t="shared" si="1"/>
        <v>1671651.56</v>
      </c>
    </row>
    <row r="19" spans="1:22">
      <c r="A19" s="56">
        <f>AUM!A19</f>
        <v>41790</v>
      </c>
      <c r="B19" s="25">
        <v>3892355.55</v>
      </c>
      <c r="C19" s="25">
        <v>2258721</v>
      </c>
      <c r="P19" s="23">
        <f t="shared" si="1"/>
        <v>1633634.5499999998</v>
      </c>
    </row>
    <row r="20" spans="1:22">
      <c r="A20" s="56">
        <f>AUM!A20</f>
        <v>41820</v>
      </c>
      <c r="B20" s="25">
        <v>3971427.89</v>
      </c>
      <c r="C20" s="25">
        <v>2417353.2999999998</v>
      </c>
      <c r="O20" s="87">
        <v>27</v>
      </c>
      <c r="P20" s="23">
        <f t="shared" si="1"/>
        <v>1554074.5900000003</v>
      </c>
      <c r="V20" s="14"/>
    </row>
    <row r="21" spans="1:22">
      <c r="A21" s="56">
        <f>AUM!A21</f>
        <v>41851</v>
      </c>
      <c r="B21" s="25">
        <v>4038472.56</v>
      </c>
      <c r="C21" s="25">
        <v>2490563.94</v>
      </c>
      <c r="O21" s="87">
        <v>32</v>
      </c>
      <c r="P21" s="23">
        <f t="shared" si="1"/>
        <v>1547908.62</v>
      </c>
      <c r="V21" s="14"/>
    </row>
    <row r="22" spans="1:22">
      <c r="A22" s="56">
        <f>AUM!A22</f>
        <v>41882</v>
      </c>
      <c r="B22" s="25">
        <v>4740153.45</v>
      </c>
      <c r="C22" s="25">
        <v>2866009.18</v>
      </c>
      <c r="O22" s="87">
        <v>33</v>
      </c>
      <c r="P22" s="23">
        <f t="shared" si="1"/>
        <v>1874144.27</v>
      </c>
      <c r="V22" s="14"/>
    </row>
    <row r="23" spans="1:22">
      <c r="A23" s="56">
        <f>AUM!A23</f>
        <v>41912</v>
      </c>
      <c r="B23" s="25">
        <v>4990601.5199999996</v>
      </c>
      <c r="C23" s="25">
        <v>2935788.52</v>
      </c>
      <c r="O23" s="87">
        <v>34</v>
      </c>
      <c r="P23" s="23">
        <f t="shared" si="1"/>
        <v>2054812.9999999995</v>
      </c>
    </row>
    <row r="24" spans="1:22">
      <c r="A24" s="56">
        <f>AUM!A24</f>
        <v>41943</v>
      </c>
      <c r="B24" s="25">
        <v>5178586.4048275864</v>
      </c>
      <c r="C24" s="25">
        <v>3012259.4910344826</v>
      </c>
      <c r="O24" s="87">
        <v>36</v>
      </c>
      <c r="P24" s="23">
        <f t="shared" si="1"/>
        <v>2166326.9137931038</v>
      </c>
    </row>
    <row r="25" spans="1:22">
      <c r="A25" s="56">
        <f>AUM!A25</f>
        <v>41973</v>
      </c>
      <c r="B25" s="25">
        <v>5525638.6799999997</v>
      </c>
      <c r="C25" s="25">
        <v>3255350.83</v>
      </c>
      <c r="O25" s="87">
        <v>38</v>
      </c>
      <c r="P25" s="23">
        <f t="shared" si="1"/>
        <v>2270287.8499999996</v>
      </c>
    </row>
    <row r="26" spans="1:22">
      <c r="A26" s="56">
        <f>AUM!A26</f>
        <v>42004</v>
      </c>
      <c r="B26" s="25">
        <v>5538880.6200000001</v>
      </c>
      <c r="C26" s="25">
        <v>3231608.0700000008</v>
      </c>
      <c r="O26" s="87">
        <v>40</v>
      </c>
      <c r="P26" s="23">
        <f t="shared" si="1"/>
        <v>2307272.5499999993</v>
      </c>
    </row>
    <row r="27" spans="1:22">
      <c r="A27" s="56">
        <f>AUM!A27</f>
        <v>42035</v>
      </c>
      <c r="B27" s="25">
        <v>5601386.9400000004</v>
      </c>
      <c r="C27" s="25">
        <v>3237474.63</v>
      </c>
      <c r="O27" s="87">
        <v>40</v>
      </c>
      <c r="P27" s="23">
        <f t="shared" si="1"/>
        <v>2363912.3100000005</v>
      </c>
    </row>
    <row r="28" spans="1:22">
      <c r="A28" s="56">
        <f>AUM!A28</f>
        <v>42063</v>
      </c>
      <c r="B28" s="25">
        <v>5679424.96</v>
      </c>
      <c r="C28" s="25">
        <v>3278745.56</v>
      </c>
      <c r="O28" s="87">
        <v>38</v>
      </c>
      <c r="P28" s="23">
        <f t="shared" si="1"/>
        <v>2400679.4</v>
      </c>
    </row>
    <row r="29" spans="1:22">
      <c r="A29" s="56">
        <f>AUM!A29</f>
        <v>42094</v>
      </c>
      <c r="B29" s="25">
        <v>5664006.3300000001</v>
      </c>
      <c r="C29" s="25">
        <v>3246645.95</v>
      </c>
      <c r="O29" s="87">
        <v>38</v>
      </c>
      <c r="P29" s="23">
        <f t="shared" si="1"/>
        <v>2417360.38</v>
      </c>
    </row>
    <row r="30" spans="1:22">
      <c r="A30" s="56">
        <f>AUM!A30</f>
        <v>42124</v>
      </c>
      <c r="B30" s="25">
        <v>5706196.6299999999</v>
      </c>
      <c r="C30" s="25">
        <v>3251231.59</v>
      </c>
      <c r="O30" s="87">
        <v>38</v>
      </c>
      <c r="P30" s="23">
        <f t="shared" si="1"/>
        <v>2454965.04</v>
      </c>
    </row>
    <row r="31" spans="1:22">
      <c r="A31" s="56">
        <f>AUM!A31</f>
        <v>42155</v>
      </c>
      <c r="B31" s="25">
        <v>5698624.6100000003</v>
      </c>
      <c r="C31" s="25">
        <v>3232888.97</v>
      </c>
      <c r="O31" s="87">
        <v>39</v>
      </c>
      <c r="P31" s="23">
        <f t="shared" si="1"/>
        <v>2465735.64</v>
      </c>
    </row>
    <row r="32" spans="1:22">
      <c r="A32" s="38">
        <v>42185</v>
      </c>
      <c r="B32" s="25">
        <v>5575536.9199999999</v>
      </c>
      <c r="C32" s="25">
        <f>SILVX!H39*228073.56</f>
        <v>3154257.3347999998</v>
      </c>
      <c r="O32" s="87">
        <v>40</v>
      </c>
      <c r="P32" s="23">
        <f t="shared" ref="P32:P48" si="2">B32-SUM(C32:E32)</f>
        <v>2421279.5852000001</v>
      </c>
    </row>
    <row r="33" spans="1:17">
      <c r="A33" s="38">
        <v>42216</v>
      </c>
      <c r="B33" s="25">
        <v>5764597.2699999996</v>
      </c>
      <c r="C33" s="25">
        <f>SILVX!H40*228073.56</f>
        <v>3300224.4132000003</v>
      </c>
      <c r="O33" s="87">
        <v>37</v>
      </c>
      <c r="P33" s="23">
        <f t="shared" si="2"/>
        <v>2464372.8567999993</v>
      </c>
    </row>
    <row r="34" spans="1:17">
      <c r="A34" s="38">
        <v>42247</v>
      </c>
      <c r="B34" s="25">
        <v>6338579.9100000001</v>
      </c>
      <c r="C34" s="25">
        <f>SILVX!H41*261084.189</f>
        <v>3597740.1244200002</v>
      </c>
      <c r="O34" s="87">
        <v>39</v>
      </c>
      <c r="P34" s="23">
        <f t="shared" si="2"/>
        <v>2740839.7855799999</v>
      </c>
    </row>
    <row r="35" spans="1:17">
      <c r="A35" s="39">
        <v>42277</v>
      </c>
      <c r="B35" s="25">
        <v>6070469.4100000001</v>
      </c>
      <c r="C35" s="25">
        <f>SILVX!H42*261084.189</f>
        <v>3610794.3338700002</v>
      </c>
      <c r="O35" s="87">
        <v>39</v>
      </c>
      <c r="P35" s="23">
        <f t="shared" si="2"/>
        <v>2459675.0761299999</v>
      </c>
    </row>
    <row r="36" spans="1:17">
      <c r="A36" s="38">
        <v>42307</v>
      </c>
      <c r="B36" s="25">
        <v>6422668.0099999998</v>
      </c>
      <c r="C36" s="25">
        <f>SILVX!H43*249401.043</f>
        <v>3648737.2590900003</v>
      </c>
      <c r="O36" s="87">
        <v>39</v>
      </c>
      <c r="P36" s="23">
        <f t="shared" si="2"/>
        <v>2773930.7509099995</v>
      </c>
    </row>
    <row r="37" spans="1:17" ht="15" customHeight="1">
      <c r="A37" s="38">
        <v>42338</v>
      </c>
      <c r="B37" s="25">
        <v>6372188.8799999999</v>
      </c>
      <c r="C37" s="25">
        <f>SILVX!H44*250187.221</f>
        <v>3640224.0655499999</v>
      </c>
      <c r="O37" s="87">
        <v>38</v>
      </c>
      <c r="P37" s="23">
        <f t="shared" si="2"/>
        <v>2731964.8144499999</v>
      </c>
    </row>
    <row r="38" spans="1:17">
      <c r="A38" s="38">
        <v>42369</v>
      </c>
      <c r="B38" s="25">
        <v>6351692</v>
      </c>
      <c r="C38" s="25">
        <f>SILVX!H45*265470.867</f>
        <v>3605094.3738600002</v>
      </c>
      <c r="O38" s="87">
        <v>38</v>
      </c>
      <c r="P38" s="23">
        <f t="shared" si="2"/>
        <v>2746597.6261399998</v>
      </c>
    </row>
    <row r="39" spans="1:17">
      <c r="A39" s="38">
        <v>42398</v>
      </c>
      <c r="B39" s="25">
        <v>6137662</v>
      </c>
      <c r="C39" s="25">
        <f>SILVX!H46*265470.867</f>
        <v>3512179.5704100006</v>
      </c>
      <c r="O39" s="87">
        <v>38</v>
      </c>
      <c r="P39" s="23">
        <f t="shared" si="2"/>
        <v>2625482.4295899994</v>
      </c>
    </row>
    <row r="40" spans="1:17">
      <c r="A40" s="38">
        <v>42429</v>
      </c>
      <c r="B40" s="25">
        <v>6356276.6699999999</v>
      </c>
      <c r="C40" s="25">
        <f>SILVX!H47*265470.867</f>
        <v>3581201.9958300004</v>
      </c>
      <c r="O40" s="87">
        <v>33</v>
      </c>
      <c r="P40" s="23">
        <f t="shared" si="2"/>
        <v>2775074.6741699995</v>
      </c>
    </row>
    <row r="41" spans="1:17">
      <c r="A41" s="38">
        <v>42460</v>
      </c>
      <c r="B41" s="2">
        <v>6675175.1200000001</v>
      </c>
      <c r="C41" s="25">
        <f>SILVX!H48*265470.867</f>
        <v>3796233.3981000008</v>
      </c>
      <c r="O41" s="87">
        <v>33</v>
      </c>
      <c r="P41" s="23">
        <f t="shared" si="2"/>
        <v>2878941.7218999993</v>
      </c>
      <c r="Q41" s="2"/>
    </row>
    <row r="42" spans="1:17">
      <c r="A42" s="38">
        <v>42489</v>
      </c>
      <c r="B42" s="2">
        <v>6618961.7199999997</v>
      </c>
      <c r="C42" s="25">
        <f>SILVX!H49*265184.754</f>
        <v>3739105.0314000002</v>
      </c>
      <c r="O42" s="87">
        <v>33</v>
      </c>
      <c r="P42" s="23">
        <f t="shared" si="2"/>
        <v>2879856.6885999995</v>
      </c>
    </row>
    <row r="43" spans="1:17">
      <c r="A43" s="38">
        <v>42521</v>
      </c>
      <c r="B43" s="25">
        <v>6662299.75</v>
      </c>
      <c r="C43" s="25">
        <f>264461.351*14.37</f>
        <v>3800309.61387</v>
      </c>
      <c r="O43" s="87">
        <v>32</v>
      </c>
      <c r="P43" s="23">
        <f t="shared" si="2"/>
        <v>2861990.13613</v>
      </c>
    </row>
    <row r="44" spans="1:17">
      <c r="A44" s="38">
        <v>42551</v>
      </c>
      <c r="B44" s="25">
        <v>6720549.7300000004</v>
      </c>
      <c r="C44" s="25">
        <f>260789.264*14.75</f>
        <v>3846641.6439999999</v>
      </c>
      <c r="O44" s="87">
        <v>31</v>
      </c>
      <c r="P44" s="23">
        <f t="shared" si="2"/>
        <v>2873908.0860000006</v>
      </c>
    </row>
    <row r="45" spans="1:17">
      <c r="A45" s="38">
        <v>42582</v>
      </c>
      <c r="B45" s="25">
        <v>6800936</v>
      </c>
      <c r="C45" s="25">
        <f>257656.027*14.96</f>
        <v>3854534.1639200002</v>
      </c>
      <c r="O45" s="87">
        <v>32</v>
      </c>
      <c r="P45" s="23">
        <f t="shared" si="2"/>
        <v>2946401.8360799998</v>
      </c>
    </row>
    <row r="46" spans="1:17">
      <c r="A46" s="38">
        <v>42613</v>
      </c>
      <c r="B46" s="25">
        <v>6684789.4699999997</v>
      </c>
      <c r="C46" s="25">
        <f>257656.027*14.69</f>
        <v>3784967.03663</v>
      </c>
      <c r="O46" s="87">
        <v>31</v>
      </c>
      <c r="P46" s="23">
        <f t="shared" si="2"/>
        <v>2899822.4333699998</v>
      </c>
    </row>
    <row r="47" spans="1:17">
      <c r="A47" s="38">
        <v>42643</v>
      </c>
      <c r="B47" s="25">
        <v>6553111.3300000001</v>
      </c>
      <c r="C47" s="25">
        <f>257656.027*14.49</f>
        <v>3733435.8312300001</v>
      </c>
      <c r="O47" s="87">
        <v>32</v>
      </c>
      <c r="P47" s="23">
        <f t="shared" si="2"/>
        <v>2819675.4987699999</v>
      </c>
    </row>
    <row r="48" spans="1:17">
      <c r="A48" s="38">
        <v>42674</v>
      </c>
      <c r="B48" s="25">
        <v>6553112.3300000001</v>
      </c>
      <c r="C48" s="25">
        <f>257656.027*14.49</f>
        <v>3733435.8312300001</v>
      </c>
      <c r="O48" s="87">
        <v>32</v>
      </c>
      <c r="P48" s="23">
        <f t="shared" si="2"/>
        <v>2819676.4987699999</v>
      </c>
    </row>
    <row r="49" spans="1:17">
      <c r="A49" s="38">
        <v>42704</v>
      </c>
      <c r="B49" s="25">
        <v>6600934.7599999998</v>
      </c>
      <c r="C49" s="25">
        <f>253806.03*SILVX!H56</f>
        <v>3695415.7968000001</v>
      </c>
      <c r="O49" s="87">
        <v>32</v>
      </c>
      <c r="P49" s="23">
        <f t="shared" ref="P49:P87" si="3">B49-SUM(C49:E49)</f>
        <v>2905518.9631999996</v>
      </c>
    </row>
    <row r="50" spans="1:17">
      <c r="A50" s="38">
        <v>42735</v>
      </c>
      <c r="B50" s="25">
        <v>6629626.3600000003</v>
      </c>
      <c r="C50" s="25">
        <f>300812.76*SILVX!H57</f>
        <v>4331703.7439999999</v>
      </c>
      <c r="O50" s="87">
        <v>32</v>
      </c>
      <c r="P50" s="23">
        <f t="shared" si="3"/>
        <v>2297922.6160000004</v>
      </c>
    </row>
    <row r="51" spans="1:17">
      <c r="A51" s="38">
        <v>42766</v>
      </c>
      <c r="B51" s="25">
        <v>6631277.7000000002</v>
      </c>
      <c r="C51" s="25">
        <f>295688.11*SILVX!H58</f>
        <v>4263822.5461999997</v>
      </c>
      <c r="O51" s="87">
        <v>31</v>
      </c>
      <c r="P51" s="23">
        <f t="shared" si="3"/>
        <v>2367455.1538000004</v>
      </c>
    </row>
    <row r="52" spans="1:17">
      <c r="A52" s="38">
        <v>42794</v>
      </c>
      <c r="B52" s="25">
        <v>6695455.6600000001</v>
      </c>
      <c r="C52" s="25">
        <f>295039.46*SILVX!H59</f>
        <v>4416740.7162000006</v>
      </c>
      <c r="O52" s="87">
        <v>31</v>
      </c>
      <c r="P52" s="23">
        <f t="shared" si="3"/>
        <v>2278714.9437999995</v>
      </c>
    </row>
    <row r="53" spans="1:17">
      <c r="A53" s="38">
        <v>42825</v>
      </c>
      <c r="B53" s="25">
        <v>7718862.4675000031</v>
      </c>
      <c r="C53" s="25">
        <v>4424486.281200001</v>
      </c>
      <c r="D53" s="25">
        <v>22147.975999999999</v>
      </c>
      <c r="E53" s="25">
        <v>40189.862000000008</v>
      </c>
      <c r="O53" s="87">
        <v>31</v>
      </c>
      <c r="P53" s="23">
        <f t="shared" si="3"/>
        <v>3232038.3483000025</v>
      </c>
    </row>
    <row r="54" spans="1:17">
      <c r="A54" s="38">
        <v>42855</v>
      </c>
      <c r="B54" s="25">
        <v>7776192.9800000004</v>
      </c>
      <c r="C54" s="25">
        <v>4469027.96</v>
      </c>
      <c r="D54" s="25">
        <v>1085049.71</v>
      </c>
      <c r="E54" s="25">
        <v>40693.56</v>
      </c>
      <c r="O54" s="87">
        <v>31</v>
      </c>
      <c r="P54" s="23">
        <f t="shared" si="3"/>
        <v>2181421.7500000009</v>
      </c>
    </row>
    <row r="55" spans="1:17">
      <c r="A55" s="38">
        <v>42886</v>
      </c>
      <c r="B55" s="25">
        <v>7818835.0599999996</v>
      </c>
      <c r="C55" s="25">
        <f>295779.95*15.15</f>
        <v>4481066.2425000006</v>
      </c>
      <c r="D55" s="25">
        <f>91055.3*12.31</f>
        <v>1120890.743</v>
      </c>
      <c r="E55" s="25">
        <f>1574.221*26.42</f>
        <v>41590.918820000006</v>
      </c>
      <c r="O55" s="87">
        <v>31</v>
      </c>
      <c r="P55" s="23">
        <f t="shared" si="3"/>
        <v>2175287.1556799989</v>
      </c>
    </row>
    <row r="56" spans="1:17">
      <c r="A56" s="38">
        <v>42916</v>
      </c>
      <c r="B56" s="25">
        <v>7866403.3200000003</v>
      </c>
      <c r="C56" s="25">
        <v>4498813.0199999996</v>
      </c>
      <c r="D56" s="25">
        <v>1136370.0900000001</v>
      </c>
      <c r="E56" s="25">
        <v>41575.18</v>
      </c>
      <c r="O56" s="87">
        <v>31</v>
      </c>
      <c r="P56" s="23">
        <f t="shared" si="3"/>
        <v>2189645.0300000012</v>
      </c>
    </row>
    <row r="57" spans="1:17">
      <c r="A57" s="38">
        <v>42947</v>
      </c>
      <c r="B57" s="25">
        <v>7964621.1399999997</v>
      </c>
      <c r="C57" s="25">
        <f>295972.93*15.43</f>
        <v>4566862.3098999998</v>
      </c>
      <c r="D57" s="25">
        <f>92319.75*12.61</f>
        <v>1164152.0474999999</v>
      </c>
      <c r="E57" s="25">
        <f>1574.221*26.7</f>
        <v>42031.700700000001</v>
      </c>
      <c r="O57" s="87">
        <v>31</v>
      </c>
      <c r="P57" s="23">
        <f t="shared" si="3"/>
        <v>2191575.0818999996</v>
      </c>
    </row>
    <row r="58" spans="1:17">
      <c r="A58" s="38">
        <v>42978</v>
      </c>
      <c r="B58" s="25">
        <v>8119745.1399999997</v>
      </c>
      <c r="C58" s="25">
        <f>301448.72*15.43</f>
        <v>4651353.7495999997</v>
      </c>
      <c r="D58" s="25">
        <f>94034.37*12.39</f>
        <v>1165085.8443</v>
      </c>
      <c r="E58" s="25">
        <f>1574.221*27.21</f>
        <v>42834.55341</v>
      </c>
      <c r="O58" s="87">
        <v>33</v>
      </c>
      <c r="P58" s="23">
        <f t="shared" si="3"/>
        <v>2260470.9926899998</v>
      </c>
    </row>
    <row r="59" spans="1:17">
      <c r="A59" s="38">
        <v>43008</v>
      </c>
      <c r="B59" s="25">
        <v>8296731.1200000001</v>
      </c>
      <c r="C59" s="25">
        <v>4711643.29</v>
      </c>
      <c r="D59" s="25">
        <v>1235611.6299999999</v>
      </c>
      <c r="E59" s="25">
        <v>43385.5</v>
      </c>
      <c r="O59" s="87">
        <v>34</v>
      </c>
      <c r="P59" s="23">
        <f t="shared" si="3"/>
        <v>2306090.7000000002</v>
      </c>
    </row>
    <row r="60" spans="1:17">
      <c r="A60" s="38">
        <v>43039</v>
      </c>
      <c r="B60" s="25">
        <v>8514366.1500000004</v>
      </c>
      <c r="C60" s="25">
        <f>312892.52*15.69</f>
        <v>4909283.6387999998</v>
      </c>
      <c r="D60" s="25">
        <f>98339.06*13.2</f>
        <v>1298075.5919999999</v>
      </c>
      <c r="E60" s="25">
        <f>1572.41*27.94</f>
        <v>43933.135400000006</v>
      </c>
      <c r="O60" s="87">
        <v>34</v>
      </c>
      <c r="P60" s="23">
        <f t="shared" si="3"/>
        <v>2263073.7838000003</v>
      </c>
    </row>
    <row r="61" spans="1:17">
      <c r="A61" s="38">
        <v>43069</v>
      </c>
      <c r="B61" s="25">
        <f>24884138.67-Cline!B7</f>
        <v>8871897.0800000019</v>
      </c>
      <c r="C61" s="25">
        <v>5155400.68</v>
      </c>
      <c r="D61" s="25">
        <v>1324627.1100000001</v>
      </c>
      <c r="E61" s="25">
        <v>44970.95</v>
      </c>
      <c r="O61" s="87">
        <v>34</v>
      </c>
      <c r="P61" s="23">
        <f t="shared" si="3"/>
        <v>2346898.3400000017</v>
      </c>
    </row>
    <row r="62" spans="1:17">
      <c r="A62" s="38">
        <v>43100</v>
      </c>
      <c r="B62" s="25">
        <f>25138502.73-Cline!B8</f>
        <v>8952169.9500000011</v>
      </c>
      <c r="C62" s="25">
        <v>5175164.4800000004</v>
      </c>
      <c r="D62" s="25">
        <v>1329208.79</v>
      </c>
      <c r="E62" s="25">
        <v>45505.59</v>
      </c>
      <c r="O62" s="87">
        <v>34</v>
      </c>
      <c r="P62" s="23">
        <f t="shared" si="3"/>
        <v>2402291.0900000008</v>
      </c>
    </row>
    <row r="63" spans="1:17">
      <c r="A63" s="38">
        <v>43131</v>
      </c>
      <c r="B63" s="25">
        <v>9186741.8841999974</v>
      </c>
      <c r="C63" s="25">
        <v>5374665.3541999999</v>
      </c>
      <c r="D63" s="25">
        <v>1331407.6956</v>
      </c>
      <c r="E63" s="25">
        <v>47125.217799999999</v>
      </c>
      <c r="O63" s="87">
        <v>35</v>
      </c>
      <c r="P63" s="23">
        <f t="shared" si="3"/>
        <v>2433543.6165999975</v>
      </c>
      <c r="Q63" t="s">
        <v>35</v>
      </c>
    </row>
    <row r="64" spans="1:17">
      <c r="A64" s="38">
        <v>43159</v>
      </c>
      <c r="B64" s="25">
        <v>8939404.571800001</v>
      </c>
      <c r="C64" s="25">
        <v>5270303.6261</v>
      </c>
      <c r="D64" s="25">
        <v>1299822.9875999999</v>
      </c>
      <c r="E64" s="25">
        <v>43673.6783</v>
      </c>
      <c r="O64" s="87">
        <v>36</v>
      </c>
      <c r="P64" s="23">
        <f t="shared" si="3"/>
        <v>2325604.2798000015</v>
      </c>
    </row>
    <row r="65" spans="1:17">
      <c r="A65" s="38">
        <v>43190</v>
      </c>
      <c r="B65" s="25">
        <v>17220282.034950007</v>
      </c>
      <c r="C65" s="25">
        <v>5582836.1699999999</v>
      </c>
      <c r="D65" s="25">
        <v>1475668.0189</v>
      </c>
      <c r="E65" s="25">
        <v>43492.019870000004</v>
      </c>
      <c r="O65" s="87">
        <v>97</v>
      </c>
      <c r="P65" s="23">
        <f t="shared" si="3"/>
        <v>10118285.826180007</v>
      </c>
      <c r="Q65" t="s">
        <v>89</v>
      </c>
    </row>
    <row r="66" spans="1:17">
      <c r="A66" s="38">
        <v>43220</v>
      </c>
      <c r="B66" s="25">
        <v>18256551.363269936</v>
      </c>
      <c r="C66" s="25">
        <v>6319519.6528800009</v>
      </c>
      <c r="D66" s="25">
        <v>1663206.0695599997</v>
      </c>
      <c r="E66" s="25">
        <v>43098.426930000001</v>
      </c>
      <c r="O66" s="87">
        <v>102</v>
      </c>
      <c r="P66" s="23">
        <f t="shared" si="3"/>
        <v>10230727.213899937</v>
      </c>
    </row>
    <row r="67" spans="1:17">
      <c r="A67" s="38">
        <v>43251</v>
      </c>
      <c r="B67" s="25">
        <v>19568056.145400029</v>
      </c>
      <c r="C67" s="25">
        <v>7181252.3577599972</v>
      </c>
      <c r="D67" s="25">
        <v>1887844.5708799995</v>
      </c>
      <c r="E67" s="25">
        <v>43643.401769999989</v>
      </c>
      <c r="O67" s="87">
        <v>112</v>
      </c>
      <c r="P67" s="23">
        <f t="shared" si="3"/>
        <v>10455315.814990032</v>
      </c>
    </row>
    <row r="68" spans="1:17">
      <c r="A68" s="38">
        <v>43281</v>
      </c>
      <c r="B68" s="25">
        <v>20811381.890519924</v>
      </c>
      <c r="C68" s="25">
        <v>8100399.7614799971</v>
      </c>
      <c r="D68" s="25">
        <v>2176571.28657</v>
      </c>
      <c r="E68" s="25">
        <v>43613.125390000001</v>
      </c>
      <c r="O68" s="87">
        <v>128</v>
      </c>
      <c r="P68" s="23">
        <f t="shared" si="3"/>
        <v>10490797.717079926</v>
      </c>
    </row>
    <row r="69" spans="1:17">
      <c r="A69" s="38">
        <v>43312</v>
      </c>
      <c r="B69" s="25">
        <v>21689584.296310045</v>
      </c>
      <c r="C69" s="25">
        <v>8479744.7584500015</v>
      </c>
      <c r="D69" s="25">
        <v>2252602.2449700003</v>
      </c>
      <c r="E69" s="25">
        <v>45202.635340000001</v>
      </c>
      <c r="O69" s="87">
        <v>129</v>
      </c>
      <c r="P69" s="23">
        <f t="shared" si="3"/>
        <v>10912034.657550042</v>
      </c>
    </row>
    <row r="70" spans="1:17">
      <c r="A70" s="38">
        <v>43343</v>
      </c>
      <c r="B70" s="25">
        <v>22979735.935040064</v>
      </c>
      <c r="C70" s="25">
        <v>9163748.3627100047</v>
      </c>
      <c r="D70" s="25">
        <v>2497269.7848999999</v>
      </c>
      <c r="E70" s="25">
        <v>45868.715700000001</v>
      </c>
      <c r="O70" s="87">
        <v>130</v>
      </c>
      <c r="P70" s="23">
        <f t="shared" si="3"/>
        <v>11272849.071730059</v>
      </c>
    </row>
    <row r="71" spans="1:17">
      <c r="A71" s="38">
        <v>43373</v>
      </c>
      <c r="B71" s="25">
        <v>23238919.737999961</v>
      </c>
      <c r="C71" s="25">
        <v>11501469.297300002</v>
      </c>
      <c r="D71" s="25">
        <v>2988040.5309000006</v>
      </c>
      <c r="E71" s="25">
        <v>46519.657869999995</v>
      </c>
      <c r="O71" s="87">
        <v>134</v>
      </c>
      <c r="P71" s="23">
        <f t="shared" si="3"/>
        <v>8702890.2519299593</v>
      </c>
    </row>
    <row r="72" spans="1:17">
      <c r="A72" s="38">
        <v>43404</v>
      </c>
      <c r="B72" s="25">
        <v>22178065.819609944</v>
      </c>
      <c r="C72" s="25">
        <v>10618654.866719998</v>
      </c>
      <c r="D72" s="25">
        <v>2675562.5031000008</v>
      </c>
      <c r="E72" s="25">
        <v>39541.433760000007</v>
      </c>
      <c r="O72" s="87">
        <v>138</v>
      </c>
      <c r="P72" s="23">
        <f t="shared" si="3"/>
        <v>8844307.0160299446</v>
      </c>
    </row>
    <row r="73" spans="1:17">
      <c r="A73" s="38">
        <v>43434</v>
      </c>
      <c r="B73" s="25">
        <v>23990830.309949957</v>
      </c>
      <c r="C73" s="25">
        <v>11530160.535740005</v>
      </c>
      <c r="D73" s="25">
        <v>2922006.9842999997</v>
      </c>
      <c r="E73" s="25">
        <v>41057.006670000002</v>
      </c>
      <c r="O73" s="87">
        <v>139</v>
      </c>
      <c r="P73" s="23">
        <f t="shared" si="3"/>
        <v>9497605.7832399514</v>
      </c>
    </row>
    <row r="74" spans="1:17">
      <c r="A74" s="38">
        <v>43465</v>
      </c>
      <c r="B74" s="25">
        <v>22802083.369260028</v>
      </c>
      <c r="C74" s="25">
        <v>10861945.522699995</v>
      </c>
      <c r="D74" s="25">
        <v>2683503.0108700003</v>
      </c>
      <c r="E74" s="25">
        <v>38232.533349999998</v>
      </c>
      <c r="O74" s="87">
        <v>146</v>
      </c>
      <c r="P74" s="23">
        <f t="shared" si="3"/>
        <v>9218402.3023400325</v>
      </c>
    </row>
    <row r="75" spans="1:17">
      <c r="A75" s="38">
        <v>43496</v>
      </c>
      <c r="B75" s="25">
        <v>24286227.436319914</v>
      </c>
      <c r="C75" s="25">
        <v>11873444.358479999</v>
      </c>
      <c r="D75" s="25">
        <v>2971255.8080399996</v>
      </c>
      <c r="E75" s="25">
        <v>40351.177900000002</v>
      </c>
      <c r="O75" s="87">
        <v>146</v>
      </c>
      <c r="P75" s="23">
        <f t="shared" si="3"/>
        <v>9401176.0918999147</v>
      </c>
    </row>
    <row r="76" spans="1:17">
      <c r="A76" s="38">
        <v>43524</v>
      </c>
      <c r="B76" s="25">
        <v>25353763.371389985</v>
      </c>
      <c r="C76" s="25">
        <v>12372206.204670001</v>
      </c>
      <c r="D76" s="25">
        <v>3122662.8452799995</v>
      </c>
      <c r="E76" s="25">
        <v>41929.775799999996</v>
      </c>
      <c r="O76" s="87">
        <v>148</v>
      </c>
      <c r="P76" s="23">
        <f t="shared" si="3"/>
        <v>9816964.5456399843</v>
      </c>
    </row>
    <row r="77" spans="1:17">
      <c r="A77" s="38">
        <v>43555</v>
      </c>
      <c r="B77" s="25">
        <v>26648958.200410008</v>
      </c>
      <c r="C77" s="25">
        <v>13213859.987509999</v>
      </c>
      <c r="D77" s="25">
        <v>3301687.5172800012</v>
      </c>
      <c r="E77" s="25">
        <v>42663.68535</v>
      </c>
      <c r="O77" s="87">
        <v>150</v>
      </c>
      <c r="P77" s="23">
        <f t="shared" si="3"/>
        <v>10090747.010270007</v>
      </c>
    </row>
    <row r="78" spans="1:17">
      <c r="A78" s="38">
        <v>43585</v>
      </c>
      <c r="B78" s="25">
        <v>28825646.402540077</v>
      </c>
      <c r="C78" s="25">
        <v>14392434.662979996</v>
      </c>
      <c r="D78" s="25">
        <v>3739028.1788200005</v>
      </c>
      <c r="E78" s="25">
        <v>68872.085699999996</v>
      </c>
      <c r="O78" s="87">
        <v>156</v>
      </c>
      <c r="P78" s="23">
        <f t="shared" si="3"/>
        <v>10625311.475040078</v>
      </c>
    </row>
    <row r="79" spans="1:17">
      <c r="A79" s="38">
        <v>43616</v>
      </c>
      <c r="B79" s="25">
        <v>33573598.50701005</v>
      </c>
      <c r="C79" s="25">
        <v>13677877.330160005</v>
      </c>
      <c r="D79" s="25">
        <v>3879481.1244000001</v>
      </c>
      <c r="E79" s="25">
        <v>139124.23279999997</v>
      </c>
      <c r="O79" s="87">
        <v>156</v>
      </c>
      <c r="P79" s="23">
        <f t="shared" si="3"/>
        <v>15877115.819650047</v>
      </c>
    </row>
    <row r="80" spans="1:17">
      <c r="A80" s="38">
        <v>43646</v>
      </c>
      <c r="B80" s="25">
        <v>35006078.49532</v>
      </c>
      <c r="C80" s="25">
        <v>15550940.32268</v>
      </c>
      <c r="D80" s="25">
        <v>4331135.0751899993</v>
      </c>
      <c r="E80" s="25">
        <v>396846.55135999998</v>
      </c>
      <c r="O80" s="87">
        <v>152</v>
      </c>
      <c r="P80" s="23">
        <f t="shared" si="3"/>
        <v>14727156.546089999</v>
      </c>
    </row>
    <row r="81" spans="1:16">
      <c r="A81" s="38">
        <v>43677</v>
      </c>
      <c r="B81" s="25">
        <v>60001356.262720004</v>
      </c>
      <c r="C81" s="25">
        <v>16387046.112599995</v>
      </c>
      <c r="D81" s="25">
        <v>4528090.6979399994</v>
      </c>
      <c r="E81" s="25">
        <v>403587.96924000006</v>
      </c>
      <c r="O81" s="87">
        <v>154</v>
      </c>
      <c r="P81" s="23">
        <f t="shared" si="3"/>
        <v>38682631.482940011</v>
      </c>
    </row>
    <row r="82" spans="1:16">
      <c r="A82" s="38">
        <v>43708</v>
      </c>
      <c r="B82" s="25">
        <v>61861733.43582999</v>
      </c>
      <c r="C82" s="25">
        <v>17905395.60864</v>
      </c>
      <c r="D82" s="25">
        <v>4555836.8198999986</v>
      </c>
      <c r="E82" s="25">
        <v>410758.8688</v>
      </c>
      <c r="O82" s="87">
        <v>161</v>
      </c>
      <c r="P82" s="23">
        <f t="shared" si="3"/>
        <v>38989742.138489991</v>
      </c>
    </row>
    <row r="83" spans="1:16">
      <c r="A83" s="38">
        <v>43738</v>
      </c>
      <c r="B83" s="25">
        <v>64776455.878470004</v>
      </c>
      <c r="C83" s="25">
        <v>18166266.235950004</v>
      </c>
      <c r="D83" s="25">
        <v>4938761.3545499993</v>
      </c>
      <c r="E83" s="25">
        <v>419383.35601999995</v>
      </c>
      <c r="O83" s="87">
        <v>164</v>
      </c>
      <c r="P83" s="23">
        <f t="shared" si="3"/>
        <v>41252044.931950003</v>
      </c>
    </row>
    <row r="84" spans="1:16">
      <c r="A84" s="38">
        <v>43769</v>
      </c>
      <c r="B84" s="25">
        <v>65466200.453869961</v>
      </c>
      <c r="C84" s="25">
        <v>18939830.919379998</v>
      </c>
      <c r="D84" s="25">
        <v>5136754.2489600014</v>
      </c>
      <c r="E84" s="25">
        <v>152349.087</v>
      </c>
      <c r="O84" s="87">
        <v>168</v>
      </c>
      <c r="P84" s="23">
        <f t="shared" si="3"/>
        <v>41237266.198529959</v>
      </c>
    </row>
    <row r="85" spans="1:16">
      <c r="A85" s="38">
        <v>43799</v>
      </c>
      <c r="B85" s="25">
        <v>66515854.774629891</v>
      </c>
      <c r="C85" s="25">
        <v>19457258.6318</v>
      </c>
      <c r="D85" s="25">
        <v>5211059.3870200012</v>
      </c>
      <c r="E85" s="25">
        <v>156008.92048</v>
      </c>
      <c r="O85" s="87">
        <v>170</v>
      </c>
      <c r="P85" s="23">
        <f t="shared" si="3"/>
        <v>41691527.83532989</v>
      </c>
    </row>
    <row r="86" spans="1:16">
      <c r="A86" s="38">
        <v>43830</v>
      </c>
      <c r="B86" s="25">
        <v>62637865.034619972</v>
      </c>
      <c r="C86" s="25">
        <v>20038400.085120004</v>
      </c>
      <c r="D86" s="25">
        <v>5377099.9425300024</v>
      </c>
      <c r="E86" s="25">
        <v>173238.55087000001</v>
      </c>
      <c r="O86" s="87">
        <v>174</v>
      </c>
      <c r="P86" s="23">
        <f t="shared" si="3"/>
        <v>37049126.456099965</v>
      </c>
    </row>
    <row r="87" spans="1:16">
      <c r="A87" s="38">
        <v>43861</v>
      </c>
      <c r="B87" s="25">
        <v>63923517.73168999</v>
      </c>
      <c r="C87" s="25">
        <v>22609650.750299986</v>
      </c>
      <c r="D87" s="25">
        <v>6097221.001240002</v>
      </c>
      <c r="E87" s="25">
        <v>318844.91645999998</v>
      </c>
      <c r="O87" s="87">
        <v>187</v>
      </c>
      <c r="P87" s="23">
        <f t="shared" si="3"/>
        <v>34897801.063689999</v>
      </c>
    </row>
    <row r="88" spans="1:16">
      <c r="A88" s="38">
        <v>43890</v>
      </c>
      <c r="B88" s="25">
        <v>61326851.318140022</v>
      </c>
      <c r="C88" s="25">
        <v>21199104.468099993</v>
      </c>
      <c r="D88" s="25">
        <v>5493135.0520199994</v>
      </c>
      <c r="E88" s="25">
        <v>296083.32839999994</v>
      </c>
      <c r="O88" s="87">
        <v>203</v>
      </c>
      <c r="P88" s="23">
        <f>B88-SUM(C88:E88)</f>
        <v>34338528.469620034</v>
      </c>
    </row>
    <row r="89" spans="1:16">
      <c r="A89" s="38">
        <v>43921</v>
      </c>
      <c r="B89" s="25">
        <v>56266619.235629953</v>
      </c>
      <c r="C89" s="25">
        <v>17646106.663800009</v>
      </c>
      <c r="D89" s="25">
        <v>4463777.668159999</v>
      </c>
      <c r="E89" s="25">
        <v>1287795.1846499995</v>
      </c>
      <c r="O89" s="87">
        <v>216</v>
      </c>
      <c r="P89" s="23">
        <f>B89-SUM(C89:E89)</f>
        <v>32868939.719019946</v>
      </c>
    </row>
    <row r="90" spans="1:16">
      <c r="A90" s="38">
        <v>43951</v>
      </c>
      <c r="B90" s="25">
        <v>60805535.302170008</v>
      </c>
      <c r="C90" s="25">
        <v>17840557.275600005</v>
      </c>
      <c r="D90" s="25">
        <v>5082457.2639999995</v>
      </c>
      <c r="E90" s="25">
        <v>2549428.6176000005</v>
      </c>
      <c r="O90" s="87">
        <v>232</v>
      </c>
      <c r="P90" s="23">
        <f>B90-SUM(C90:E90)</f>
        <v>35333092.14497</v>
      </c>
    </row>
    <row r="91" spans="1:16">
      <c r="A91" s="38">
        <v>43982</v>
      </c>
      <c r="B91" s="25">
        <v>66006800.469600014</v>
      </c>
      <c r="C91" s="25">
        <v>19102682.602800004</v>
      </c>
      <c r="D91" s="25">
        <v>5351640.9909000006</v>
      </c>
      <c r="E91" s="25">
        <v>2672084.9851600006</v>
      </c>
      <c r="O91" s="87">
        <v>254</v>
      </c>
      <c r="P91" s="23">
        <f>B91-SUM(C91:E91)</f>
        <v>38880391.890740007</v>
      </c>
    </row>
    <row r="92" spans="1:16">
      <c r="A92" s="38">
        <v>44012</v>
      </c>
      <c r="B92" s="25">
        <v>66624158.168970011</v>
      </c>
      <c r="C92" s="25">
        <v>15336269.458860006</v>
      </c>
      <c r="D92" s="25">
        <v>4648927.7551500006</v>
      </c>
      <c r="E92" s="25">
        <v>2435962.4889600002</v>
      </c>
      <c r="F92" s="25">
        <v>2274252.3289199998</v>
      </c>
      <c r="G92" s="25">
        <v>3411691.3186500007</v>
      </c>
      <c r="H92" s="25">
        <v>1184695.5736200002</v>
      </c>
      <c r="O92" s="87">
        <v>257</v>
      </c>
      <c r="P92" s="23">
        <f t="shared" ref="P92:P97" si="4">B92-SUM(C92:H92)</f>
        <v>37332359.24481</v>
      </c>
    </row>
    <row r="93" spans="1:16">
      <c r="A93" s="38">
        <v>44043</v>
      </c>
      <c r="B93" s="25">
        <v>71092869.624769971</v>
      </c>
      <c r="C93" s="25">
        <v>15906195.933180002</v>
      </c>
      <c r="D93" s="25">
        <v>4975299.4477199996</v>
      </c>
      <c r="E93" s="25">
        <v>2754955.4485200001</v>
      </c>
      <c r="F93" s="25">
        <v>2596562.1881999988</v>
      </c>
      <c r="G93" s="25">
        <v>4368044.9903500006</v>
      </c>
      <c r="H93" s="25">
        <v>1229888.5397400002</v>
      </c>
      <c r="O93" s="87">
        <v>271</v>
      </c>
      <c r="P93" s="23">
        <f t="shared" si="4"/>
        <v>39261923.077059969</v>
      </c>
    </row>
    <row r="94" spans="1:16">
      <c r="A94" s="38">
        <v>44074</v>
      </c>
      <c r="B94" s="25">
        <v>75617901.779080078</v>
      </c>
      <c r="C94" s="25">
        <v>15444132.088550001</v>
      </c>
      <c r="D94" s="25">
        <v>5303950.9400400007</v>
      </c>
      <c r="E94" s="25">
        <v>3831466.5851500002</v>
      </c>
      <c r="F94" s="25">
        <v>2870122.3139799996</v>
      </c>
      <c r="G94" s="25">
        <v>5582028.6562000001</v>
      </c>
      <c r="H94" s="25">
        <v>614374.43715000013</v>
      </c>
      <c r="O94" s="87">
        <v>286</v>
      </c>
      <c r="P94" s="23">
        <f t="shared" si="4"/>
        <v>41971826.758010082</v>
      </c>
    </row>
    <row r="95" spans="1:16">
      <c r="A95" s="38">
        <v>44104</v>
      </c>
      <c r="B95" s="25">
        <v>72437621.46935001</v>
      </c>
      <c r="C95" s="25">
        <v>14968992.528540006</v>
      </c>
      <c r="D95" s="25">
        <v>5205484.2655199999</v>
      </c>
      <c r="E95" s="25">
        <v>3870870.5071399994</v>
      </c>
      <c r="F95" s="25">
        <v>2619958.3904199991</v>
      </c>
      <c r="G95" s="25">
        <v>5691466.674399999</v>
      </c>
      <c r="H95" s="25">
        <v>692281.66875000007</v>
      </c>
      <c r="O95" s="87">
        <v>302</v>
      </c>
      <c r="P95" s="23">
        <f t="shared" si="4"/>
        <v>39388567.434580006</v>
      </c>
    </row>
    <row r="96" spans="1:16">
      <c r="A96" s="38">
        <v>44135</v>
      </c>
      <c r="B96" s="25">
        <v>64070305.303870037</v>
      </c>
      <c r="C96" s="25">
        <v>13832376.355259998</v>
      </c>
      <c r="D96" s="25">
        <v>5413146.1102799987</v>
      </c>
      <c r="E96" s="25">
        <v>4173659.1211500023</v>
      </c>
      <c r="F96" s="25">
        <v>2575792.5141900014</v>
      </c>
      <c r="G96" s="25">
        <v>6003632.8700000001</v>
      </c>
      <c r="H96" s="25">
        <v>867954.32114999997</v>
      </c>
      <c r="O96" s="87">
        <v>313</v>
      </c>
      <c r="P96" s="23">
        <f t="shared" si="4"/>
        <v>31203744.011840038</v>
      </c>
    </row>
    <row r="97" spans="1:16">
      <c r="A97" s="38">
        <v>44165</v>
      </c>
      <c r="B97" s="25">
        <v>73321396.238170013</v>
      </c>
      <c r="C97" s="25">
        <v>9439366.370959999</v>
      </c>
      <c r="D97" s="25">
        <v>6310045.4174100012</v>
      </c>
      <c r="E97" s="25">
        <v>6976407.6243399996</v>
      </c>
      <c r="F97" s="25">
        <v>3178359.7751499997</v>
      </c>
      <c r="G97" s="25">
        <v>6043564.5912499996</v>
      </c>
      <c r="H97" s="25">
        <v>903896.80223999999</v>
      </c>
      <c r="O97" s="87">
        <v>327</v>
      </c>
      <c r="P97" s="23">
        <f t="shared" si="4"/>
        <v>40469755.656820014</v>
      </c>
    </row>
    <row r="98" spans="1:16">
      <c r="A98" s="38">
        <v>44196</v>
      </c>
      <c r="B98" s="25">
        <v>98779439.92746</v>
      </c>
      <c r="C98" s="25">
        <v>9425187.2627999987</v>
      </c>
      <c r="D98" s="25">
        <v>6722962.9403700018</v>
      </c>
      <c r="E98" s="25">
        <v>7438630.9651200026</v>
      </c>
      <c r="F98" s="25">
        <v>3899032.7283899989</v>
      </c>
      <c r="G98" s="25">
        <v>6912875.5533899991</v>
      </c>
      <c r="H98" s="25">
        <v>791391.74939999986</v>
      </c>
      <c r="O98" s="87">
        <v>356</v>
      </c>
      <c r="P98" s="23">
        <f>B98-SUM(C98:H98)</f>
        <v>63589358.727990001</v>
      </c>
    </row>
    <row r="99" spans="1:16">
      <c r="A99" s="38">
        <v>44227</v>
      </c>
      <c r="B99" s="25">
        <v>164002208.028267</v>
      </c>
      <c r="C99" s="25">
        <v>12037701.477360003</v>
      </c>
      <c r="D99" s="25">
        <v>6759734.1367599992</v>
      </c>
      <c r="E99" s="25">
        <v>7254745.4592900006</v>
      </c>
      <c r="F99" s="25">
        <v>3721389.0361799994</v>
      </c>
      <c r="G99" s="25">
        <v>6368851.4291199995</v>
      </c>
      <c r="H99" s="25">
        <v>788922.65195999993</v>
      </c>
      <c r="O99" s="87">
        <v>424</v>
      </c>
      <c r="P99" s="23">
        <f>B99-SUM(C99:H99)</f>
        <v>127070863.83759698</v>
      </c>
    </row>
    <row r="100" spans="1:16">
      <c r="A100" s="38">
        <v>44255</v>
      </c>
      <c r="B100" s="25">
        <v>167280071.80451083</v>
      </c>
      <c r="C100" s="25">
        <v>9939154.7776500024</v>
      </c>
      <c r="D100" s="25">
        <v>3735447.1811999995</v>
      </c>
      <c r="E100" s="25">
        <v>8595726.1591400001</v>
      </c>
      <c r="F100" s="25">
        <v>4101103.1231999993</v>
      </c>
      <c r="G100" s="25">
        <v>6462368.3454799987</v>
      </c>
      <c r="H100" s="25">
        <v>521119.54439999996</v>
      </c>
      <c r="O100" s="87">
        <v>447</v>
      </c>
      <c r="P100" s="23">
        <f>B100-SUM(C100:H100)</f>
        <v>133925152.67344083</v>
      </c>
    </row>
    <row r="101" spans="1:16">
      <c r="A101" s="38">
        <v>44286</v>
      </c>
      <c r="B101" s="25">
        <v>190899314.45995781</v>
      </c>
      <c r="C101" s="25">
        <v>10358823.471659996</v>
      </c>
      <c r="D101" s="25">
        <v>3860778.0684199994</v>
      </c>
      <c r="E101" s="25">
        <v>9133887.4722700045</v>
      </c>
      <c r="F101" s="25">
        <v>4670239.6117500011</v>
      </c>
      <c r="G101" s="25">
        <v>6621293.5152000012</v>
      </c>
      <c r="H101" s="25">
        <v>497014.76579999994</v>
      </c>
      <c r="I101" s="25">
        <v>2746623.9353599995</v>
      </c>
      <c r="O101" s="87">
        <v>484</v>
      </c>
      <c r="P101" s="23">
        <f t="shared" ref="P101:P114" si="5">B101-SUM(C101:I101)</f>
        <v>153010653.61949781</v>
      </c>
    </row>
    <row r="102" spans="1:16">
      <c r="A102" s="38">
        <v>44316</v>
      </c>
      <c r="B102" s="25">
        <v>199905319.8902849</v>
      </c>
      <c r="C102" s="25">
        <v>10961613.516000003</v>
      </c>
      <c r="D102" s="25">
        <v>4004777.8454200001</v>
      </c>
      <c r="E102" s="25">
        <v>9817243.0687800013</v>
      </c>
      <c r="F102" s="25">
        <v>4642916.924589999</v>
      </c>
      <c r="G102" s="25">
        <v>7183353.0319999997</v>
      </c>
      <c r="H102" s="25">
        <v>609027.33010000014</v>
      </c>
      <c r="I102" s="25">
        <v>2933228.3286000011</v>
      </c>
      <c r="O102" s="87">
        <v>507</v>
      </c>
      <c r="P102" s="23">
        <f t="shared" si="5"/>
        <v>159753159.8447949</v>
      </c>
    </row>
    <row r="103" spans="1:16">
      <c r="A103" s="38">
        <v>44347</v>
      </c>
      <c r="B103" s="25">
        <v>200819466.35831639</v>
      </c>
      <c r="C103" s="25">
        <v>11185932.260999996</v>
      </c>
      <c r="D103" s="25">
        <v>4113784.7792099998</v>
      </c>
      <c r="E103" s="25">
        <v>10186934.693820003</v>
      </c>
      <c r="F103" s="25">
        <v>4700682.6065999996</v>
      </c>
      <c r="G103" s="25">
        <v>7591849.8107999982</v>
      </c>
      <c r="H103" s="25">
        <v>612476.96317000012</v>
      </c>
      <c r="I103" s="25">
        <v>3158209.3006599993</v>
      </c>
      <c r="O103" s="87">
        <v>514</v>
      </c>
      <c r="P103" s="23">
        <f t="shared" si="5"/>
        <v>159269595.9430564</v>
      </c>
    </row>
    <row r="104" spans="1:16">
      <c r="A104" s="38">
        <v>44377</v>
      </c>
      <c r="B104" s="25">
        <v>206397716.94046846</v>
      </c>
      <c r="C104" s="25">
        <v>11617056.755509999</v>
      </c>
      <c r="D104" s="25">
        <v>4097528.4688999997</v>
      </c>
      <c r="E104" s="25">
        <v>10208490.323879996</v>
      </c>
      <c r="F104" s="25">
        <v>4745661.3624000009</v>
      </c>
      <c r="G104" s="25">
        <v>7810421.0732800011</v>
      </c>
      <c r="H104" s="25">
        <v>622680.88164000004</v>
      </c>
      <c r="I104" s="25">
        <v>3145619.8087200006</v>
      </c>
      <c r="O104" s="87">
        <v>526</v>
      </c>
      <c r="P104" s="23">
        <f t="shared" si="5"/>
        <v>164150258.26613846</v>
      </c>
    </row>
    <row r="105" spans="1:16">
      <c r="A105" s="38">
        <v>44408</v>
      </c>
      <c r="B105" s="25">
        <v>209626093.30371425</v>
      </c>
      <c r="C105" s="25">
        <v>11806809.568109991</v>
      </c>
      <c r="D105" s="25">
        <v>2912189.1953700003</v>
      </c>
      <c r="E105" s="25">
        <v>9993206.744020002</v>
      </c>
      <c r="F105" s="25">
        <v>5059852.6286000004</v>
      </c>
      <c r="G105" s="25">
        <v>7624260.7633500006</v>
      </c>
      <c r="H105" s="25">
        <v>529783.83149999997</v>
      </c>
      <c r="I105" s="25">
        <v>4839354.1446600007</v>
      </c>
      <c r="O105" s="87">
        <v>551</v>
      </c>
      <c r="P105" s="23">
        <f t="shared" si="5"/>
        <v>166860636.42810425</v>
      </c>
    </row>
    <row r="106" spans="1:16">
      <c r="A106" s="38">
        <v>44439</v>
      </c>
      <c r="B106" s="25">
        <v>212688287.1439088</v>
      </c>
      <c r="C106" s="25">
        <v>12153581.370809998</v>
      </c>
      <c r="D106" s="25">
        <v>2951704.0357199986</v>
      </c>
      <c r="E106" s="25">
        <v>10440183.655660002</v>
      </c>
      <c r="F106" s="25">
        <v>4632081.0943199992</v>
      </c>
      <c r="G106" s="25">
        <v>7653266.7849399988</v>
      </c>
      <c r="H106" s="25">
        <v>647260.73567999993</v>
      </c>
      <c r="I106" s="25">
        <v>4924692.6909600021</v>
      </c>
      <c r="O106" s="87">
        <v>544</v>
      </c>
      <c r="P106" s="23">
        <f t="shared" si="5"/>
        <v>169285516.77581879</v>
      </c>
    </row>
    <row r="107" spans="1:16">
      <c r="A107" s="38">
        <v>44469</v>
      </c>
      <c r="B107" s="25">
        <v>204596620.58629474</v>
      </c>
      <c r="C107" s="25">
        <v>11144811.940080002</v>
      </c>
      <c r="D107" s="25">
        <v>2875979.8195200008</v>
      </c>
      <c r="E107" s="25">
        <v>10045693.264479991</v>
      </c>
      <c r="F107" s="25">
        <v>5071462.4010300012</v>
      </c>
      <c r="G107" s="25">
        <v>7442243.9380799988</v>
      </c>
      <c r="H107" s="25">
        <v>585106.75890000002</v>
      </c>
      <c r="I107" s="25">
        <v>4883970.1897800015</v>
      </c>
      <c r="O107" s="87">
        <v>560</v>
      </c>
      <c r="P107" s="23">
        <f t="shared" si="5"/>
        <v>162547352.27442473</v>
      </c>
    </row>
    <row r="108" spans="1:16">
      <c r="A108" s="38">
        <v>44500</v>
      </c>
      <c r="B108" s="25">
        <v>211437633.85482869</v>
      </c>
      <c r="C108" s="25">
        <v>12188256.904329995</v>
      </c>
      <c r="D108" s="25">
        <v>2984292.0827000015</v>
      </c>
      <c r="E108" s="25">
        <v>10829068.393550007</v>
      </c>
      <c r="F108" s="25">
        <v>5236119.6430399977</v>
      </c>
      <c r="G108" s="25">
        <v>8009432.760999999</v>
      </c>
      <c r="H108" s="25">
        <v>597755.59326000011</v>
      </c>
      <c r="I108" s="25">
        <v>5164977.4822800038</v>
      </c>
      <c r="O108" s="87">
        <v>569</v>
      </c>
      <c r="P108" s="23">
        <f t="shared" si="5"/>
        <v>166427730.99466869</v>
      </c>
    </row>
    <row r="109" spans="1:16">
      <c r="A109" s="38">
        <v>44530</v>
      </c>
      <c r="B109" s="2">
        <v>246429470.19776911</v>
      </c>
      <c r="C109" s="25">
        <v>11920599.250000009</v>
      </c>
      <c r="D109" s="25">
        <v>2946832.8600000003</v>
      </c>
      <c r="E109" s="25">
        <v>10525404.750000006</v>
      </c>
      <c r="F109" s="25">
        <v>5402825.3900000006</v>
      </c>
      <c r="G109" s="25">
        <v>7922326.3699999992</v>
      </c>
      <c r="H109" s="25">
        <v>596485.5</v>
      </c>
      <c r="I109" s="25">
        <v>4885521.6500000013</v>
      </c>
      <c r="O109" s="87">
        <v>578</v>
      </c>
      <c r="P109" s="23">
        <f t="shared" si="5"/>
        <v>202229474.42776909</v>
      </c>
    </row>
    <row r="110" spans="1:16">
      <c r="A110" s="38">
        <v>44561</v>
      </c>
      <c r="B110" s="25">
        <v>255775746.35000047</v>
      </c>
      <c r="C110" s="25">
        <v>14820933</v>
      </c>
      <c r="D110" s="25">
        <v>4496372.8599999975</v>
      </c>
      <c r="E110" s="25">
        <v>14663900.190000009</v>
      </c>
      <c r="F110" s="25">
        <v>6201129.1199999982</v>
      </c>
      <c r="G110" s="25">
        <v>8599206.8199999984</v>
      </c>
      <c r="H110" s="25">
        <v>0</v>
      </c>
      <c r="I110" s="25">
        <v>7625497.6800000025</v>
      </c>
      <c r="O110" s="87">
        <v>608</v>
      </c>
      <c r="P110" s="23">
        <f t="shared" si="5"/>
        <v>199368706.68000045</v>
      </c>
    </row>
    <row r="111" spans="1:16">
      <c r="A111" s="38">
        <v>44592</v>
      </c>
      <c r="B111" s="25">
        <v>253448374.32034025</v>
      </c>
      <c r="C111" s="25">
        <v>14879669.080000004</v>
      </c>
      <c r="D111" s="25">
        <v>4292615.2299999995</v>
      </c>
      <c r="E111" s="25">
        <v>14780028.329999991</v>
      </c>
      <c r="F111" s="25">
        <v>6539690.7400000021</v>
      </c>
      <c r="G111" s="25">
        <v>8232890.5000000019</v>
      </c>
      <c r="H111" s="25">
        <v>0</v>
      </c>
      <c r="I111" s="25">
        <v>7440676.7499999953</v>
      </c>
      <c r="O111" s="87">
        <v>625</v>
      </c>
      <c r="P111" s="23">
        <f t="shared" si="5"/>
        <v>197282803.69034025</v>
      </c>
    </row>
    <row r="112" spans="1:16">
      <c r="A112" s="38">
        <v>44620</v>
      </c>
      <c r="B112" s="25">
        <v>252575875.32665038</v>
      </c>
      <c r="C112" s="25">
        <v>14635877.699999992</v>
      </c>
      <c r="D112" s="25">
        <v>4356353.870000001</v>
      </c>
      <c r="E112" s="25">
        <v>15349685.989999996</v>
      </c>
      <c r="F112" s="25">
        <v>6502751.1100000013</v>
      </c>
      <c r="G112" s="25">
        <v>8012096.5599999996</v>
      </c>
      <c r="H112" s="25">
        <v>0</v>
      </c>
      <c r="I112" s="25">
        <v>8035925.4800000051</v>
      </c>
      <c r="O112" s="87">
        <v>640</v>
      </c>
      <c r="P112" s="23">
        <f t="shared" si="5"/>
        <v>195683184.6166504</v>
      </c>
    </row>
    <row r="113" spans="1:16">
      <c r="A113" s="38">
        <v>44651</v>
      </c>
      <c r="B113" s="25">
        <v>260694643.41753963</v>
      </c>
      <c r="C113" s="25">
        <v>15774163.910000009</v>
      </c>
      <c r="D113" s="25">
        <v>4516436.5599999987</v>
      </c>
      <c r="E113" s="25">
        <v>16376269.949999981</v>
      </c>
      <c r="F113" s="25">
        <v>7218799.0999999978</v>
      </c>
      <c r="G113" s="25">
        <v>8340816.5599999968</v>
      </c>
      <c r="H113" s="25">
        <v>0</v>
      </c>
      <c r="I113" s="25">
        <v>8355252.7599999998</v>
      </c>
      <c r="O113" s="87">
        <v>679</v>
      </c>
      <c r="P113" s="23">
        <f t="shared" si="5"/>
        <v>200112904.57753965</v>
      </c>
    </row>
    <row r="114" spans="1:16">
      <c r="A114" s="38">
        <v>44681</v>
      </c>
      <c r="B114" s="25">
        <v>242101947.16403243</v>
      </c>
      <c r="C114" s="25">
        <v>15385612.448220003</v>
      </c>
      <c r="D114" s="25">
        <v>4287172.7936399998</v>
      </c>
      <c r="E114" s="25">
        <v>15923891.603330005</v>
      </c>
      <c r="F114" s="25">
        <v>7082813.5708999969</v>
      </c>
      <c r="G114" s="25">
        <v>8057922.1430400033</v>
      </c>
      <c r="H114" s="25">
        <v>0</v>
      </c>
      <c r="I114" s="25">
        <v>8080933.1744399928</v>
      </c>
      <c r="O114" s="87">
        <v>713</v>
      </c>
      <c r="P114" s="23">
        <f t="shared" si="5"/>
        <v>183283601.43046242</v>
      </c>
    </row>
    <row r="115" spans="1:16">
      <c r="A115" s="38">
        <v>44712</v>
      </c>
      <c r="B115" s="25">
        <v>247007254.4311035</v>
      </c>
      <c r="C115" s="25">
        <v>15694267.364639988</v>
      </c>
      <c r="D115" s="25">
        <v>4585060.3383899992</v>
      </c>
      <c r="E115" s="25">
        <v>16714828.719389999</v>
      </c>
      <c r="F115" s="25">
        <v>7333915.4462400014</v>
      </c>
      <c r="G115" s="25">
        <v>8402731.3787999991</v>
      </c>
      <c r="H115" s="25">
        <v>0</v>
      </c>
      <c r="I115" s="25">
        <v>8764442.4038600009</v>
      </c>
      <c r="O115" s="87">
        <v>744</v>
      </c>
      <c r="P115" s="23">
        <f t="shared" ref="P115:P124" si="6">B115-SUM(C115:I115)</f>
        <v>185512008.77978352</v>
      </c>
    </row>
    <row r="116" spans="1:16">
      <c r="A116" s="38">
        <v>44742</v>
      </c>
      <c r="B116" s="25">
        <v>237894908.75999999</v>
      </c>
      <c r="C116" s="25">
        <v>14887825.126329994</v>
      </c>
      <c r="D116" s="25">
        <v>4539967.4352899976</v>
      </c>
      <c r="E116" s="25">
        <v>16356926.031600002</v>
      </c>
      <c r="F116" s="25">
        <v>7194451.2634499995</v>
      </c>
      <c r="G116" s="25">
        <v>8688061.768699998</v>
      </c>
      <c r="H116" s="25">
        <v>0</v>
      </c>
      <c r="I116" s="25">
        <v>8150318.0709799984</v>
      </c>
      <c r="O116" s="87">
        <v>765</v>
      </c>
      <c r="P116" s="23">
        <f t="shared" si="6"/>
        <v>178077359.06365001</v>
      </c>
    </row>
    <row r="117" spans="1:16">
      <c r="A117" s="38">
        <v>44773</v>
      </c>
      <c r="B117" s="25">
        <v>258856890.96481591</v>
      </c>
      <c r="C117" s="25">
        <v>15733694.628320007</v>
      </c>
      <c r="D117" s="25">
        <v>4865159.9725300008</v>
      </c>
      <c r="E117" s="25">
        <v>17493659.141000006</v>
      </c>
      <c r="F117" s="25">
        <v>8184931.3583999984</v>
      </c>
      <c r="G117" s="25">
        <v>10334597.931799997</v>
      </c>
      <c r="H117" s="25">
        <v>0</v>
      </c>
      <c r="I117" s="25">
        <v>9143025.9072099999</v>
      </c>
      <c r="O117" s="87">
        <v>797</v>
      </c>
      <c r="P117" s="23">
        <f t="shared" si="6"/>
        <v>193101822.02555591</v>
      </c>
    </row>
    <row r="118" spans="1:16">
      <c r="A118" s="38">
        <v>44804</v>
      </c>
      <c r="B118" s="25">
        <v>256414839.39318877</v>
      </c>
      <c r="C118" s="25">
        <v>13852191.834599998</v>
      </c>
      <c r="D118" s="25">
        <v>3763462.7193600009</v>
      </c>
      <c r="E118" s="25">
        <v>14719788.49619999</v>
      </c>
      <c r="F118" s="25">
        <v>8095558.607730004</v>
      </c>
      <c r="G118" s="25">
        <v>10508728.150199998</v>
      </c>
      <c r="H118" s="25">
        <v>0</v>
      </c>
      <c r="I118" s="25">
        <v>7261382.3767500035</v>
      </c>
      <c r="O118" s="87">
        <v>820</v>
      </c>
      <c r="P118" s="23">
        <f t="shared" si="6"/>
        <v>198213727.20834878</v>
      </c>
    </row>
    <row r="119" spans="1:16">
      <c r="A119" s="38">
        <v>44834</v>
      </c>
      <c r="B119" s="25">
        <v>224835071.53964907</v>
      </c>
      <c r="C119" s="25">
        <v>12613208.918480003</v>
      </c>
      <c r="D119" s="25">
        <v>3556546.1637099953</v>
      </c>
      <c r="E119" s="25">
        <v>13956327.469260003</v>
      </c>
      <c r="F119" s="25">
        <v>7599963.0268899966</v>
      </c>
      <c r="G119" s="25">
        <v>10335323.653999999</v>
      </c>
      <c r="H119" s="25">
        <v>0</v>
      </c>
      <c r="I119" s="25">
        <v>6772045.6297600009</v>
      </c>
      <c r="O119" s="87">
        <v>853</v>
      </c>
      <c r="P119" s="23">
        <f t="shared" si="6"/>
        <v>170001656.67754906</v>
      </c>
    </row>
    <row r="120" spans="1:16">
      <c r="A120" s="38">
        <v>44865</v>
      </c>
      <c r="B120" s="25">
        <v>238306749.46724328</v>
      </c>
      <c r="C120" s="25">
        <v>14034769.400880005</v>
      </c>
      <c r="D120" s="25">
        <v>3916519.5802199962</v>
      </c>
      <c r="E120" s="25">
        <v>15018565.428339992</v>
      </c>
      <c r="F120" s="25">
        <v>8371333.1686400007</v>
      </c>
      <c r="G120" s="25">
        <v>11033518.373699998</v>
      </c>
      <c r="H120" s="25">
        <v>0</v>
      </c>
      <c r="I120" s="25">
        <v>7542765.3394999951</v>
      </c>
      <c r="O120" s="87">
        <v>893</v>
      </c>
      <c r="P120" s="23">
        <f t="shared" si="6"/>
        <v>178389278.17596328</v>
      </c>
    </row>
    <row r="121" spans="1:16">
      <c r="A121" s="38">
        <v>44895</v>
      </c>
      <c r="B121" s="25">
        <v>245311709.47291285</v>
      </c>
      <c r="C121" s="25">
        <v>14851520.284589997</v>
      </c>
      <c r="D121" s="25">
        <v>4069537.6206999999</v>
      </c>
      <c r="E121" s="25">
        <v>16206964.622040004</v>
      </c>
      <c r="F121" s="25">
        <v>8682266.1244800035</v>
      </c>
      <c r="G121" s="25">
        <v>11774205.693999987</v>
      </c>
      <c r="H121" s="25">
        <v>0</v>
      </c>
      <c r="I121" s="25">
        <v>7924343.5859499965</v>
      </c>
      <c r="O121" s="87">
        <v>913</v>
      </c>
      <c r="P121" s="23">
        <f t="shared" si="6"/>
        <v>181802871.54115286</v>
      </c>
    </row>
    <row r="122" spans="1:16">
      <c r="A122" s="38">
        <v>44926</v>
      </c>
      <c r="B122" s="25">
        <v>238984349.86555582</v>
      </c>
      <c r="C122" s="25">
        <v>14211869.301370004</v>
      </c>
      <c r="D122" s="25">
        <v>3809420.2018999998</v>
      </c>
      <c r="E122" s="25">
        <v>15273869.094990009</v>
      </c>
      <c r="F122" s="25">
        <v>8707778.7488999981</v>
      </c>
      <c r="G122" s="25">
        <v>11575640.635020003</v>
      </c>
      <c r="H122" s="25">
        <v>0</v>
      </c>
      <c r="I122" s="25">
        <v>7446995.2802999988</v>
      </c>
      <c r="O122" s="87">
        <v>938</v>
      </c>
      <c r="P122" s="23">
        <f t="shared" si="6"/>
        <v>177958776.6030758</v>
      </c>
    </row>
    <row r="123" spans="1:16">
      <c r="A123" s="38">
        <v>44957</v>
      </c>
      <c r="B123" s="25">
        <v>251964169.23980892</v>
      </c>
      <c r="C123" s="25">
        <v>14711844.433959991</v>
      </c>
      <c r="D123" s="25">
        <v>4011445.0975199984</v>
      </c>
      <c r="E123" s="25">
        <v>16357387.395960005</v>
      </c>
      <c r="F123" s="25">
        <v>9516250.103360001</v>
      </c>
      <c r="G123" s="25">
        <v>12700040.995599996</v>
      </c>
      <c r="H123" s="25">
        <v>0</v>
      </c>
      <c r="I123" s="25">
        <v>8178181.8047999907</v>
      </c>
      <c r="O123" s="87">
        <v>976</v>
      </c>
      <c r="P123" s="23">
        <f t="shared" si="6"/>
        <v>186489019.40860891</v>
      </c>
    </row>
    <row r="124" spans="1:16">
      <c r="A124" s="38">
        <v>44985</v>
      </c>
      <c r="B124" s="25">
        <v>253710537.36727059</v>
      </c>
      <c r="C124" s="25">
        <v>14668663.358580001</v>
      </c>
      <c r="D124" s="25">
        <v>4030117.2912000013</v>
      </c>
      <c r="E124" s="25">
        <v>16245988.393199991</v>
      </c>
      <c r="F124" s="25">
        <v>9497532.7169999946</v>
      </c>
      <c r="G124" s="25">
        <v>12294839.986080008</v>
      </c>
      <c r="H124" s="25">
        <v>0</v>
      </c>
      <c r="I124" s="25">
        <v>8247328.7150099967</v>
      </c>
      <c r="O124" s="87">
        <v>1016</v>
      </c>
      <c r="P124" s="23">
        <f t="shared" si="6"/>
        <v>188726066.90620059</v>
      </c>
    </row>
    <row r="125" spans="1:16">
      <c r="A125" s="38">
        <v>45016</v>
      </c>
      <c r="B125" s="25">
        <v>267644519.80104971</v>
      </c>
      <c r="C125" s="25">
        <v>15081815.002620008</v>
      </c>
      <c r="D125" s="25">
        <v>4022745.2401700024</v>
      </c>
      <c r="E125" s="25">
        <v>16946520.797640011</v>
      </c>
      <c r="F125" s="25">
        <v>9578566.2831300031</v>
      </c>
      <c r="G125" s="25">
        <v>13203670.633649994</v>
      </c>
      <c r="H125" s="25">
        <v>0</v>
      </c>
      <c r="I125" s="25">
        <v>8196052.0905900011</v>
      </c>
      <c r="J125" s="25">
        <v>6278646.2728000013</v>
      </c>
      <c r="K125" s="25">
        <v>5036920.2513000024</v>
      </c>
      <c r="O125" s="87">
        <v>1061</v>
      </c>
      <c r="P125" s="23">
        <f t="shared" ref="P125:P135" si="7">B125-SUM(C125:K125)</f>
        <v>189299583.2291497</v>
      </c>
    </row>
    <row r="126" spans="1:16">
      <c r="A126" s="38">
        <v>45046</v>
      </c>
      <c r="B126" s="25">
        <v>272374477.8430571</v>
      </c>
      <c r="C126" s="25">
        <v>15308692.155719999</v>
      </c>
      <c r="D126" s="25">
        <v>4023876.5625600005</v>
      </c>
      <c r="E126" s="25">
        <v>17412495.746160004</v>
      </c>
      <c r="F126" s="25">
        <v>9595981.6898400038</v>
      </c>
      <c r="G126" s="25">
        <v>13816389.616800003</v>
      </c>
      <c r="H126" s="25">
        <v>0</v>
      </c>
      <c r="I126" s="25">
        <v>8194946.3855399936</v>
      </c>
      <c r="J126" s="25">
        <v>11761726.080000011</v>
      </c>
      <c r="K126" s="25">
        <v>5917558.9900000012</v>
      </c>
      <c r="O126" s="87">
        <v>1112</v>
      </c>
      <c r="P126" s="23">
        <f t="shared" si="7"/>
        <v>186342810.61643708</v>
      </c>
    </row>
    <row r="127" spans="1:16">
      <c r="A127" s="38">
        <v>45077</v>
      </c>
      <c r="B127" s="25">
        <v>269485069.63194543</v>
      </c>
      <c r="C127" s="25">
        <v>15088195.412539991</v>
      </c>
      <c r="D127" s="25">
        <v>3967329.9288000003</v>
      </c>
      <c r="E127" s="25">
        <v>17195874.573689993</v>
      </c>
      <c r="F127" s="25">
        <v>9476798.4237900041</v>
      </c>
      <c r="G127" s="25">
        <v>13520222.785279999</v>
      </c>
      <c r="H127" s="25">
        <v>0</v>
      </c>
      <c r="I127" s="25">
        <v>8119214.8914000019</v>
      </c>
      <c r="J127" s="25">
        <v>11904804.192000013</v>
      </c>
      <c r="K127" s="25">
        <v>6022270.3999999985</v>
      </c>
      <c r="O127" s="87">
        <v>1137</v>
      </c>
      <c r="P127" s="23">
        <f t="shared" si="7"/>
        <v>184190359.02444541</v>
      </c>
    </row>
    <row r="128" spans="1:16">
      <c r="A128" s="38">
        <v>45107</v>
      </c>
      <c r="B128" s="25">
        <v>282760468.39459276</v>
      </c>
      <c r="C128" s="25">
        <v>15911911.535659986</v>
      </c>
      <c r="D128" s="25">
        <v>4257579.6050899979</v>
      </c>
      <c r="E128" s="25">
        <v>18266449.663860001</v>
      </c>
      <c r="F128" s="25">
        <v>10409108.480699994</v>
      </c>
      <c r="G128" s="25">
        <v>14676723.493300006</v>
      </c>
      <c r="H128" s="25">
        <v>0</v>
      </c>
      <c r="I128" s="25">
        <v>9096135.7753499988</v>
      </c>
      <c r="J128" s="25">
        <v>12507155.099999994</v>
      </c>
      <c r="K128" s="25">
        <v>6491132.2030300051</v>
      </c>
      <c r="O128" s="87">
        <v>1166</v>
      </c>
      <c r="P128" s="23">
        <f t="shared" si="7"/>
        <v>191144272.53760278</v>
      </c>
    </row>
    <row r="129" spans="1:16">
      <c r="A129" s="38">
        <v>45138</v>
      </c>
      <c r="B129" s="25">
        <v>301911633.02048481</v>
      </c>
      <c r="C129" s="6">
        <v>17391392.27920001</v>
      </c>
      <c r="D129" s="6">
        <v>4699553.4026000062</v>
      </c>
      <c r="E129" s="6">
        <v>19743997.010309987</v>
      </c>
      <c r="F129" s="6">
        <v>10804605.913920002</v>
      </c>
      <c r="G129" s="6">
        <v>15309488.864020003</v>
      </c>
      <c r="H129" s="6">
        <v>0</v>
      </c>
      <c r="I129" s="6">
        <v>9987862.0389600005</v>
      </c>
      <c r="J129" s="6">
        <v>13972334.919999991</v>
      </c>
      <c r="K129" s="6">
        <v>7424671.8235300006</v>
      </c>
      <c r="L129" s="6"/>
      <c r="M129" s="6"/>
      <c r="N129" s="6"/>
      <c r="O129" s="87">
        <v>1265</v>
      </c>
      <c r="P129" s="23">
        <f t="shared" si="7"/>
        <v>202577726.76794481</v>
      </c>
    </row>
    <row r="130" spans="1:16">
      <c r="A130" s="38">
        <v>45169</v>
      </c>
      <c r="B130" s="25">
        <v>339582822.26448679</v>
      </c>
      <c r="C130" s="6">
        <v>22435085.520000007</v>
      </c>
      <c r="D130" s="6">
        <v>6055980.8385999976</v>
      </c>
      <c r="E130" s="6">
        <v>26529686.195579994</v>
      </c>
      <c r="F130" s="6">
        <v>11575201.524859993</v>
      </c>
      <c r="G130" s="6">
        <v>16371696.185999995</v>
      </c>
      <c r="H130" s="6">
        <v>0</v>
      </c>
      <c r="I130" s="6">
        <v>12605633.947500015</v>
      </c>
      <c r="J130" s="6">
        <v>19313782.599999983</v>
      </c>
      <c r="K130" s="6">
        <v>10433777.199999999</v>
      </c>
      <c r="L130" s="6"/>
      <c r="M130" s="6"/>
      <c r="N130" s="6"/>
      <c r="O130" s="87">
        <v>1514</v>
      </c>
      <c r="P130" s="23">
        <f t="shared" si="7"/>
        <v>214261978.25194681</v>
      </c>
    </row>
    <row r="131" spans="1:16">
      <c r="A131" s="38">
        <v>45199</v>
      </c>
      <c r="B131" s="25">
        <v>366487482.33816278</v>
      </c>
      <c r="C131" s="6">
        <v>26662849.715390015</v>
      </c>
      <c r="D131" s="6">
        <v>6820166.8259999976</v>
      </c>
      <c r="E131" s="6">
        <v>28840926.413039993</v>
      </c>
      <c r="F131" s="6">
        <v>11509572.346749995</v>
      </c>
      <c r="G131" s="6">
        <v>16059178.586880002</v>
      </c>
      <c r="H131" s="6">
        <v>0</v>
      </c>
      <c r="I131" s="6">
        <v>13235129.71248001</v>
      </c>
      <c r="J131" s="6">
        <v>21515065.34000003</v>
      </c>
      <c r="K131" s="6">
        <v>12138855.088009998</v>
      </c>
      <c r="L131" s="6"/>
      <c r="M131" s="6"/>
      <c r="N131" s="6"/>
      <c r="O131" s="87">
        <v>1742</v>
      </c>
      <c r="P131" s="23">
        <f t="shared" si="7"/>
        <v>229705738.30961275</v>
      </c>
    </row>
    <row r="132" spans="1:16">
      <c r="A132" s="38">
        <v>45230</v>
      </c>
      <c r="B132" s="25">
        <v>381180893.06511164</v>
      </c>
      <c r="C132" s="25">
        <v>29984288.127419975</v>
      </c>
      <c r="D132" s="25">
        <v>7275467.378010002</v>
      </c>
      <c r="E132" s="25">
        <v>30962757.171599973</v>
      </c>
      <c r="F132" s="25">
        <v>11287328.433340009</v>
      </c>
      <c r="G132" s="25">
        <v>15510848.170159988</v>
      </c>
      <c r="H132" s="25">
        <v>0</v>
      </c>
      <c r="I132" s="25">
        <v>13553030.406240009</v>
      </c>
      <c r="J132" s="25">
        <v>22510073.796000015</v>
      </c>
      <c r="K132" s="25">
        <v>12546728.108999992</v>
      </c>
      <c r="O132" s="87">
        <v>1914</v>
      </c>
      <c r="P132" s="23">
        <f t="shared" si="7"/>
        <v>237550371.47334167</v>
      </c>
    </row>
    <row r="133" spans="1:16">
      <c r="A133" s="38">
        <v>45260</v>
      </c>
      <c r="B133" s="25">
        <v>411876286.77772623</v>
      </c>
      <c r="C133" s="25">
        <v>34790034.454360031</v>
      </c>
      <c r="D133" s="25">
        <v>7779271.8313800003</v>
      </c>
      <c r="E133" s="25">
        <v>34024754.328209914</v>
      </c>
      <c r="F133" s="25">
        <v>11664449.575739998</v>
      </c>
      <c r="G133" s="25">
        <v>16373396.496599995</v>
      </c>
      <c r="H133" s="25">
        <v>0</v>
      </c>
      <c r="I133" s="25">
        <v>15457090.956159994</v>
      </c>
      <c r="J133" s="25">
        <v>24732526.653599992</v>
      </c>
      <c r="K133" s="25">
        <v>14316280.872660015</v>
      </c>
      <c r="O133" s="87">
        <v>2069</v>
      </c>
      <c r="P133" s="23">
        <f t="shared" si="7"/>
        <v>252738481.6090163</v>
      </c>
    </row>
    <row r="134" spans="1:16">
      <c r="A134" s="38">
        <v>45291</v>
      </c>
      <c r="B134" s="25">
        <v>444884620.73397434</v>
      </c>
      <c r="C134" s="25">
        <v>36794283.311519958</v>
      </c>
      <c r="D134" s="25">
        <v>42087.433214999997</v>
      </c>
      <c r="E134" s="25">
        <v>36311746.85424</v>
      </c>
      <c r="F134" s="25">
        <v>12409320.392790008</v>
      </c>
      <c r="G134" s="25">
        <v>16845176.6252</v>
      </c>
      <c r="H134" s="25">
        <v>0</v>
      </c>
      <c r="I134" s="25">
        <v>26447586.360199999</v>
      </c>
      <c r="J134" s="25">
        <v>26506869.247039992</v>
      </c>
      <c r="K134" s="25">
        <v>15215888.924113596</v>
      </c>
      <c r="O134" s="87">
        <v>2197</v>
      </c>
      <c r="P134" s="23">
        <f t="shared" si="7"/>
        <v>274311661.58565581</v>
      </c>
    </row>
    <row r="135" spans="1:16">
      <c r="A135" s="38">
        <v>45322</v>
      </c>
      <c r="B135" s="25">
        <v>470434610.81652391</v>
      </c>
      <c r="C135" s="25">
        <v>38248625.762340046</v>
      </c>
      <c r="D135" s="25">
        <v>0</v>
      </c>
      <c r="E135" s="25">
        <v>39433281.920670003</v>
      </c>
      <c r="F135" s="25">
        <v>12526984.42709</v>
      </c>
      <c r="G135" s="25">
        <v>17664145.887150005</v>
      </c>
      <c r="H135" s="25">
        <v>0</v>
      </c>
      <c r="I135" s="25">
        <v>27748158.999599993</v>
      </c>
      <c r="J135" s="25">
        <v>28133382.588919997</v>
      </c>
      <c r="K135" s="25">
        <v>16350926.020800013</v>
      </c>
      <c r="O135" s="87">
        <v>2293</v>
      </c>
      <c r="P135" s="23">
        <f t="shared" si="7"/>
        <v>290329105.20995384</v>
      </c>
    </row>
    <row r="136" spans="1:16">
      <c r="A136" s="38">
        <v>45351</v>
      </c>
      <c r="B136" s="25">
        <v>492369305.39405537</v>
      </c>
      <c r="C136" s="25">
        <v>38392263.153480001</v>
      </c>
      <c r="D136" s="25">
        <v>0</v>
      </c>
      <c r="E136" s="25">
        <v>43305701.051739976</v>
      </c>
      <c r="F136" s="25">
        <v>13601538.43720001</v>
      </c>
      <c r="G136" s="25">
        <v>18119260.370249998</v>
      </c>
      <c r="H136" s="25">
        <v>0</v>
      </c>
      <c r="I136" s="25">
        <v>30248174.660199996</v>
      </c>
      <c r="J136" s="25">
        <v>31181570.948499996</v>
      </c>
      <c r="K136" s="25">
        <v>18040633.818316199</v>
      </c>
      <c r="L136" s="25">
        <v>2509.84</v>
      </c>
      <c r="M136" s="25">
        <v>2503</v>
      </c>
      <c r="O136" s="87">
        <v>2369</v>
      </c>
      <c r="P136" s="23">
        <f>B136-SUM(C136:M136)</f>
        <v>299475150.11436915</v>
      </c>
    </row>
    <row r="137" spans="1:16">
      <c r="A137" s="38">
        <v>45382</v>
      </c>
      <c r="B137" s="25">
        <v>512259935.45646405</v>
      </c>
      <c r="C137" s="25">
        <v>62545093.834410004</v>
      </c>
      <c r="D137" s="25">
        <v>0</v>
      </c>
      <c r="E137" s="25">
        <v>24378819.274879955</v>
      </c>
      <c r="F137" s="25">
        <v>14149463.033799995</v>
      </c>
      <c r="G137" s="25">
        <v>18295936.574579999</v>
      </c>
      <c r="H137" s="25">
        <v>0</v>
      </c>
      <c r="I137" s="25">
        <v>22345219.260140017</v>
      </c>
      <c r="J137" s="25">
        <v>17034747.970240001</v>
      </c>
      <c r="K137" s="25">
        <v>18195705.991439976</v>
      </c>
      <c r="L137" s="25">
        <v>20087187.513999987</v>
      </c>
      <c r="M137" s="25">
        <v>21521781.000000004</v>
      </c>
      <c r="O137" s="87">
        <v>2467</v>
      </c>
      <c r="P137" s="23">
        <f>B137-SUM(C137:M137)</f>
        <v>293705981.00297415</v>
      </c>
    </row>
    <row r="138" spans="1:16">
      <c r="A138" s="38">
        <v>45412</v>
      </c>
      <c r="B138" s="25">
        <v>511788139.01886719</v>
      </c>
      <c r="C138" s="25">
        <v>62585653.605220042</v>
      </c>
      <c r="D138" s="25">
        <v>0</v>
      </c>
      <c r="E138" s="25">
        <v>24838041.311159991</v>
      </c>
      <c r="F138" s="25">
        <v>13523454.197640004</v>
      </c>
      <c r="G138" s="25">
        <v>17303916.455279998</v>
      </c>
      <c r="H138" s="25">
        <v>0</v>
      </c>
      <c r="I138" s="25">
        <v>22012115.029169995</v>
      </c>
      <c r="J138" s="25">
        <v>16538261.534609998</v>
      </c>
      <c r="K138" s="25">
        <v>18804189.130029984</v>
      </c>
      <c r="L138" s="25">
        <v>21519622.388340004</v>
      </c>
      <c r="M138" s="25">
        <v>28188417.059999995</v>
      </c>
      <c r="O138" s="87">
        <v>2594</v>
      </c>
      <c r="P138" s="23">
        <f>B138-SUM(C138:M138)</f>
        <v>286474468.30741715</v>
      </c>
    </row>
    <row r="139" spans="1:16">
      <c r="A139" s="38">
        <v>45443</v>
      </c>
      <c r="B139" s="25">
        <v>534786568.55395848</v>
      </c>
      <c r="C139" s="25">
        <v>66803892.209799886</v>
      </c>
      <c r="D139" s="25">
        <v>0</v>
      </c>
      <c r="E139" s="25">
        <v>25888418.128439993</v>
      </c>
      <c r="F139" s="25">
        <v>14508300.989159999</v>
      </c>
      <c r="G139" s="25">
        <v>18058397.62706</v>
      </c>
      <c r="H139" s="25">
        <v>0</v>
      </c>
      <c r="I139" s="25">
        <v>23574078.86530998</v>
      </c>
      <c r="J139" s="25">
        <v>17110578.491720006</v>
      </c>
      <c r="K139" s="25">
        <v>20990491.120260011</v>
      </c>
      <c r="L139" s="25">
        <v>23215240.137809977</v>
      </c>
      <c r="M139" s="25">
        <v>36210016.150000095</v>
      </c>
      <c r="O139" s="87">
        <v>2697</v>
      </c>
      <c r="P139" s="23">
        <f>B139-SUM(C139:M139)</f>
        <v>288427154.83439851</v>
      </c>
    </row>
    <row r="140" spans="1:16">
      <c r="A140" s="38">
        <v>45473</v>
      </c>
      <c r="B140" s="25">
        <v>561798539.24996281</v>
      </c>
      <c r="C140" s="2">
        <v>68999609.972160071</v>
      </c>
      <c r="D140" s="2">
        <v>0</v>
      </c>
      <c r="E140" s="2">
        <v>26239914.99020002</v>
      </c>
      <c r="F140" s="2">
        <v>14591391.061590003</v>
      </c>
      <c r="G140" s="2">
        <v>17388455.79194</v>
      </c>
      <c r="H140" s="2">
        <v>0</v>
      </c>
      <c r="I140" s="2">
        <v>23339194.752749994</v>
      </c>
      <c r="J140" s="2">
        <v>17695693.865850002</v>
      </c>
      <c r="K140" s="2">
        <v>22293871.128099989</v>
      </c>
      <c r="L140" s="2">
        <v>24356159.61856002</v>
      </c>
      <c r="M140" s="2">
        <v>40904054.010000013</v>
      </c>
      <c r="N140" s="2">
        <v>10590.72</v>
      </c>
      <c r="O140" s="87">
        <v>2813</v>
      </c>
      <c r="P140" s="23">
        <f t="shared" ref="P140:P148" si="8">B140-SUM(C140:N140)</f>
        <v>305979603.33881271</v>
      </c>
    </row>
    <row r="141" spans="1:16">
      <c r="A141" s="38">
        <v>45504</v>
      </c>
      <c r="B141" s="25">
        <v>588845523.19515896</v>
      </c>
      <c r="C141" s="25">
        <v>73271118.401870087</v>
      </c>
      <c r="D141" s="25">
        <v>0</v>
      </c>
      <c r="E141" s="25">
        <v>27665542.652220011</v>
      </c>
      <c r="F141" s="25">
        <v>15599757.907700006</v>
      </c>
      <c r="G141" s="25">
        <v>17854601.099059992</v>
      </c>
      <c r="H141" s="25">
        <v>0</v>
      </c>
      <c r="I141" s="25">
        <v>26332661.301799994</v>
      </c>
      <c r="J141" s="25">
        <v>18248918.240139987</v>
      </c>
      <c r="K141" s="25">
        <v>23257246.943700019</v>
      </c>
      <c r="L141" s="25">
        <v>26039817.398619529</v>
      </c>
      <c r="M141" s="25">
        <v>48706533.556394994</v>
      </c>
      <c r="N141" s="25">
        <v>1192481.5968707998</v>
      </c>
      <c r="O141" s="87">
        <v>2935</v>
      </c>
      <c r="P141" s="23">
        <f t="shared" si="8"/>
        <v>310676844.09678358</v>
      </c>
    </row>
    <row r="142" spans="1:16">
      <c r="A142" s="38">
        <v>45535</v>
      </c>
      <c r="B142" s="25">
        <v>598045006.39936328</v>
      </c>
      <c r="C142" s="25">
        <v>76679648.237159893</v>
      </c>
      <c r="D142" s="25">
        <v>0</v>
      </c>
      <c r="E142" s="25">
        <v>28617002.924800005</v>
      </c>
      <c r="F142" s="25">
        <v>15432515.239019996</v>
      </c>
      <c r="G142" s="25">
        <v>17761709.390749991</v>
      </c>
      <c r="H142" s="25">
        <v>0</v>
      </c>
      <c r="I142" s="25">
        <v>25732732.722359996</v>
      </c>
      <c r="J142" s="25">
        <v>18264535.55870001</v>
      </c>
      <c r="K142" s="25">
        <v>24330563.599590011</v>
      </c>
      <c r="L142" s="25">
        <v>27273342.180150036</v>
      </c>
      <c r="M142" s="25">
        <v>54184446.913800091</v>
      </c>
      <c r="N142" s="25">
        <v>2095688.4545688003</v>
      </c>
      <c r="O142" s="87">
        <v>3006</v>
      </c>
      <c r="P142" s="23">
        <f t="shared" si="8"/>
        <v>307672821.17846447</v>
      </c>
    </row>
    <row r="143" spans="1:16">
      <c r="A143" s="38">
        <v>45565</v>
      </c>
      <c r="B143" s="25">
        <v>608111276.52744448</v>
      </c>
      <c r="C143" s="25">
        <v>76987926.90782997</v>
      </c>
      <c r="D143" s="25">
        <v>0</v>
      </c>
      <c r="E143" s="25">
        <v>28382957.87702002</v>
      </c>
      <c r="F143" s="25">
        <v>15059804.761080008</v>
      </c>
      <c r="G143" s="25">
        <v>18044474.317479998</v>
      </c>
      <c r="H143" s="25">
        <v>0</v>
      </c>
      <c r="I143" s="25">
        <v>25924216.967240047</v>
      </c>
      <c r="J143" s="25">
        <v>18227311.707000017</v>
      </c>
      <c r="K143" s="25">
        <v>24519572.589023959</v>
      </c>
      <c r="L143" s="25">
        <v>27762872.870960079</v>
      </c>
      <c r="M143" s="25">
        <v>58567292.634999819</v>
      </c>
      <c r="N143" s="25">
        <v>2218938.7720068004</v>
      </c>
      <c r="O143" s="87">
        <v>3073</v>
      </c>
      <c r="P143" s="23">
        <f t="shared" si="8"/>
        <v>312415907.12280375</v>
      </c>
    </row>
    <row r="144" spans="1:16">
      <c r="A144" s="38">
        <v>45596</v>
      </c>
      <c r="B144" s="25">
        <v>585855656.95925307</v>
      </c>
      <c r="C144" s="25">
        <v>75139172.800269961</v>
      </c>
      <c r="D144" s="25">
        <v>0</v>
      </c>
      <c r="E144" s="25">
        <v>27600462.775380012</v>
      </c>
      <c r="F144" s="25">
        <v>14796287.703859996</v>
      </c>
      <c r="G144" s="25">
        <v>17422346.003399994</v>
      </c>
      <c r="H144" s="25">
        <v>0</v>
      </c>
      <c r="I144" s="25">
        <v>25454230.500699982</v>
      </c>
      <c r="J144" s="25">
        <v>18053771.386197627</v>
      </c>
      <c r="K144" s="25">
        <v>24812543.767583996</v>
      </c>
      <c r="L144" s="25">
        <v>27896553.65298003</v>
      </c>
      <c r="M144" s="25">
        <v>65765412.981030032</v>
      </c>
      <c r="N144" s="25">
        <v>2829055.7414944004</v>
      </c>
      <c r="O144" s="87">
        <v>3125</v>
      </c>
      <c r="P144" s="23">
        <f t="shared" si="8"/>
        <v>286085819.64635706</v>
      </c>
    </row>
    <row r="145" spans="1:16">
      <c r="A145" s="38">
        <v>45626</v>
      </c>
      <c r="B145" s="25">
        <v>624734295.94075835</v>
      </c>
      <c r="C145" s="25">
        <v>82201273.166409835</v>
      </c>
      <c r="D145" s="25">
        <v>0</v>
      </c>
      <c r="E145" s="25">
        <v>29405473.998449959</v>
      </c>
      <c r="F145" s="25">
        <v>15865281.262740009</v>
      </c>
      <c r="G145" s="25">
        <v>19103003.377910003</v>
      </c>
      <c r="H145" s="25">
        <v>0</v>
      </c>
      <c r="I145" s="25">
        <v>28374519.41715996</v>
      </c>
      <c r="J145" s="25">
        <v>19247464.397549991</v>
      </c>
      <c r="K145" s="25">
        <v>26979267.07334986</v>
      </c>
      <c r="L145" s="25">
        <v>29402199.036600027</v>
      </c>
      <c r="M145" s="25">
        <v>68399983.731960148</v>
      </c>
      <c r="N145" s="25">
        <v>3237396.2838825961</v>
      </c>
      <c r="O145" s="87">
        <v>3166</v>
      </c>
      <c r="P145" s="23">
        <f t="shared" si="8"/>
        <v>302518434.1947459</v>
      </c>
    </row>
    <row r="146" spans="1:16">
      <c r="A146" s="38">
        <v>45657</v>
      </c>
      <c r="B146" s="25">
        <v>574650549.62389076</v>
      </c>
      <c r="C146" s="25">
        <v>78464174.51925005</v>
      </c>
      <c r="D146" s="25">
        <v>0</v>
      </c>
      <c r="E146" s="25">
        <v>28133543.512799971</v>
      </c>
      <c r="F146" s="25">
        <v>16007741.146549998</v>
      </c>
      <c r="G146" s="25">
        <v>19268057.347200003</v>
      </c>
      <c r="H146" s="25">
        <v>0</v>
      </c>
      <c r="I146" s="25">
        <v>25961278.512399998</v>
      </c>
      <c r="J146" s="25">
        <v>16809189.31436</v>
      </c>
      <c r="K146" s="25">
        <v>26477376.25935002</v>
      </c>
      <c r="L146" s="25">
        <v>29318944.978750028</v>
      </c>
      <c r="M146" s="25">
        <v>66771583.185599886</v>
      </c>
      <c r="N146" s="25">
        <v>3710734.4960615989</v>
      </c>
      <c r="O146" s="87">
        <v>3315</v>
      </c>
      <c r="P146" s="23">
        <f t="shared" si="8"/>
        <v>263727926.35156918</v>
      </c>
    </row>
    <row r="147" spans="1:16">
      <c r="A147" s="38">
        <v>45688</v>
      </c>
      <c r="B147" s="25">
        <v>582298928.45928836</v>
      </c>
      <c r="C147" s="25">
        <v>82004418.75</v>
      </c>
      <c r="D147" s="25">
        <v>0</v>
      </c>
      <c r="E147" s="25">
        <v>28633472.73</v>
      </c>
      <c r="F147" s="25">
        <v>17472636.469999999</v>
      </c>
      <c r="G147" s="25">
        <v>20195107.559999999</v>
      </c>
      <c r="H147" s="25">
        <v>0</v>
      </c>
      <c r="I147" s="25">
        <v>27080425.91</v>
      </c>
      <c r="J147" s="25">
        <v>18803627.399999999</v>
      </c>
      <c r="K147" s="25">
        <v>28525656.98</v>
      </c>
      <c r="L147" s="25">
        <v>30789742.129999999</v>
      </c>
      <c r="M147" s="25">
        <v>121895896.45999999</v>
      </c>
      <c r="N147" s="25">
        <v>4939027.7699999996</v>
      </c>
      <c r="O147" s="87">
        <v>3327</v>
      </c>
      <c r="P147" s="23">
        <f t="shared" si="8"/>
        <v>201958916.29928839</v>
      </c>
    </row>
    <row r="148" spans="1:16">
      <c r="A148" s="38">
        <v>45716</v>
      </c>
      <c r="B148" s="25">
        <v>580373661.96244884</v>
      </c>
      <c r="C148" s="25">
        <v>76835509.455479831</v>
      </c>
      <c r="D148" s="25">
        <v>0</v>
      </c>
      <c r="E148" s="25">
        <v>31113073.810000006</v>
      </c>
      <c r="F148" s="25">
        <v>17525044.600929994</v>
      </c>
      <c r="G148" s="25">
        <v>20718508.362660013</v>
      </c>
      <c r="H148" s="25">
        <v>0</v>
      </c>
      <c r="I148" s="25">
        <v>23928610.13680001</v>
      </c>
      <c r="J148" s="25">
        <v>20423252.992559969</v>
      </c>
      <c r="K148" s="25">
        <v>22199019.751583025</v>
      </c>
      <c r="L148" s="25">
        <v>32012388.219279833</v>
      </c>
      <c r="M148" s="25">
        <v>137517005.58692014</v>
      </c>
      <c r="N148" s="25">
        <v>6690962.3801988056</v>
      </c>
      <c r="O148" s="87">
        <v>3369</v>
      </c>
      <c r="P148" s="23">
        <f t="shared" si="8"/>
        <v>191410286.66603726</v>
      </c>
    </row>
    <row r="149" spans="1:16">
      <c r="A149" s="38">
        <v>45747</v>
      </c>
      <c r="B149" s="25">
        <v>819216081.80109358</v>
      </c>
      <c r="C149" s="25">
        <v>76585003.361459851</v>
      </c>
      <c r="D149" s="25">
        <v>0</v>
      </c>
      <c r="E149" s="25">
        <v>28739922.385919955</v>
      </c>
      <c r="F149" s="25">
        <v>17235583.023999993</v>
      </c>
      <c r="G149" s="25">
        <v>21059990.924390003</v>
      </c>
      <c r="H149" s="25">
        <v>0</v>
      </c>
      <c r="I149" s="25">
        <v>22763642.066710044</v>
      </c>
      <c r="J149" s="25">
        <v>19189475.782839999</v>
      </c>
      <c r="K149" s="25">
        <v>19898470.112684406</v>
      </c>
      <c r="L149" s="25">
        <v>30244306.683639981</v>
      </c>
      <c r="M149" s="25">
        <v>190241255.66633967</v>
      </c>
      <c r="N149" s="25">
        <v>7052768.2027000068</v>
      </c>
      <c r="O149" s="87">
        <v>3461</v>
      </c>
      <c r="P149" s="23">
        <f t="shared" ref="P149:P152" si="9">B149-SUM(C149:N149)</f>
        <v>386205663.59040964</v>
      </c>
    </row>
    <row r="150" spans="1:16">
      <c r="A150" s="38">
        <v>45777</v>
      </c>
      <c r="B150" s="25">
        <v>814470687.03433251</v>
      </c>
      <c r="C150" s="2">
        <v>74306900.395000085</v>
      </c>
      <c r="D150" s="2">
        <v>0</v>
      </c>
      <c r="E150" s="2">
        <v>28485380.565299954</v>
      </c>
      <c r="F150" s="2">
        <v>17580120.795200005</v>
      </c>
      <c r="G150" s="2">
        <v>21443359.905979998</v>
      </c>
      <c r="H150" s="2">
        <v>0</v>
      </c>
      <c r="I150" s="2">
        <v>22335678.207150038</v>
      </c>
      <c r="J150" s="2">
        <v>18957867.107815508</v>
      </c>
      <c r="K150" s="2">
        <v>19827799.628907602</v>
      </c>
      <c r="L150" s="2">
        <v>29779109.747467201</v>
      </c>
      <c r="M150" s="2">
        <v>289158599.57024467</v>
      </c>
      <c r="N150" s="2">
        <v>7228831.6244199984</v>
      </c>
      <c r="O150" s="87">
        <v>3593</v>
      </c>
      <c r="P150" s="23">
        <f t="shared" si="9"/>
        <v>285367039.48684746</v>
      </c>
    </row>
    <row r="151" spans="1:16">
      <c r="A151" s="38">
        <v>45808</v>
      </c>
      <c r="B151" s="25">
        <v>838116399.98691809</v>
      </c>
      <c r="C151" s="2">
        <v>76037058.923310027</v>
      </c>
      <c r="D151" s="2">
        <v>0</v>
      </c>
      <c r="E151" s="2">
        <v>29240043.957959939</v>
      </c>
      <c r="F151" s="2">
        <v>18692108.686080001</v>
      </c>
      <c r="G151" s="2">
        <v>22758123.27799999</v>
      </c>
      <c r="H151" s="2">
        <v>0</v>
      </c>
      <c r="I151" s="2">
        <v>23769791.70449999</v>
      </c>
      <c r="J151" s="2">
        <v>19581874.02604996</v>
      </c>
      <c r="K151" s="2">
        <v>21403144.935902379</v>
      </c>
      <c r="L151" s="2">
        <v>30484967.817220002</v>
      </c>
      <c r="M151" s="2">
        <v>288704208.44663996</v>
      </c>
      <c r="N151" s="2">
        <v>8185960.3421140043</v>
      </c>
      <c r="O151" s="87">
        <v>3680</v>
      </c>
      <c r="P151" s="23">
        <f t="shared" si="9"/>
        <v>299259117.86914182</v>
      </c>
    </row>
    <row r="152" spans="1:16">
      <c r="A152" s="38">
        <v>45838</v>
      </c>
      <c r="B152" s="25">
        <v>757742102.72008276</v>
      </c>
      <c r="C152" s="6">
        <v>76133561.581860006</v>
      </c>
      <c r="D152" s="6">
        <v>0</v>
      </c>
      <c r="E152" s="6">
        <v>29408700.576029979</v>
      </c>
      <c r="F152" s="6">
        <v>19565409.936099987</v>
      </c>
      <c r="G152" s="6">
        <v>23338426.516980011</v>
      </c>
      <c r="H152" s="6">
        <v>0</v>
      </c>
      <c r="I152" s="6">
        <v>24805083.149080005</v>
      </c>
      <c r="J152" s="6">
        <v>19996118.849879988</v>
      </c>
      <c r="K152" s="6">
        <v>22825011.656159986</v>
      </c>
      <c r="L152" s="6">
        <v>31222544.956120007</v>
      </c>
      <c r="M152" s="6">
        <v>293756180.88284212</v>
      </c>
      <c r="N152" s="6">
        <v>9023604.5669199862</v>
      </c>
      <c r="O152" s="87">
        <v>3732</v>
      </c>
      <c r="P152" s="23">
        <f t="shared" si="9"/>
        <v>207667460.0481106</v>
      </c>
    </row>
  </sheetData>
  <pageMargins left="0.75" right="0.75" top="1" bottom="1" header="0.5" footer="0.5"/>
  <pageSetup orientation="portrait" horizontalDpi="4294967292" verticalDpi="4294967292"/>
  <ignoredErrors>
    <ignoredError sqref="P61:P62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E2019-BFC0-9448-B42C-9CE7810F944D}">
  <sheetPr>
    <tabColor theme="7" tint="0.59999389629810485"/>
  </sheetPr>
  <dimension ref="A1:F42"/>
  <sheetViews>
    <sheetView topLeftCell="A20" workbookViewId="0">
      <selection activeCell="F39" sqref="F39"/>
    </sheetView>
  </sheetViews>
  <sheetFormatPr baseColWidth="10" defaultRowHeight="16"/>
  <cols>
    <col min="2" max="4" width="14" bestFit="1" customWidth="1"/>
    <col min="5" max="5" width="5.5" bestFit="1" customWidth="1"/>
    <col min="6" max="6" width="16.5" bestFit="1" customWidth="1"/>
  </cols>
  <sheetData>
    <row r="1" spans="1:6">
      <c r="B1" s="30" t="s">
        <v>1</v>
      </c>
      <c r="C1" s="28" t="s">
        <v>125</v>
      </c>
      <c r="D1" s="28" t="s">
        <v>124</v>
      </c>
      <c r="E1" s="86" t="s">
        <v>69</v>
      </c>
      <c r="F1" s="17" t="s">
        <v>167</v>
      </c>
    </row>
    <row r="2" spans="1:6">
      <c r="A2" s="38">
        <v>44620</v>
      </c>
      <c r="B2" s="25">
        <v>94237.87</v>
      </c>
      <c r="C2" s="25">
        <v>0</v>
      </c>
      <c r="D2" s="25">
        <v>94127.58</v>
      </c>
      <c r="E2" s="87">
        <v>2</v>
      </c>
      <c r="F2" s="6">
        <f t="shared" ref="F2:F32" si="0">B2-C2-D2</f>
        <v>110.2899999999936</v>
      </c>
    </row>
    <row r="3" spans="1:6">
      <c r="A3" s="38">
        <v>44651</v>
      </c>
      <c r="B3" s="25">
        <v>1089945.8000000003</v>
      </c>
      <c r="C3" s="25">
        <v>590950.17999999993</v>
      </c>
      <c r="D3" s="25">
        <v>490999.30000000005</v>
      </c>
      <c r="E3" s="87">
        <v>8</v>
      </c>
      <c r="F3" s="6">
        <f t="shared" si="0"/>
        <v>7996.320000000298</v>
      </c>
    </row>
    <row r="4" spans="1:6">
      <c r="A4" s="38">
        <v>44681</v>
      </c>
      <c r="B4" s="25">
        <v>1271073.3871000002</v>
      </c>
      <c r="C4" s="25">
        <v>565989.228</v>
      </c>
      <c r="D4" s="25">
        <v>697855.86910000013</v>
      </c>
      <c r="E4" s="87">
        <v>10</v>
      </c>
      <c r="F4" s="6">
        <f t="shared" si="0"/>
        <v>7228.2900000000373</v>
      </c>
    </row>
    <row r="5" spans="1:6">
      <c r="A5" s="38">
        <v>44712</v>
      </c>
      <c r="B5" s="25">
        <v>1631600.61</v>
      </c>
      <c r="C5" s="25">
        <v>743991.96</v>
      </c>
      <c r="D5" s="25">
        <v>877763.24999999988</v>
      </c>
      <c r="E5" s="87">
        <v>17</v>
      </c>
      <c r="F5" s="6">
        <f t="shared" si="0"/>
        <v>9845.4000000002561</v>
      </c>
    </row>
    <row r="6" spans="1:6">
      <c r="A6" s="38">
        <v>44742</v>
      </c>
      <c r="B6" s="25">
        <v>1859068.8657799999</v>
      </c>
      <c r="C6" s="25">
        <v>843765.36399999994</v>
      </c>
      <c r="D6" s="25">
        <v>1005513.1017799999</v>
      </c>
      <c r="E6" s="87">
        <v>20</v>
      </c>
      <c r="F6" s="6">
        <f t="shared" si="0"/>
        <v>9790.4000000000233</v>
      </c>
    </row>
    <row r="7" spans="1:6">
      <c r="A7" s="38">
        <v>44773</v>
      </c>
      <c r="B7" s="25">
        <v>1969601.56</v>
      </c>
      <c r="C7" s="25">
        <v>880704.42</v>
      </c>
      <c r="D7" s="25">
        <v>1075812.77</v>
      </c>
      <c r="E7" s="87">
        <v>20</v>
      </c>
      <c r="F7" s="6">
        <f t="shared" si="0"/>
        <v>13084.370000000112</v>
      </c>
    </row>
    <row r="8" spans="1:6">
      <c r="A8" s="38">
        <v>44804</v>
      </c>
      <c r="B8" s="25">
        <v>1937400.3340600003</v>
      </c>
      <c r="C8" s="25">
        <v>879788.24780000013</v>
      </c>
      <c r="D8" s="25">
        <v>1044298.39626</v>
      </c>
      <c r="E8" s="87">
        <v>20</v>
      </c>
      <c r="F8" s="6">
        <f t="shared" si="0"/>
        <v>13313.690000000293</v>
      </c>
    </row>
    <row r="9" spans="1:6">
      <c r="A9" s="38">
        <v>44834</v>
      </c>
      <c r="B9" s="25">
        <v>1810806.9900000005</v>
      </c>
      <c r="C9" s="25">
        <v>828098.12</v>
      </c>
      <c r="D9" s="25">
        <v>964860.60999999987</v>
      </c>
      <c r="E9" s="87">
        <v>20</v>
      </c>
      <c r="F9" s="6">
        <f t="shared" si="0"/>
        <v>17848.260000000591</v>
      </c>
    </row>
    <row r="10" spans="1:6">
      <c r="A10" s="38">
        <v>44865</v>
      </c>
      <c r="B10" s="25">
        <v>1980529.0799999996</v>
      </c>
      <c r="C10" s="25">
        <v>875185.07</v>
      </c>
      <c r="D10" s="25">
        <v>1084846.81</v>
      </c>
      <c r="E10" s="87">
        <v>22</v>
      </c>
      <c r="F10" s="6">
        <f t="shared" si="0"/>
        <v>20497.199999999721</v>
      </c>
    </row>
    <row r="11" spans="1:6">
      <c r="A11" s="38">
        <v>44895</v>
      </c>
      <c r="B11" s="25">
        <v>2075260.5652999999</v>
      </c>
      <c r="C11" s="25">
        <v>916320.45530000003</v>
      </c>
      <c r="D11" s="25">
        <v>1142623.7899999998</v>
      </c>
      <c r="E11" s="87">
        <v>22</v>
      </c>
      <c r="F11" s="6">
        <f t="shared" si="0"/>
        <v>16316.320000000065</v>
      </c>
    </row>
    <row r="12" spans="1:6">
      <c r="A12" s="38">
        <v>44926</v>
      </c>
      <c r="B12" s="25">
        <v>2003526.1499999997</v>
      </c>
      <c r="C12" s="25">
        <v>889837.79999999993</v>
      </c>
      <c r="D12" s="25">
        <v>1095666.2499999998</v>
      </c>
      <c r="E12" s="87">
        <v>22</v>
      </c>
      <c r="F12" s="6">
        <f t="shared" si="0"/>
        <v>18022.09999999986</v>
      </c>
    </row>
    <row r="13" spans="1:6">
      <c r="A13" s="38">
        <v>44957</v>
      </c>
      <c r="B13" s="25">
        <v>2128769.5899999994</v>
      </c>
      <c r="C13" s="25">
        <v>933526.54</v>
      </c>
      <c r="D13" s="25">
        <v>1175265.1399999999</v>
      </c>
      <c r="E13" s="87">
        <v>22</v>
      </c>
      <c r="F13" s="6">
        <f t="shared" si="0"/>
        <v>19977.909999999451</v>
      </c>
    </row>
    <row r="14" spans="1:6">
      <c r="A14" s="38">
        <v>44985</v>
      </c>
      <c r="B14" s="25">
        <v>2101655.06</v>
      </c>
      <c r="C14" s="25">
        <v>922237.75</v>
      </c>
      <c r="D14" s="25">
        <v>1160921.77</v>
      </c>
      <c r="E14" s="87">
        <v>22</v>
      </c>
      <c r="F14" s="6">
        <f t="shared" si="0"/>
        <v>18495.540000000037</v>
      </c>
    </row>
    <row r="15" spans="1:6">
      <c r="A15" s="38">
        <v>45016</v>
      </c>
      <c r="B15" s="25">
        <v>2127245.0299999998</v>
      </c>
      <c r="C15" s="25">
        <v>942154.16</v>
      </c>
      <c r="D15" s="25">
        <v>1168275.67</v>
      </c>
      <c r="E15" s="87">
        <v>22</v>
      </c>
      <c r="F15" s="6">
        <f t="shared" si="0"/>
        <v>16815.199999999721</v>
      </c>
    </row>
    <row r="16" spans="1:6">
      <c r="A16" s="38">
        <v>45046</v>
      </c>
      <c r="B16" s="25">
        <v>2152939.4900000007</v>
      </c>
      <c r="C16" s="25">
        <v>949490</v>
      </c>
      <c r="D16" s="25">
        <v>1182971.8999999999</v>
      </c>
      <c r="E16" s="87">
        <v>22</v>
      </c>
      <c r="F16" s="6">
        <f t="shared" si="0"/>
        <v>20477.590000000782</v>
      </c>
    </row>
    <row r="17" spans="1:6">
      <c r="A17" s="38">
        <v>45077</v>
      </c>
      <c r="B17" s="25">
        <v>2299506.7400000007</v>
      </c>
      <c r="C17" s="25">
        <v>1117688.69</v>
      </c>
      <c r="D17" s="25">
        <v>1160881.3999999999</v>
      </c>
      <c r="E17" s="87">
        <v>22</v>
      </c>
      <c r="F17" s="6">
        <f t="shared" si="0"/>
        <v>20936.650000000838</v>
      </c>
    </row>
    <row r="18" spans="1:6">
      <c r="A18" s="38">
        <v>45107</v>
      </c>
      <c r="B18" s="25">
        <v>2430812.0600000005</v>
      </c>
      <c r="C18" s="25">
        <v>1169866.7700000003</v>
      </c>
      <c r="D18" s="25">
        <v>1239192.5599999998</v>
      </c>
      <c r="E18" s="87">
        <v>24</v>
      </c>
      <c r="F18" s="6">
        <f t="shared" si="0"/>
        <v>21752.730000000447</v>
      </c>
    </row>
    <row r="19" spans="1:6">
      <c r="A19" s="38">
        <v>45138</v>
      </c>
      <c r="B19" s="25">
        <v>2790923.2699999996</v>
      </c>
      <c r="C19" s="25">
        <v>1210405.7900000003</v>
      </c>
      <c r="D19" s="25">
        <v>1280873.22</v>
      </c>
      <c r="E19" s="87">
        <v>26</v>
      </c>
      <c r="F19" s="6">
        <f t="shared" si="0"/>
        <v>299644.25999999931</v>
      </c>
    </row>
    <row r="20" spans="1:6">
      <c r="A20" s="38">
        <v>45169</v>
      </c>
      <c r="B20" s="25">
        <v>2834468.6499999985</v>
      </c>
      <c r="C20" s="25">
        <v>1197836.5999999999</v>
      </c>
      <c r="D20" s="25">
        <v>1539600</v>
      </c>
      <c r="E20" s="87">
        <v>28</v>
      </c>
      <c r="F20" s="6">
        <f t="shared" si="0"/>
        <v>97032.04999999865</v>
      </c>
    </row>
    <row r="21" spans="1:6">
      <c r="A21" s="38">
        <v>45199</v>
      </c>
      <c r="B21" s="25">
        <v>2829947.8399999985</v>
      </c>
      <c r="C21" s="25">
        <v>1050583.3699999999</v>
      </c>
      <c r="D21" s="25">
        <v>1519138.6099999999</v>
      </c>
      <c r="E21" s="87">
        <v>32</v>
      </c>
      <c r="F21" s="6">
        <f t="shared" si="0"/>
        <v>260225.85999999871</v>
      </c>
    </row>
    <row r="22" spans="1:6">
      <c r="A22" s="38">
        <v>45230</v>
      </c>
      <c r="B22" s="25">
        <v>3678431.3399999994</v>
      </c>
      <c r="C22" s="25">
        <v>1759294.1799999997</v>
      </c>
      <c r="D22" s="25">
        <v>1815358.6300000001</v>
      </c>
      <c r="E22" s="87">
        <v>32</v>
      </c>
      <c r="F22" s="6">
        <f t="shared" si="0"/>
        <v>103778.52999999956</v>
      </c>
    </row>
    <row r="23" spans="1:6">
      <c r="A23" s="38">
        <v>45260</v>
      </c>
      <c r="B23" s="25">
        <v>4531556.08</v>
      </c>
      <c r="C23" s="25">
        <v>2029563.2200000002</v>
      </c>
      <c r="D23" s="25">
        <v>2318240.0900000003</v>
      </c>
      <c r="E23" s="87">
        <v>35</v>
      </c>
      <c r="F23" s="6">
        <f t="shared" si="0"/>
        <v>183752.76999999955</v>
      </c>
    </row>
    <row r="24" spans="1:6">
      <c r="A24" s="38">
        <v>45291</v>
      </c>
      <c r="B24" s="25">
        <v>5003378.99</v>
      </c>
      <c r="C24" s="25">
        <v>2301216.7499999995</v>
      </c>
      <c r="D24" s="25">
        <v>2523620.6800000002</v>
      </c>
      <c r="E24" s="87">
        <v>37</v>
      </c>
      <c r="F24" s="6">
        <f t="shared" si="0"/>
        <v>178541.56000000052</v>
      </c>
    </row>
    <row r="25" spans="1:6">
      <c r="A25" s="38">
        <v>45322</v>
      </c>
      <c r="B25" s="25">
        <v>5084172.6900000013</v>
      </c>
      <c r="C25" s="25">
        <v>1524422.67</v>
      </c>
      <c r="D25" s="25">
        <v>2253934.2400000007</v>
      </c>
      <c r="E25" s="87">
        <v>38</v>
      </c>
      <c r="F25" s="6">
        <f t="shared" si="0"/>
        <v>1305815.7800000007</v>
      </c>
    </row>
    <row r="26" spans="1:6">
      <c r="A26" s="38">
        <v>45351</v>
      </c>
      <c r="B26" s="25">
        <v>4433471.3000000007</v>
      </c>
      <c r="C26" s="25">
        <v>1585070.3</v>
      </c>
      <c r="D26" s="25">
        <v>2728398.4600000004</v>
      </c>
      <c r="E26" s="87">
        <v>40</v>
      </c>
      <c r="F26" s="6">
        <f t="shared" si="0"/>
        <v>120002.5400000005</v>
      </c>
    </row>
    <row r="27" spans="1:6">
      <c r="A27" s="38">
        <v>45382</v>
      </c>
      <c r="B27" s="25">
        <v>4673458.709999999</v>
      </c>
      <c r="C27" s="25">
        <v>1632229.45</v>
      </c>
      <c r="D27" s="25">
        <v>2910491.5399999996</v>
      </c>
      <c r="E27" s="87">
        <v>42</v>
      </c>
      <c r="F27" s="6">
        <f t="shared" si="0"/>
        <v>130737.71999999927</v>
      </c>
    </row>
    <row r="28" spans="1:6">
      <c r="A28" s="38">
        <v>45412</v>
      </c>
      <c r="B28" s="25">
        <v>4514203.8200000012</v>
      </c>
      <c r="C28" s="25">
        <v>1585668.2500000002</v>
      </c>
      <c r="D28" s="25">
        <v>2804331.1899999995</v>
      </c>
      <c r="E28" s="87">
        <v>42</v>
      </c>
      <c r="F28" s="6">
        <f t="shared" si="0"/>
        <v>124204.38000000175</v>
      </c>
    </row>
    <row r="29" spans="1:6">
      <c r="A29" s="38">
        <v>45443</v>
      </c>
      <c r="B29" s="25">
        <v>4721408.8048600014</v>
      </c>
      <c r="C29" s="25">
        <v>1643756.3699999999</v>
      </c>
      <c r="D29" s="25">
        <v>2941762.47</v>
      </c>
      <c r="E29" s="87">
        <v>42</v>
      </c>
      <c r="F29" s="6">
        <f t="shared" si="0"/>
        <v>135889.96486000111</v>
      </c>
    </row>
    <row r="30" spans="1:6">
      <c r="A30" s="38">
        <v>45473</v>
      </c>
      <c r="B30" s="25">
        <v>4806327.3999999994</v>
      </c>
      <c r="C30" s="25">
        <v>1682768.33</v>
      </c>
      <c r="D30" s="25">
        <v>2985358.54</v>
      </c>
      <c r="E30" s="87">
        <v>42</v>
      </c>
      <c r="F30" s="6">
        <f t="shared" si="0"/>
        <v>138200.52999999933</v>
      </c>
    </row>
    <row r="31" spans="1:6">
      <c r="A31" s="38">
        <v>45504</v>
      </c>
      <c r="B31" s="25">
        <v>5985409.339999998</v>
      </c>
      <c r="C31" s="25">
        <v>2598123.6399999997</v>
      </c>
      <c r="D31" s="25">
        <v>3248425.3400000003</v>
      </c>
      <c r="E31" s="87">
        <v>44</v>
      </c>
      <c r="F31" s="6">
        <f t="shared" si="0"/>
        <v>138860.35999999801</v>
      </c>
    </row>
    <row r="32" spans="1:6">
      <c r="A32" s="38">
        <v>45535</v>
      </c>
      <c r="B32" s="25">
        <v>6160646.209999999</v>
      </c>
      <c r="C32" s="25">
        <v>2680279.2600000002</v>
      </c>
      <c r="D32" s="25">
        <v>3333688.7100000004</v>
      </c>
      <c r="E32" s="87">
        <v>44</v>
      </c>
      <c r="F32" s="6">
        <f t="shared" si="0"/>
        <v>146678.23999999836</v>
      </c>
    </row>
    <row r="33" spans="1:6">
      <c r="A33" s="38">
        <v>45565</v>
      </c>
      <c r="B33" s="25">
        <v>6246279.950000002</v>
      </c>
      <c r="C33" s="25">
        <v>2706944.12</v>
      </c>
      <c r="D33" s="25">
        <v>3385317.7999999993</v>
      </c>
      <c r="E33" s="87">
        <v>44</v>
      </c>
      <c r="F33" s="6">
        <f>B33-C33-D33</f>
        <v>154018.03000000259</v>
      </c>
    </row>
    <row r="34" spans="1:6">
      <c r="A34" s="38">
        <v>45596</v>
      </c>
      <c r="E34" s="87">
        <v>45</v>
      </c>
      <c r="F34" s="6">
        <v>144616.74</v>
      </c>
    </row>
    <row r="35" spans="1:6">
      <c r="A35" s="38">
        <v>45626</v>
      </c>
      <c r="E35" s="87">
        <v>47</v>
      </c>
      <c r="F35" s="6">
        <v>164902.15</v>
      </c>
    </row>
    <row r="36" spans="1:6">
      <c r="A36" s="38">
        <v>45657</v>
      </c>
      <c r="E36" s="87">
        <v>48</v>
      </c>
      <c r="F36" s="6">
        <v>174745.63</v>
      </c>
    </row>
    <row r="37" spans="1:6">
      <c r="A37" s="38">
        <v>45688</v>
      </c>
      <c r="E37" s="87">
        <v>49</v>
      </c>
      <c r="F37" s="6">
        <v>188048.77999999997</v>
      </c>
    </row>
    <row r="38" spans="1:6">
      <c r="A38" s="38">
        <v>45716</v>
      </c>
      <c r="E38" s="87">
        <v>50</v>
      </c>
      <c r="F38" s="6">
        <v>172168.67000000004</v>
      </c>
    </row>
    <row r="39" spans="1:6">
      <c r="A39" s="38">
        <v>45747</v>
      </c>
      <c r="E39" s="87">
        <v>54</v>
      </c>
      <c r="F39" s="6">
        <v>168410.94</v>
      </c>
    </row>
    <row r="40" spans="1:6">
      <c r="A40" s="38">
        <v>45777</v>
      </c>
      <c r="E40" s="87">
        <v>54</v>
      </c>
      <c r="F40" s="6">
        <v>179094.38</v>
      </c>
    </row>
    <row r="41" spans="1:6">
      <c r="A41" s="38">
        <v>45808</v>
      </c>
      <c r="E41" s="87">
        <v>54</v>
      </c>
      <c r="F41" s="6">
        <v>218508.38</v>
      </c>
    </row>
    <row r="42" spans="1:6">
      <c r="A42" s="38">
        <v>45838</v>
      </c>
      <c r="F42" s="6">
        <v>658732.52000000025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59999389629810485"/>
  </sheetPr>
  <dimension ref="A1:Z154"/>
  <sheetViews>
    <sheetView workbookViewId="0">
      <pane xSplit="1" ySplit="1" topLeftCell="B79" activePane="bottomRight" state="frozen"/>
      <selection pane="topRight" activeCell="B1" sqref="B1"/>
      <selection pane="bottomLeft" activeCell="A2" sqref="A2"/>
      <selection pane="bottomRight" activeCell="H92" sqref="H92:H103"/>
    </sheetView>
  </sheetViews>
  <sheetFormatPr baseColWidth="10" defaultColWidth="11" defaultRowHeight="16"/>
  <cols>
    <col min="1" max="1" width="9.83203125" style="53" bestFit="1" customWidth="1"/>
    <col min="2" max="2" width="16" style="25" bestFit="1" customWidth="1"/>
    <col min="3" max="3" width="16" style="2" bestFit="1" customWidth="1"/>
    <col min="4" max="4" width="10.1640625" customWidth="1"/>
    <col min="5" max="5" width="15.33203125" bestFit="1" customWidth="1"/>
    <col min="6" max="8" width="16.83203125" bestFit="1" customWidth="1"/>
    <col min="9" max="9" width="5.33203125" bestFit="1" customWidth="1"/>
    <col min="10" max="10" width="7.1640625" style="159" bestFit="1" customWidth="1"/>
    <col min="11" max="11" width="16" style="2" bestFit="1" customWidth="1"/>
    <col min="12" max="13" width="16" style="2" customWidth="1"/>
    <col min="14" max="14" width="5.33203125" style="95" bestFit="1" customWidth="1"/>
    <col min="15" max="15" width="20.5" style="161" bestFit="1" customWidth="1"/>
    <col min="16" max="17" width="15" style="190" bestFit="1" customWidth="1"/>
    <col min="18" max="18" width="5.33203125" style="95" bestFit="1" customWidth="1"/>
    <col min="19" max="19" width="17.1640625" style="2" bestFit="1" customWidth="1"/>
    <col min="20" max="20" width="13.1640625" bestFit="1" customWidth="1"/>
    <col min="21" max="21" width="17.1640625" bestFit="1" customWidth="1"/>
    <col min="22" max="22" width="12.5" bestFit="1" customWidth="1"/>
    <col min="23" max="23" width="16" style="161" bestFit="1" customWidth="1"/>
    <col min="24" max="24" width="5.33203125" bestFit="1" customWidth="1"/>
    <col min="25" max="26" width="15" bestFit="1" customWidth="1"/>
  </cols>
  <sheetData>
    <row r="1" spans="1:26">
      <c r="A1" s="52" t="s">
        <v>0</v>
      </c>
      <c r="B1" s="28" t="s">
        <v>82</v>
      </c>
      <c r="C1" s="3" t="s">
        <v>6</v>
      </c>
      <c r="D1" s="3" t="s">
        <v>2</v>
      </c>
      <c r="E1" s="3" t="s">
        <v>72</v>
      </c>
      <c r="F1" s="3" t="s">
        <v>4</v>
      </c>
      <c r="G1" s="3" t="s">
        <v>73</v>
      </c>
      <c r="H1" s="3" t="s">
        <v>9</v>
      </c>
      <c r="I1" s="3" t="s">
        <v>69</v>
      </c>
      <c r="K1" s="7" t="s">
        <v>11</v>
      </c>
      <c r="L1" s="3" t="s">
        <v>162</v>
      </c>
      <c r="M1" s="3" t="s">
        <v>163</v>
      </c>
      <c r="N1" s="9" t="s">
        <v>69</v>
      </c>
      <c r="O1" s="9" t="s">
        <v>140</v>
      </c>
      <c r="P1" s="3" t="s">
        <v>162</v>
      </c>
      <c r="Q1" s="3" t="s">
        <v>163</v>
      </c>
      <c r="R1" s="9" t="s">
        <v>69</v>
      </c>
      <c r="S1" s="12" t="s">
        <v>85</v>
      </c>
      <c r="T1" s="7" t="s">
        <v>102</v>
      </c>
      <c r="U1" s="12" t="s">
        <v>114</v>
      </c>
      <c r="V1" s="7" t="s">
        <v>113</v>
      </c>
      <c r="W1" s="160" t="s">
        <v>10</v>
      </c>
      <c r="X1" s="9" t="s">
        <v>69</v>
      </c>
      <c r="Y1" s="3" t="s">
        <v>162</v>
      </c>
      <c r="Z1" s="3" t="s">
        <v>163</v>
      </c>
    </row>
    <row r="2" spans="1:26">
      <c r="A2" s="38">
        <v>41121</v>
      </c>
      <c r="B2" s="26">
        <v>54710.78</v>
      </c>
      <c r="C2" s="151"/>
      <c r="D2" s="3"/>
      <c r="E2" s="3"/>
      <c r="F2" s="3"/>
      <c r="G2" s="3"/>
      <c r="H2" s="26">
        <v>54710.78</v>
      </c>
      <c r="I2" s="24">
        <v>1</v>
      </c>
      <c r="K2" s="7"/>
      <c r="L2" s="7"/>
      <c r="M2" s="7"/>
      <c r="N2" s="9"/>
      <c r="O2" s="167"/>
      <c r="P2" s="23"/>
      <c r="Q2" s="23"/>
      <c r="R2" s="9"/>
      <c r="T2" s="2"/>
      <c r="U2" s="2"/>
      <c r="V2" s="22"/>
      <c r="W2" s="167">
        <f t="shared" ref="W2:W33" si="0">K2+B2</f>
        <v>54710.78</v>
      </c>
      <c r="X2">
        <f t="shared" ref="X2:X33" si="1">I2+N2</f>
        <v>1</v>
      </c>
    </row>
    <row r="3" spans="1:26">
      <c r="A3" s="38">
        <v>41152</v>
      </c>
      <c r="B3" s="26">
        <v>445234.07</v>
      </c>
      <c r="C3" s="151"/>
      <c r="D3" s="3"/>
      <c r="E3" s="3"/>
      <c r="F3" s="3"/>
      <c r="G3" s="3"/>
      <c r="H3" s="26">
        <v>445234.07</v>
      </c>
      <c r="I3" s="24">
        <v>1</v>
      </c>
      <c r="K3" s="7"/>
      <c r="L3" s="7"/>
      <c r="M3" s="7"/>
      <c r="N3" s="9"/>
      <c r="O3" s="167"/>
      <c r="P3" s="23"/>
      <c r="Q3" s="23"/>
      <c r="R3" s="9"/>
      <c r="T3" s="2"/>
      <c r="U3" s="2"/>
      <c r="V3" s="22"/>
      <c r="W3" s="167">
        <f t="shared" si="0"/>
        <v>445234.07</v>
      </c>
      <c r="X3">
        <f t="shared" si="1"/>
        <v>1</v>
      </c>
    </row>
    <row r="4" spans="1:26">
      <c r="A4" s="38">
        <v>41182</v>
      </c>
      <c r="B4" s="26">
        <v>1004560.48</v>
      </c>
      <c r="C4" s="151"/>
      <c r="D4" s="3"/>
      <c r="E4" s="3"/>
      <c r="F4" s="3"/>
      <c r="G4" s="3"/>
      <c r="H4" s="26">
        <v>1004560.48</v>
      </c>
      <c r="I4" s="24">
        <v>1</v>
      </c>
      <c r="K4" s="7"/>
      <c r="L4" s="7"/>
      <c r="M4" s="7"/>
      <c r="N4" s="9"/>
      <c r="O4" s="167"/>
      <c r="P4" s="23"/>
      <c r="Q4" s="23"/>
      <c r="R4" s="9"/>
      <c r="T4" s="2"/>
      <c r="U4" s="2"/>
      <c r="V4" s="22"/>
      <c r="W4" s="167">
        <f t="shared" si="0"/>
        <v>1004560.48</v>
      </c>
      <c r="X4">
        <f t="shared" si="1"/>
        <v>1</v>
      </c>
    </row>
    <row r="5" spans="1:26">
      <c r="A5" s="38">
        <v>41213</v>
      </c>
      <c r="B5" s="26">
        <v>2438532.56</v>
      </c>
      <c r="C5" s="151"/>
      <c r="D5" s="3"/>
      <c r="E5" s="3"/>
      <c r="F5" s="3"/>
      <c r="G5" s="3"/>
      <c r="H5" s="26">
        <v>2438532.56</v>
      </c>
      <c r="I5" s="24">
        <v>1</v>
      </c>
      <c r="K5" s="7"/>
      <c r="L5" s="7"/>
      <c r="M5" s="7"/>
      <c r="N5" s="9"/>
      <c r="O5" s="167"/>
      <c r="P5" s="23"/>
      <c r="Q5" s="23"/>
      <c r="R5" s="9"/>
      <c r="T5" s="2"/>
      <c r="U5" s="2"/>
      <c r="V5" s="22"/>
      <c r="W5" s="167">
        <f t="shared" si="0"/>
        <v>2438532.56</v>
      </c>
      <c r="X5">
        <f t="shared" si="1"/>
        <v>1</v>
      </c>
    </row>
    <row r="6" spans="1:26">
      <c r="A6" s="38">
        <v>41243</v>
      </c>
      <c r="B6" s="26">
        <v>4543843</v>
      </c>
      <c r="C6" s="151"/>
      <c r="D6" s="3"/>
      <c r="E6" s="3"/>
      <c r="F6" s="3"/>
      <c r="G6" s="3"/>
      <c r="H6" s="26">
        <v>4543843</v>
      </c>
      <c r="I6" s="24">
        <v>1</v>
      </c>
      <c r="K6" s="7"/>
      <c r="L6" s="7"/>
      <c r="M6" s="7"/>
      <c r="N6" s="9"/>
      <c r="O6" s="167"/>
      <c r="P6" s="23"/>
      <c r="Q6" s="23"/>
      <c r="R6" s="9"/>
      <c r="T6" s="2"/>
      <c r="U6" s="2"/>
      <c r="V6" s="22"/>
      <c r="W6" s="167">
        <f t="shared" si="0"/>
        <v>4543843</v>
      </c>
      <c r="X6">
        <f t="shared" si="1"/>
        <v>1</v>
      </c>
    </row>
    <row r="7" spans="1:26">
      <c r="A7" s="38">
        <v>41274</v>
      </c>
      <c r="B7" s="25">
        <v>6250596</v>
      </c>
      <c r="G7" s="6"/>
      <c r="H7" s="25">
        <v>6250596</v>
      </c>
      <c r="I7" s="24">
        <v>1</v>
      </c>
      <c r="J7" s="166"/>
      <c r="O7" s="167"/>
      <c r="P7" s="23"/>
      <c r="Q7" s="23"/>
      <c r="W7" s="167">
        <f t="shared" si="0"/>
        <v>6250596</v>
      </c>
      <c r="X7">
        <f t="shared" si="1"/>
        <v>1</v>
      </c>
    </row>
    <row r="8" spans="1:26">
      <c r="A8" s="38">
        <v>41305</v>
      </c>
      <c r="B8" s="25">
        <v>9043941.1199999992</v>
      </c>
      <c r="D8" s="5">
        <f>SILVX!C10</f>
        <v>4.8000000000000001E-2</v>
      </c>
      <c r="E8" s="6">
        <f t="shared" ref="E8:E45" si="2">D8*B7</f>
        <v>300028.60800000001</v>
      </c>
      <c r="F8" s="6">
        <f t="shared" ref="F8:F39" si="3">B8-(E8+B7)</f>
        <v>2493316.5119999992</v>
      </c>
      <c r="G8" s="8">
        <f t="shared" ref="G8:G66" si="4">E8+F8</f>
        <v>2793345.1199999992</v>
      </c>
      <c r="H8" s="25">
        <v>9043941.1199999992</v>
      </c>
      <c r="I8" s="24">
        <v>1</v>
      </c>
      <c r="J8" s="166"/>
      <c r="O8" s="167"/>
      <c r="P8" s="23"/>
      <c r="Q8" s="23"/>
      <c r="T8" s="6"/>
      <c r="U8" s="6"/>
      <c r="V8" s="22"/>
      <c r="W8" s="167">
        <f t="shared" si="0"/>
        <v>9043941.1199999992</v>
      </c>
      <c r="X8">
        <f t="shared" si="1"/>
        <v>1</v>
      </c>
    </row>
    <row r="9" spans="1:26">
      <c r="A9" s="38">
        <f>AUM!A4</f>
        <v>41333</v>
      </c>
      <c r="B9" s="25">
        <v>12616613.02</v>
      </c>
      <c r="D9" s="5">
        <f>SILVX!C11</f>
        <v>3.8399999999999997E-2</v>
      </c>
      <c r="E9" s="6">
        <f t="shared" si="2"/>
        <v>347287.33900799992</v>
      </c>
      <c r="F9" s="6">
        <f t="shared" si="3"/>
        <v>3225384.5609920006</v>
      </c>
      <c r="G9" s="8">
        <f t="shared" si="4"/>
        <v>3572671.9000000004</v>
      </c>
      <c r="H9" s="25">
        <v>12616613.02</v>
      </c>
      <c r="I9" s="24">
        <v>1</v>
      </c>
      <c r="J9" s="166"/>
      <c r="O9" s="167"/>
      <c r="P9" s="23"/>
      <c r="Q9" s="23"/>
      <c r="T9" s="6"/>
      <c r="U9" s="6"/>
      <c r="V9" s="22"/>
      <c r="W9" s="167">
        <f t="shared" si="0"/>
        <v>12616613.02</v>
      </c>
      <c r="X9">
        <f t="shared" si="1"/>
        <v>1</v>
      </c>
    </row>
    <row r="10" spans="1:26">
      <c r="A10" s="38">
        <f>AUM!A5</f>
        <v>41364</v>
      </c>
      <c r="B10" s="25">
        <v>17970579.98</v>
      </c>
      <c r="D10" s="5">
        <f>SILVX!C12</f>
        <v>4.3200000000000002E-2</v>
      </c>
      <c r="E10" s="6">
        <f t="shared" si="2"/>
        <v>545037.68246399995</v>
      </c>
      <c r="F10" s="6">
        <f t="shared" si="3"/>
        <v>4808929.2775360011</v>
      </c>
      <c r="G10" s="8">
        <f t="shared" si="4"/>
        <v>5353966.9600000009</v>
      </c>
      <c r="H10" s="25">
        <v>17970579.98</v>
      </c>
      <c r="I10" s="24">
        <v>1</v>
      </c>
      <c r="J10" s="166"/>
      <c r="O10" s="167"/>
      <c r="P10" s="23"/>
      <c r="Q10" s="23"/>
      <c r="T10" s="6"/>
      <c r="U10" s="6"/>
      <c r="V10" s="22"/>
      <c r="W10" s="167">
        <f t="shared" si="0"/>
        <v>17970579.98</v>
      </c>
      <c r="X10">
        <f t="shared" si="1"/>
        <v>1</v>
      </c>
    </row>
    <row r="11" spans="1:26">
      <c r="A11" s="38">
        <f>AUM!A6</f>
        <v>41394</v>
      </c>
      <c r="B11" s="25">
        <v>25477705.350000001</v>
      </c>
      <c r="D11" s="5">
        <f>SILVX!C13</f>
        <v>2.5000000000000001E-2</v>
      </c>
      <c r="E11" s="6">
        <f t="shared" si="2"/>
        <v>449264.49950000003</v>
      </c>
      <c r="F11" s="6">
        <f t="shared" si="3"/>
        <v>7057860.8705000021</v>
      </c>
      <c r="G11" s="8">
        <f t="shared" si="4"/>
        <v>7507125.370000002</v>
      </c>
      <c r="H11" s="25">
        <v>25477705.350000001</v>
      </c>
      <c r="I11" s="24">
        <v>1</v>
      </c>
      <c r="J11" s="166"/>
      <c r="O11" s="167"/>
      <c r="P11" s="23"/>
      <c r="Q11" s="23"/>
      <c r="T11" s="6"/>
      <c r="U11" s="6"/>
      <c r="V11" s="22"/>
      <c r="W11" s="167">
        <f t="shared" si="0"/>
        <v>25477705.350000001</v>
      </c>
      <c r="X11">
        <f t="shared" si="1"/>
        <v>1</v>
      </c>
    </row>
    <row r="12" spans="1:26">
      <c r="A12" s="38">
        <f>AUM!A7</f>
        <v>41425</v>
      </c>
      <c r="B12" s="25">
        <v>33026120.73</v>
      </c>
      <c r="D12" s="5">
        <f>SILVX!C14</f>
        <v>-1.35E-2</v>
      </c>
      <c r="E12" s="6">
        <f t="shared" si="2"/>
        <v>-343949.02222500002</v>
      </c>
      <c r="F12" s="6">
        <f t="shared" si="3"/>
        <v>7892364.4022249989</v>
      </c>
      <c r="G12" s="8">
        <f t="shared" si="4"/>
        <v>7548415.379999999</v>
      </c>
      <c r="H12" s="25">
        <v>33026120.73</v>
      </c>
      <c r="I12" s="24">
        <v>1</v>
      </c>
      <c r="J12" s="166"/>
      <c r="O12" s="167"/>
      <c r="P12" s="23"/>
      <c r="Q12" s="23"/>
      <c r="T12" s="6"/>
      <c r="U12" s="6"/>
      <c r="V12" s="22"/>
      <c r="W12" s="167">
        <f t="shared" si="0"/>
        <v>33026120.73</v>
      </c>
      <c r="X12">
        <f t="shared" si="1"/>
        <v>1</v>
      </c>
    </row>
    <row r="13" spans="1:26">
      <c r="A13" s="38">
        <f>AUM!A8</f>
        <v>41455</v>
      </c>
      <c r="B13" s="25">
        <v>38032982.18</v>
      </c>
      <c r="D13" s="5">
        <f>SILVX!C15</f>
        <v>4.3E-3</v>
      </c>
      <c r="E13" s="6">
        <f t="shared" si="2"/>
        <v>142012.319139</v>
      </c>
      <c r="F13" s="6">
        <f t="shared" si="3"/>
        <v>4864849.1308609992</v>
      </c>
      <c r="G13" s="8">
        <f t="shared" si="4"/>
        <v>5006861.4499999993</v>
      </c>
      <c r="H13" s="25">
        <v>38032982.18</v>
      </c>
      <c r="I13" s="24">
        <v>1</v>
      </c>
      <c r="J13" s="166"/>
      <c r="O13" s="167"/>
      <c r="P13" s="23"/>
      <c r="Q13" s="23"/>
      <c r="T13" s="6"/>
      <c r="U13" s="6"/>
      <c r="V13" s="22"/>
      <c r="W13" s="167">
        <f t="shared" si="0"/>
        <v>38032982.18</v>
      </c>
      <c r="X13">
        <f t="shared" si="1"/>
        <v>1</v>
      </c>
    </row>
    <row r="14" spans="1:26">
      <c r="A14" s="38">
        <f>AUM!A9</f>
        <v>41486</v>
      </c>
      <c r="B14" s="25">
        <v>43068425.100000001</v>
      </c>
      <c r="D14" s="5">
        <f>SILVX!C16</f>
        <v>4.5100000000000001E-2</v>
      </c>
      <c r="E14" s="6">
        <f t="shared" si="2"/>
        <v>1715287.4963180001</v>
      </c>
      <c r="F14" s="6">
        <f t="shared" si="3"/>
        <v>3320155.4236820042</v>
      </c>
      <c r="G14" s="8">
        <f t="shared" si="4"/>
        <v>5035442.9200000046</v>
      </c>
      <c r="H14" s="25">
        <v>43068425.100000001</v>
      </c>
      <c r="I14" s="24">
        <v>1</v>
      </c>
      <c r="J14" s="166"/>
      <c r="O14" s="167"/>
      <c r="P14" s="23"/>
      <c r="Q14" s="23"/>
      <c r="T14" s="6"/>
      <c r="U14" s="6"/>
      <c r="V14" s="22"/>
      <c r="W14" s="167">
        <f t="shared" si="0"/>
        <v>43068425.100000001</v>
      </c>
      <c r="X14">
        <f t="shared" si="1"/>
        <v>1</v>
      </c>
    </row>
    <row r="15" spans="1:26">
      <c r="A15" s="38">
        <f>AUM!A10</f>
        <v>41517</v>
      </c>
      <c r="B15" s="25">
        <v>48985738.850000001</v>
      </c>
      <c r="D15" s="5">
        <f>SILVX!C17</f>
        <v>-3.5799999999999998E-2</v>
      </c>
      <c r="E15" s="6">
        <f t="shared" si="2"/>
        <v>-1541849.61858</v>
      </c>
      <c r="F15" s="6">
        <f t="shared" si="3"/>
        <v>7459163.3685799986</v>
      </c>
      <c r="G15" s="8">
        <f t="shared" si="4"/>
        <v>5917313.7499999981</v>
      </c>
      <c r="H15" s="25">
        <v>48985738.850000001</v>
      </c>
      <c r="I15" s="24">
        <v>1</v>
      </c>
      <c r="J15" s="166"/>
      <c r="O15" s="167"/>
      <c r="P15" s="23"/>
      <c r="Q15" s="23"/>
      <c r="T15" s="6"/>
      <c r="U15" s="6"/>
      <c r="V15" s="22"/>
      <c r="W15" s="167">
        <f t="shared" si="0"/>
        <v>48985738.850000001</v>
      </c>
      <c r="X15">
        <f t="shared" si="1"/>
        <v>1</v>
      </c>
    </row>
    <row r="16" spans="1:26">
      <c r="A16" s="38">
        <f>AUM!A11</f>
        <v>41547</v>
      </c>
      <c r="B16" s="25">
        <v>55101650.32</v>
      </c>
      <c r="D16" s="5">
        <f>SILVX!C18</f>
        <v>2.0299999999999999E-2</v>
      </c>
      <c r="E16" s="6">
        <f t="shared" si="2"/>
        <v>994410.498655</v>
      </c>
      <c r="F16" s="6">
        <f t="shared" si="3"/>
        <v>5121500.971345</v>
      </c>
      <c r="G16" s="8">
        <f t="shared" si="4"/>
        <v>6115911.4699999997</v>
      </c>
      <c r="H16" s="25">
        <v>55101650.32</v>
      </c>
      <c r="I16" s="24">
        <v>1</v>
      </c>
      <c r="J16" s="166"/>
      <c r="O16" s="167"/>
      <c r="P16" s="23"/>
      <c r="Q16" s="23"/>
      <c r="T16" s="6"/>
      <c r="U16" s="6"/>
      <c r="V16" s="22"/>
      <c r="W16" s="167">
        <f t="shared" si="0"/>
        <v>55101650.32</v>
      </c>
      <c r="X16">
        <f t="shared" si="1"/>
        <v>1</v>
      </c>
    </row>
    <row r="17" spans="1:24">
      <c r="A17" s="38">
        <f>AUM!A12</f>
        <v>41578</v>
      </c>
      <c r="B17" s="25">
        <v>63354584.469999999</v>
      </c>
      <c r="D17" s="5">
        <f>SILVX!C19</f>
        <v>3.7199999999999997E-2</v>
      </c>
      <c r="E17" s="6">
        <f t="shared" si="2"/>
        <v>2049781.3919039997</v>
      </c>
      <c r="F17" s="6">
        <f t="shared" si="3"/>
        <v>6203152.758096002</v>
      </c>
      <c r="G17" s="8">
        <f t="shared" si="4"/>
        <v>8252934.1500000022</v>
      </c>
      <c r="H17" s="25">
        <v>63354584.469999999</v>
      </c>
      <c r="I17" s="24">
        <v>1</v>
      </c>
      <c r="J17" s="166"/>
      <c r="O17" s="167"/>
      <c r="P17" s="23"/>
      <c r="Q17" s="23"/>
      <c r="T17" s="6"/>
      <c r="U17" s="6"/>
      <c r="V17" s="22"/>
      <c r="W17" s="167">
        <f t="shared" si="0"/>
        <v>63354584.469999999</v>
      </c>
      <c r="X17">
        <f t="shared" si="1"/>
        <v>1</v>
      </c>
    </row>
    <row r="18" spans="1:24">
      <c r="A18" s="38">
        <f>AUM!A13</f>
        <v>41608</v>
      </c>
      <c r="B18" s="25">
        <v>70750990.049999997</v>
      </c>
      <c r="D18" s="5">
        <f>SILVX!C20</f>
        <v>1.83E-2</v>
      </c>
      <c r="E18" s="6">
        <f t="shared" si="2"/>
        <v>1159388.8958010001</v>
      </c>
      <c r="F18" s="6">
        <f t="shared" si="3"/>
        <v>6237016.6841989979</v>
      </c>
      <c r="G18" s="8">
        <f t="shared" si="4"/>
        <v>7396405.5799999982</v>
      </c>
      <c r="H18" s="25">
        <v>70750990.049999997</v>
      </c>
      <c r="I18" s="24">
        <v>1</v>
      </c>
      <c r="J18" s="166"/>
      <c r="O18" s="167"/>
      <c r="P18" s="23"/>
      <c r="Q18" s="23"/>
      <c r="T18" s="6"/>
      <c r="U18" s="6"/>
      <c r="V18" s="22"/>
      <c r="W18" s="167">
        <f t="shared" si="0"/>
        <v>70750990.049999997</v>
      </c>
      <c r="X18">
        <f t="shared" si="1"/>
        <v>1</v>
      </c>
    </row>
    <row r="19" spans="1:24">
      <c r="A19" s="38">
        <f>AUM!A14</f>
        <v>41639</v>
      </c>
      <c r="B19" s="25">
        <v>76943473.060000002</v>
      </c>
      <c r="D19" s="5">
        <f>SILVX!C21</f>
        <v>2.01E-2</v>
      </c>
      <c r="E19" s="6">
        <f t="shared" si="2"/>
        <v>1422094.9000049999</v>
      </c>
      <c r="F19" s="6">
        <f t="shared" si="3"/>
        <v>4770388.1099950075</v>
      </c>
      <c r="G19" s="8">
        <f t="shared" si="4"/>
        <v>6192483.0100000072</v>
      </c>
      <c r="H19" s="25">
        <v>76943473.060000002</v>
      </c>
      <c r="I19" s="24">
        <v>1</v>
      </c>
      <c r="J19" s="166"/>
      <c r="O19" s="167"/>
      <c r="P19" s="23"/>
      <c r="Q19" s="23"/>
      <c r="T19" s="6"/>
      <c r="U19" s="6"/>
      <c r="V19" s="22"/>
      <c r="W19" s="167">
        <f t="shared" si="0"/>
        <v>76943473.060000002</v>
      </c>
      <c r="X19">
        <f t="shared" si="1"/>
        <v>1</v>
      </c>
    </row>
    <row r="20" spans="1:24">
      <c r="A20" s="38">
        <f>AUM!A15</f>
        <v>41670</v>
      </c>
      <c r="B20" s="25">
        <v>78423646.260000005</v>
      </c>
      <c r="D20" s="5">
        <f>SILVX!C22</f>
        <v>-3.3000000000000002E-2</v>
      </c>
      <c r="E20" s="6">
        <f t="shared" si="2"/>
        <v>-2539134.6109800003</v>
      </c>
      <c r="F20" s="6">
        <f t="shared" si="3"/>
        <v>4019307.8109800071</v>
      </c>
      <c r="G20" s="8">
        <f t="shared" si="4"/>
        <v>1480173.2000000067</v>
      </c>
      <c r="H20" s="25">
        <v>78423646.260000005</v>
      </c>
      <c r="I20" s="24">
        <v>1</v>
      </c>
      <c r="J20" s="166"/>
      <c r="O20" s="167"/>
      <c r="P20" s="23"/>
      <c r="Q20" s="23"/>
      <c r="T20" s="6"/>
      <c r="U20" s="6"/>
      <c r="V20" s="22"/>
      <c r="W20" s="167">
        <f t="shared" si="0"/>
        <v>78423646.260000005</v>
      </c>
      <c r="X20">
        <f t="shared" si="1"/>
        <v>1</v>
      </c>
    </row>
    <row r="21" spans="1:24">
      <c r="A21" s="38">
        <f>AUM!A16</f>
        <v>41698</v>
      </c>
      <c r="B21" s="25">
        <v>82996161.079999998</v>
      </c>
      <c r="D21" s="5">
        <f>SILVX!C23</f>
        <v>3.5799999999999998E-2</v>
      </c>
      <c r="E21" s="6">
        <f t="shared" si="2"/>
        <v>2807566.5361080002</v>
      </c>
      <c r="F21" s="6">
        <f t="shared" si="3"/>
        <v>1764948.2838919908</v>
      </c>
      <c r="G21" s="8">
        <f t="shared" si="4"/>
        <v>4572514.819999991</v>
      </c>
      <c r="H21" s="25">
        <v>82996161.079999998</v>
      </c>
      <c r="I21" s="24">
        <v>1</v>
      </c>
      <c r="J21" s="166"/>
      <c r="O21" s="167"/>
      <c r="P21" s="23"/>
      <c r="Q21" s="23"/>
      <c r="T21" s="6"/>
      <c r="U21" s="6"/>
      <c r="V21" s="22"/>
      <c r="W21" s="167">
        <f t="shared" si="0"/>
        <v>82996161.079999998</v>
      </c>
      <c r="X21">
        <f t="shared" si="1"/>
        <v>1</v>
      </c>
    </row>
    <row r="22" spans="1:24">
      <c r="A22" s="38">
        <f>AUM!A17</f>
        <v>41729</v>
      </c>
      <c r="B22" s="25">
        <v>89183814.680000007</v>
      </c>
      <c r="D22" s="5">
        <f>SILVX!C24</f>
        <v>1.8100000000000002E-2</v>
      </c>
      <c r="E22" s="6">
        <f t="shared" si="2"/>
        <v>1502230.5155480001</v>
      </c>
      <c r="F22" s="6">
        <f t="shared" si="3"/>
        <v>4685423.0844520032</v>
      </c>
      <c r="G22" s="8">
        <f t="shared" si="4"/>
        <v>6187653.6000000034</v>
      </c>
      <c r="H22" s="25">
        <v>89183814.680000007</v>
      </c>
      <c r="I22" s="24">
        <v>1</v>
      </c>
      <c r="J22" s="166"/>
      <c r="O22" s="167"/>
      <c r="P22" s="23"/>
      <c r="Q22" s="23"/>
      <c r="T22" s="6"/>
      <c r="W22" s="167">
        <f t="shared" si="0"/>
        <v>89183814.680000007</v>
      </c>
      <c r="X22">
        <f t="shared" si="1"/>
        <v>1</v>
      </c>
    </row>
    <row r="23" spans="1:24">
      <c r="A23" s="38">
        <f>AUM!A18</f>
        <v>41759</v>
      </c>
      <c r="B23" s="25">
        <v>93397555.799999997</v>
      </c>
      <c r="D23" s="5">
        <f>SILVX!C25</f>
        <v>6.1999999999999998E-3</v>
      </c>
      <c r="E23" s="6">
        <f t="shared" si="2"/>
        <v>552939.65101600008</v>
      </c>
      <c r="F23" s="6">
        <f t="shared" si="3"/>
        <v>3660801.4689839929</v>
      </c>
      <c r="G23" s="8">
        <f t="shared" si="4"/>
        <v>4213741.1199999927</v>
      </c>
      <c r="H23" s="25">
        <v>93397555.799999997</v>
      </c>
      <c r="I23" s="24">
        <v>1</v>
      </c>
      <c r="J23" s="166"/>
      <c r="O23" s="167"/>
      <c r="P23" s="23"/>
      <c r="Q23" s="23"/>
      <c r="T23" s="6"/>
      <c r="W23" s="167">
        <f t="shared" si="0"/>
        <v>93397555.799999997</v>
      </c>
      <c r="X23">
        <f t="shared" si="1"/>
        <v>1</v>
      </c>
    </row>
    <row r="24" spans="1:24">
      <c r="A24" s="38">
        <f>AUM!A19</f>
        <v>41790</v>
      </c>
      <c r="B24" s="25">
        <v>97177900.159999996</v>
      </c>
      <c r="D24" s="5">
        <f>SILVX!C26</f>
        <v>1.15E-2</v>
      </c>
      <c r="E24" s="6">
        <f t="shared" si="2"/>
        <v>1074071.8917</v>
      </c>
      <c r="F24" s="6">
        <f t="shared" si="3"/>
        <v>2706272.4682999998</v>
      </c>
      <c r="G24" s="8">
        <f t="shared" si="4"/>
        <v>3780344.36</v>
      </c>
      <c r="H24" s="25">
        <v>97177900.159999996</v>
      </c>
      <c r="I24" s="24">
        <v>1</v>
      </c>
      <c r="J24" s="166"/>
      <c r="O24" s="167"/>
      <c r="P24" s="23"/>
      <c r="Q24" s="23"/>
      <c r="W24" s="167">
        <f t="shared" si="0"/>
        <v>97177900.159999996</v>
      </c>
      <c r="X24">
        <f t="shared" si="1"/>
        <v>1</v>
      </c>
    </row>
    <row r="25" spans="1:24">
      <c r="A25" s="38">
        <f>AUM!A20</f>
        <v>41820</v>
      </c>
      <c r="B25" s="25">
        <v>100783903.40000001</v>
      </c>
      <c r="D25" s="5">
        <f>SILVX!C27</f>
        <v>1.3599999999999999E-2</v>
      </c>
      <c r="E25" s="6">
        <f t="shared" si="2"/>
        <v>1321619.442176</v>
      </c>
      <c r="F25" s="6">
        <f t="shared" si="3"/>
        <v>2284383.7978240103</v>
      </c>
      <c r="G25" s="8">
        <f t="shared" si="4"/>
        <v>3606003.2400000105</v>
      </c>
      <c r="H25" s="25">
        <v>100783903.40000001</v>
      </c>
      <c r="I25" s="24">
        <v>1</v>
      </c>
      <c r="J25" s="166"/>
      <c r="O25" s="167"/>
      <c r="P25" s="23"/>
      <c r="Q25" s="23"/>
      <c r="W25" s="167">
        <f t="shared" si="0"/>
        <v>100783903.40000001</v>
      </c>
      <c r="X25">
        <f t="shared" si="1"/>
        <v>1</v>
      </c>
    </row>
    <row r="26" spans="1:24">
      <c r="A26" s="38">
        <f>AUM!A21</f>
        <v>41851</v>
      </c>
      <c r="B26" s="25">
        <v>101528171.86</v>
      </c>
      <c r="D26" s="5">
        <f>SILVX!C28</f>
        <v>-1.0500000000000001E-2</v>
      </c>
      <c r="E26" s="6">
        <f t="shared" si="2"/>
        <v>-1058230.9857000001</v>
      </c>
      <c r="F26" s="6">
        <f t="shared" si="3"/>
        <v>1802499.4456999898</v>
      </c>
      <c r="G26" s="8">
        <f t="shared" si="4"/>
        <v>744268.45999998972</v>
      </c>
      <c r="H26" s="25">
        <v>101528171.86</v>
      </c>
      <c r="I26" s="24">
        <v>1</v>
      </c>
      <c r="J26" s="166"/>
      <c r="O26" s="167"/>
      <c r="P26" s="23"/>
      <c r="Q26" s="23"/>
      <c r="W26" s="167">
        <f t="shared" si="0"/>
        <v>101528171.86</v>
      </c>
      <c r="X26">
        <f t="shared" si="1"/>
        <v>1</v>
      </c>
    </row>
    <row r="27" spans="1:24">
      <c r="A27" s="38">
        <f>AUM!A22</f>
        <v>41882</v>
      </c>
      <c r="B27" s="25">
        <v>107429390.26000001</v>
      </c>
      <c r="D27" s="5">
        <f>SILVX!C29</f>
        <v>3.6299999999999999E-2</v>
      </c>
      <c r="E27" s="6">
        <f t="shared" si="2"/>
        <v>3685472.638518</v>
      </c>
      <c r="F27" s="6">
        <f t="shared" si="3"/>
        <v>2215745.7614820004</v>
      </c>
      <c r="G27" s="8">
        <f t="shared" si="4"/>
        <v>5901218.4000000004</v>
      </c>
      <c r="H27" s="25">
        <v>107429390.26000001</v>
      </c>
      <c r="I27" s="24">
        <v>1</v>
      </c>
      <c r="J27" s="166"/>
      <c r="O27" s="167"/>
      <c r="P27" s="23"/>
      <c r="Q27" s="23"/>
      <c r="W27" s="167">
        <f t="shared" si="0"/>
        <v>107429390.26000001</v>
      </c>
      <c r="X27">
        <f t="shared" si="1"/>
        <v>1</v>
      </c>
    </row>
    <row r="28" spans="1:24">
      <c r="A28" s="38">
        <f>AUM!A23</f>
        <v>41912</v>
      </c>
      <c r="B28" s="25">
        <v>108561297.62</v>
      </c>
      <c r="D28" s="5">
        <f>SILVX!C30</f>
        <v>-8.6999999999999994E-3</v>
      </c>
      <c r="E28" s="6">
        <f t="shared" si="2"/>
        <v>-934635.69526199996</v>
      </c>
      <c r="F28" s="6">
        <f t="shared" si="3"/>
        <v>2066543.0552619994</v>
      </c>
      <c r="G28" s="8">
        <f t="shared" si="4"/>
        <v>1131907.3599999994</v>
      </c>
      <c r="H28" s="25">
        <v>108561297.62</v>
      </c>
      <c r="I28" s="24">
        <v>1</v>
      </c>
      <c r="J28" s="166"/>
      <c r="O28" s="167"/>
      <c r="P28" s="23"/>
      <c r="Q28" s="23"/>
      <c r="W28" s="167">
        <f t="shared" si="0"/>
        <v>108561297.62</v>
      </c>
      <c r="X28">
        <f t="shared" si="1"/>
        <v>1</v>
      </c>
    </row>
    <row r="29" spans="1:24">
      <c r="A29" s="38">
        <f>AUM!A24</f>
        <v>41943</v>
      </c>
      <c r="B29" s="25">
        <v>114085530.39</v>
      </c>
      <c r="D29" s="5">
        <f>SILVX!C31</f>
        <v>3.2399999999999998E-2</v>
      </c>
      <c r="E29" s="6">
        <f t="shared" si="2"/>
        <v>3517386.0428880001</v>
      </c>
      <c r="F29" s="6">
        <f t="shared" si="3"/>
        <v>2006846.7271119952</v>
      </c>
      <c r="G29" s="8">
        <f t="shared" si="4"/>
        <v>5524232.7699999958</v>
      </c>
      <c r="H29" s="25">
        <v>114085530.39</v>
      </c>
      <c r="I29" s="24">
        <v>1</v>
      </c>
      <c r="J29" s="166"/>
      <c r="O29" s="167"/>
      <c r="P29" s="23"/>
      <c r="Q29" s="23"/>
      <c r="W29" s="167">
        <f t="shared" si="0"/>
        <v>114085530.39</v>
      </c>
      <c r="X29">
        <f t="shared" si="1"/>
        <v>1</v>
      </c>
    </row>
    <row r="30" spans="1:24">
      <c r="A30" s="38">
        <f>AUM!A25</f>
        <v>41973</v>
      </c>
      <c r="B30" s="25">
        <v>124261542.16</v>
      </c>
      <c r="D30" s="5">
        <f>SILVX!C32</f>
        <v>4.1300000000000003E-2</v>
      </c>
      <c r="E30" s="6">
        <f t="shared" si="2"/>
        <v>4711732.4051070008</v>
      </c>
      <c r="F30" s="6">
        <f t="shared" si="3"/>
        <v>5464279.3648929894</v>
      </c>
      <c r="G30" s="8">
        <f t="shared" si="4"/>
        <v>10176011.76999999</v>
      </c>
      <c r="H30" s="25">
        <v>124261542.16</v>
      </c>
      <c r="I30" s="24">
        <v>1</v>
      </c>
      <c r="J30" s="166"/>
      <c r="O30" s="167"/>
      <c r="P30" s="23"/>
      <c r="Q30" s="23"/>
      <c r="W30" s="167">
        <f t="shared" si="0"/>
        <v>124261542.16</v>
      </c>
      <c r="X30">
        <f t="shared" si="1"/>
        <v>1</v>
      </c>
    </row>
    <row r="31" spans="1:24">
      <c r="A31" s="38">
        <f>AUM!A26</f>
        <v>42004</v>
      </c>
      <c r="B31" s="25">
        <v>131227186.75</v>
      </c>
      <c r="D31" s="5">
        <f>SILVX!C33</f>
        <v>0</v>
      </c>
      <c r="E31" s="6">
        <f t="shared" si="2"/>
        <v>0</v>
      </c>
      <c r="F31" s="6">
        <f t="shared" si="3"/>
        <v>6965644.5900000036</v>
      </c>
      <c r="G31" s="8">
        <f t="shared" si="4"/>
        <v>6965644.5900000036</v>
      </c>
      <c r="H31" s="25">
        <v>131227186.75</v>
      </c>
      <c r="I31" s="24">
        <v>1</v>
      </c>
      <c r="J31" s="166"/>
      <c r="O31" s="167"/>
      <c r="P31" s="23"/>
      <c r="Q31" s="23"/>
      <c r="W31" s="167">
        <f t="shared" si="0"/>
        <v>131227186.75</v>
      </c>
      <c r="X31">
        <f t="shared" si="1"/>
        <v>1</v>
      </c>
    </row>
    <row r="32" spans="1:24">
      <c r="A32" s="38">
        <f>AUM!A27</f>
        <v>42035</v>
      </c>
      <c r="B32" s="25">
        <v>137645633.72</v>
      </c>
      <c r="D32" s="5">
        <f>SILVX!C34</f>
        <v>-1.21E-2</v>
      </c>
      <c r="E32" s="6">
        <f t="shared" si="2"/>
        <v>-1587848.959675</v>
      </c>
      <c r="F32" s="6">
        <f t="shared" si="3"/>
        <v>8006295.9296749979</v>
      </c>
      <c r="G32" s="8">
        <f t="shared" si="4"/>
        <v>6418446.9699999979</v>
      </c>
      <c r="H32" s="25">
        <v>137645633.72</v>
      </c>
      <c r="I32" s="24">
        <v>1</v>
      </c>
      <c r="J32" s="166"/>
      <c r="O32" s="167"/>
      <c r="P32" s="23"/>
      <c r="Q32" s="23"/>
      <c r="W32" s="167">
        <f t="shared" si="0"/>
        <v>137645633.72</v>
      </c>
      <c r="X32">
        <f t="shared" si="1"/>
        <v>1</v>
      </c>
    </row>
    <row r="33" spans="1:24">
      <c r="A33" s="38">
        <f>AUM!A28</f>
        <v>42063</v>
      </c>
      <c r="B33" s="25">
        <v>153035156.66</v>
      </c>
      <c r="D33" s="5">
        <f>SILVX!C35</f>
        <v>3.0300000000000001E-2</v>
      </c>
      <c r="E33" s="6">
        <f t="shared" si="2"/>
        <v>4170662.7017160002</v>
      </c>
      <c r="F33" s="6">
        <f t="shared" si="3"/>
        <v>11218860.238283992</v>
      </c>
      <c r="G33" s="8">
        <f t="shared" si="4"/>
        <v>15389522.939999992</v>
      </c>
      <c r="H33" s="25">
        <v>153035156.66</v>
      </c>
      <c r="I33" s="24">
        <v>1</v>
      </c>
      <c r="J33" s="166"/>
      <c r="O33" s="167"/>
      <c r="P33" s="23"/>
      <c r="Q33" s="23"/>
      <c r="W33" s="167">
        <f t="shared" si="0"/>
        <v>153035156.66</v>
      </c>
      <c r="X33">
        <f t="shared" si="1"/>
        <v>1</v>
      </c>
    </row>
    <row r="34" spans="1:24">
      <c r="A34" s="38">
        <f>AUM!A29</f>
        <v>42094</v>
      </c>
      <c r="B34" s="25">
        <v>161370716.09</v>
      </c>
      <c r="D34" s="5">
        <f>SILVX!C36</f>
        <v>-7.0000000000000001E-3</v>
      </c>
      <c r="E34" s="6">
        <f t="shared" si="2"/>
        <v>-1071246.09662</v>
      </c>
      <c r="F34" s="6">
        <f t="shared" si="3"/>
        <v>9406805.5266200006</v>
      </c>
      <c r="G34" s="8">
        <f t="shared" si="4"/>
        <v>8335559.4300000006</v>
      </c>
      <c r="H34" s="25">
        <v>161370716.09</v>
      </c>
      <c r="I34" s="24">
        <v>1</v>
      </c>
      <c r="J34" s="166"/>
      <c r="O34" s="167"/>
      <c r="P34" s="23"/>
      <c r="Q34" s="23"/>
      <c r="W34" s="167">
        <f t="shared" ref="W34:W63" si="5">K34+B34</f>
        <v>161370716.09</v>
      </c>
      <c r="X34">
        <f t="shared" ref="X34:X65" si="6">I34+N34</f>
        <v>1</v>
      </c>
    </row>
    <row r="35" spans="1:24">
      <c r="A35" s="38">
        <f>AUM!A30</f>
        <v>42124</v>
      </c>
      <c r="B35" s="25">
        <v>165572464.47999999</v>
      </c>
      <c r="D35" s="5">
        <f>SILVX!C37</f>
        <v>-1.41E-2</v>
      </c>
      <c r="E35" s="6">
        <f t="shared" si="2"/>
        <v>-2275327.0968689998</v>
      </c>
      <c r="F35" s="6">
        <f t="shared" si="3"/>
        <v>6477075.4868689775</v>
      </c>
      <c r="G35" s="8">
        <f t="shared" si="4"/>
        <v>4201748.3899999782</v>
      </c>
      <c r="H35" s="25">
        <v>165572464.47999999</v>
      </c>
      <c r="I35" s="24">
        <v>1</v>
      </c>
      <c r="J35" s="166">
        <f t="shared" ref="J35:J78" si="7">A35</f>
        <v>42124</v>
      </c>
      <c r="K35" s="2">
        <v>5443804.0099999998</v>
      </c>
      <c r="N35">
        <v>1</v>
      </c>
      <c r="O35" s="167"/>
      <c r="P35" s="23"/>
      <c r="Q35" s="23"/>
      <c r="R35"/>
      <c r="W35" s="167">
        <f t="shared" si="5"/>
        <v>171016268.48999998</v>
      </c>
      <c r="X35">
        <f t="shared" si="6"/>
        <v>2</v>
      </c>
    </row>
    <row r="36" spans="1:24">
      <c r="A36" s="38">
        <f>AUM!A31</f>
        <v>42155</v>
      </c>
      <c r="B36" s="25">
        <v>171145806</v>
      </c>
      <c r="D36" s="5">
        <f>SILVX!C38</f>
        <v>0.01</v>
      </c>
      <c r="E36" s="6">
        <f t="shared" si="2"/>
        <v>1655724.6447999999</v>
      </c>
      <c r="F36" s="6">
        <f t="shared" si="3"/>
        <v>3917616.8752000034</v>
      </c>
      <c r="G36" s="8">
        <f t="shared" si="4"/>
        <v>5573341.5200000033</v>
      </c>
      <c r="H36" s="25">
        <v>171145806</v>
      </c>
      <c r="I36" s="24">
        <v>1</v>
      </c>
      <c r="J36" s="166">
        <f t="shared" si="7"/>
        <v>42155</v>
      </c>
      <c r="K36" s="2">
        <v>11169615.310000001</v>
      </c>
      <c r="N36">
        <v>1</v>
      </c>
      <c r="O36" s="167"/>
      <c r="P36" s="23"/>
      <c r="Q36" s="23"/>
      <c r="R36"/>
      <c r="W36" s="167">
        <f t="shared" si="5"/>
        <v>182315421.31</v>
      </c>
      <c r="X36">
        <f t="shared" si="6"/>
        <v>2</v>
      </c>
    </row>
    <row r="37" spans="1:24">
      <c r="A37" s="38">
        <v>42185</v>
      </c>
      <c r="B37" s="25">
        <v>167125562.56</v>
      </c>
      <c r="D37" s="5">
        <f>SILVX!C39</f>
        <v>-1.9099999999999999E-2</v>
      </c>
      <c r="E37" s="6">
        <f t="shared" si="2"/>
        <v>-3268884.8945999998</v>
      </c>
      <c r="F37" s="6">
        <f t="shared" si="3"/>
        <v>-751358.54539999366</v>
      </c>
      <c r="G37" s="8">
        <f t="shared" si="4"/>
        <v>-4020243.4399999934</v>
      </c>
      <c r="H37" s="25">
        <v>167125562.56</v>
      </c>
      <c r="I37" s="24">
        <v>1</v>
      </c>
      <c r="J37" s="166">
        <f t="shared" si="7"/>
        <v>42185</v>
      </c>
      <c r="K37" s="2">
        <v>13988417.67</v>
      </c>
      <c r="N37">
        <v>1</v>
      </c>
      <c r="O37" s="167"/>
      <c r="P37" s="23"/>
      <c r="Q37" s="23"/>
      <c r="R37"/>
      <c r="W37" s="167">
        <f t="shared" si="5"/>
        <v>181113980.22999999</v>
      </c>
      <c r="X37">
        <f t="shared" si="6"/>
        <v>2</v>
      </c>
    </row>
    <row r="38" spans="1:24">
      <c r="A38" s="38">
        <v>42216</v>
      </c>
      <c r="B38" s="25">
        <v>180482604.66999999</v>
      </c>
      <c r="D38" s="5">
        <f>SILVX!C40</f>
        <v>4.6300000000000001E-2</v>
      </c>
      <c r="E38" s="6">
        <f t="shared" si="2"/>
        <v>7737913.5465280004</v>
      </c>
      <c r="F38" s="6">
        <f t="shared" si="3"/>
        <v>5619128.5634719729</v>
      </c>
      <c r="G38" s="8">
        <f t="shared" si="4"/>
        <v>13357042.109999973</v>
      </c>
      <c r="H38" s="25">
        <v>180482604.66999999</v>
      </c>
      <c r="I38" s="24">
        <v>1</v>
      </c>
      <c r="J38" s="166">
        <f t="shared" si="7"/>
        <v>42216</v>
      </c>
      <c r="K38" s="2">
        <v>19335117.190000001</v>
      </c>
      <c r="N38">
        <v>1</v>
      </c>
      <c r="O38" s="167"/>
      <c r="P38" s="23"/>
      <c r="Q38" s="23"/>
      <c r="R38"/>
      <c r="W38" s="167">
        <f t="shared" si="5"/>
        <v>199817721.85999998</v>
      </c>
      <c r="X38">
        <f t="shared" si="6"/>
        <v>2</v>
      </c>
    </row>
    <row r="39" spans="1:24">
      <c r="A39" s="38">
        <v>42247</v>
      </c>
      <c r="B39" s="25">
        <v>172070406.5</v>
      </c>
      <c r="D39" s="5">
        <f>SILVX!C41</f>
        <v>-4.7699999999999999E-2</v>
      </c>
      <c r="E39" s="6">
        <f t="shared" si="2"/>
        <v>-8609020.2427589986</v>
      </c>
      <c r="F39" s="6">
        <f t="shared" si="3"/>
        <v>196822.07275900245</v>
      </c>
      <c r="G39" s="8">
        <f t="shared" si="4"/>
        <v>-8412198.1699999962</v>
      </c>
      <c r="H39" s="25">
        <v>172070406.5</v>
      </c>
      <c r="I39" s="24">
        <v>1</v>
      </c>
      <c r="J39" s="166">
        <f t="shared" si="7"/>
        <v>42247</v>
      </c>
      <c r="K39" s="2">
        <v>21373815.760000002</v>
      </c>
      <c r="N39">
        <v>1</v>
      </c>
      <c r="O39" s="167"/>
      <c r="P39" s="23"/>
      <c r="Q39" s="23"/>
      <c r="R39"/>
      <c r="W39" s="167">
        <f t="shared" si="5"/>
        <v>193444222.25999999</v>
      </c>
      <c r="X39">
        <f t="shared" si="6"/>
        <v>2</v>
      </c>
    </row>
    <row r="40" spans="1:24">
      <c r="A40" s="39">
        <v>42277</v>
      </c>
      <c r="B40" s="25">
        <v>174586800.53</v>
      </c>
      <c r="D40" s="5">
        <f>SILVX!C42</f>
        <v>3.5999999999999999E-3</v>
      </c>
      <c r="E40" s="6">
        <f t="shared" si="2"/>
        <v>619453.46340000001</v>
      </c>
      <c r="F40" s="6">
        <f t="shared" ref="F40:F70" si="8">B40-(E40+B39)</f>
        <v>1896940.5665999949</v>
      </c>
      <c r="G40" s="8">
        <f t="shared" si="4"/>
        <v>2516394.0299999947</v>
      </c>
      <c r="H40" s="25">
        <v>174586800.53</v>
      </c>
      <c r="I40" s="24">
        <v>1</v>
      </c>
      <c r="J40" s="166">
        <f t="shared" si="7"/>
        <v>42277</v>
      </c>
      <c r="K40" s="2">
        <v>22430654.32</v>
      </c>
      <c r="N40">
        <v>1</v>
      </c>
      <c r="O40" s="167"/>
      <c r="P40" s="23"/>
      <c r="Q40" s="23"/>
      <c r="R40"/>
      <c r="W40" s="167">
        <f t="shared" si="5"/>
        <v>197017454.84999999</v>
      </c>
      <c r="X40">
        <f t="shared" si="6"/>
        <v>2</v>
      </c>
    </row>
    <row r="41" spans="1:24">
      <c r="A41" s="38">
        <v>42307</v>
      </c>
      <c r="B41" s="25">
        <v>191762776.30000001</v>
      </c>
      <c r="D41" s="5">
        <f>SILVX!C43</f>
        <v>5.7799999999999997E-2</v>
      </c>
      <c r="E41" s="6">
        <f t="shared" si="2"/>
        <v>10091117.070634</v>
      </c>
      <c r="F41" s="6">
        <f t="shared" si="8"/>
        <v>7084858.6993660033</v>
      </c>
      <c r="G41" s="8">
        <f t="shared" si="4"/>
        <v>17175975.770000003</v>
      </c>
      <c r="H41" s="25">
        <v>191762776.30000001</v>
      </c>
      <c r="I41" s="24">
        <v>1</v>
      </c>
      <c r="J41" s="166">
        <f t="shared" si="7"/>
        <v>42307</v>
      </c>
      <c r="K41" s="2">
        <v>24691379.48</v>
      </c>
      <c r="N41">
        <v>1</v>
      </c>
      <c r="O41" s="167"/>
      <c r="P41" s="23"/>
      <c r="Q41" s="23"/>
      <c r="R41"/>
      <c r="W41" s="167">
        <f t="shared" si="5"/>
        <v>216454155.78</v>
      </c>
      <c r="X41">
        <f t="shared" si="6"/>
        <v>2</v>
      </c>
    </row>
    <row r="42" spans="1:24">
      <c r="A42" s="38">
        <v>42338</v>
      </c>
      <c r="B42" s="25">
        <v>192321829.86000001</v>
      </c>
      <c r="D42" s="5">
        <f>SILVX!C44</f>
        <v>-5.4999999999999997E-3</v>
      </c>
      <c r="E42" s="6">
        <f t="shared" si="2"/>
        <v>-1054695.2696499999</v>
      </c>
      <c r="F42" s="6">
        <f t="shared" si="8"/>
        <v>1613748.8296500146</v>
      </c>
      <c r="G42" s="8">
        <f t="shared" si="4"/>
        <v>559053.56000001472</v>
      </c>
      <c r="H42" s="25">
        <v>192321829.86000001</v>
      </c>
      <c r="I42" s="24">
        <v>1</v>
      </c>
      <c r="J42" s="166">
        <f t="shared" si="7"/>
        <v>42338</v>
      </c>
      <c r="K42" s="2">
        <v>25345002.260000002</v>
      </c>
      <c r="N42">
        <v>1</v>
      </c>
      <c r="O42" s="167"/>
      <c r="P42" s="23"/>
      <c r="Q42" s="23"/>
      <c r="R42"/>
      <c r="W42" s="167">
        <f t="shared" si="5"/>
        <v>217666832.12</v>
      </c>
      <c r="X42">
        <f t="shared" si="6"/>
        <v>2</v>
      </c>
    </row>
    <row r="43" spans="1:24">
      <c r="A43" s="38">
        <v>42369</v>
      </c>
      <c r="B43" s="25">
        <v>194107504.15000001</v>
      </c>
      <c r="D43" s="5">
        <f>SILVX!C45</f>
        <v>-2.8E-3</v>
      </c>
      <c r="E43" s="6">
        <f t="shared" si="2"/>
        <v>-538501.12360799999</v>
      </c>
      <c r="F43" s="6">
        <f t="shared" si="8"/>
        <v>2324175.4136079848</v>
      </c>
      <c r="G43" s="8">
        <f t="shared" si="4"/>
        <v>1785674.2899999847</v>
      </c>
      <c r="H43" s="25">
        <v>194107504.15000001</v>
      </c>
      <c r="I43" s="24">
        <v>1</v>
      </c>
      <c r="J43" s="166">
        <f t="shared" si="7"/>
        <v>42369</v>
      </c>
      <c r="K43" s="2">
        <v>25368789.09</v>
      </c>
      <c r="N43">
        <v>1</v>
      </c>
      <c r="O43" s="167"/>
      <c r="P43" s="23"/>
      <c r="Q43" s="23"/>
      <c r="R43"/>
      <c r="W43" s="167">
        <f t="shared" si="5"/>
        <v>219476293.24000001</v>
      </c>
      <c r="X43">
        <f t="shared" si="6"/>
        <v>2</v>
      </c>
    </row>
    <row r="44" spans="1:24">
      <c r="A44" s="38">
        <v>42398</v>
      </c>
      <c r="B44" s="25">
        <v>195923598.46000001</v>
      </c>
      <c r="D44" s="5">
        <f>SILVX!C46</f>
        <v>-2.5100000000000001E-2</v>
      </c>
      <c r="E44" s="6">
        <f t="shared" si="2"/>
        <v>-4872098.3541649999</v>
      </c>
      <c r="F44" s="6">
        <f t="shared" si="8"/>
        <v>6688192.6641649902</v>
      </c>
      <c r="G44" s="8">
        <f t="shared" si="4"/>
        <v>1816094.3099999903</v>
      </c>
      <c r="H44" s="25">
        <v>195923598.46000001</v>
      </c>
      <c r="I44" s="24">
        <v>1</v>
      </c>
      <c r="J44" s="166">
        <f t="shared" si="7"/>
        <v>42398</v>
      </c>
      <c r="K44" s="2">
        <v>29896320.600000001</v>
      </c>
      <c r="N44">
        <v>1</v>
      </c>
      <c r="O44" s="167"/>
      <c r="P44" s="23"/>
      <c r="Q44" s="23"/>
      <c r="R44"/>
      <c r="W44" s="167">
        <f t="shared" si="5"/>
        <v>225819919.06</v>
      </c>
      <c r="X44">
        <f t="shared" si="6"/>
        <v>2</v>
      </c>
    </row>
    <row r="45" spans="1:24">
      <c r="A45" s="38">
        <v>42429</v>
      </c>
      <c r="B45" s="25">
        <v>208818765.25</v>
      </c>
      <c r="D45" s="5">
        <f>SILVX!C47</f>
        <v>1.89E-2</v>
      </c>
      <c r="E45" s="6">
        <f t="shared" si="2"/>
        <v>3702956.0108940001</v>
      </c>
      <c r="F45" s="6">
        <f t="shared" si="8"/>
        <v>9192210.7791059911</v>
      </c>
      <c r="G45" s="8">
        <f t="shared" si="4"/>
        <v>12895166.789999992</v>
      </c>
      <c r="H45" s="25">
        <v>208818765.25</v>
      </c>
      <c r="I45" s="24">
        <v>1</v>
      </c>
      <c r="J45" s="166">
        <f t="shared" si="7"/>
        <v>42429</v>
      </c>
      <c r="K45" s="2">
        <v>34079650.369999997</v>
      </c>
      <c r="N45">
        <v>1</v>
      </c>
      <c r="O45" s="167"/>
      <c r="P45" s="23"/>
      <c r="Q45" s="23"/>
      <c r="R45"/>
      <c r="W45" s="167">
        <f t="shared" si="5"/>
        <v>242898415.62</v>
      </c>
      <c r="X45">
        <f t="shared" si="6"/>
        <v>2</v>
      </c>
    </row>
    <row r="46" spans="1:24">
      <c r="A46" s="38">
        <v>42460</v>
      </c>
      <c r="B46" s="25">
        <v>243145651.66</v>
      </c>
      <c r="D46" s="5">
        <f>SILVX!C48</f>
        <v>6.08E-2</v>
      </c>
      <c r="E46" s="6">
        <f t="shared" ref="E46:E70" si="9">SUM(D46*B45)</f>
        <v>12696180.927200001</v>
      </c>
      <c r="F46" s="6">
        <f t="shared" si="8"/>
        <v>21630705.482800007</v>
      </c>
      <c r="G46" s="8">
        <f t="shared" si="4"/>
        <v>34326886.410000011</v>
      </c>
      <c r="H46" s="25">
        <v>243145651.66</v>
      </c>
      <c r="I46" s="24">
        <v>1</v>
      </c>
      <c r="J46" s="166">
        <f t="shared" si="7"/>
        <v>42460</v>
      </c>
      <c r="K46" s="2">
        <v>43670358.18</v>
      </c>
      <c r="N46">
        <v>1</v>
      </c>
      <c r="O46" s="167"/>
      <c r="P46" s="23"/>
      <c r="Q46" s="23"/>
      <c r="R46"/>
      <c r="W46" s="167">
        <f t="shared" si="5"/>
        <v>286816009.83999997</v>
      </c>
      <c r="X46">
        <f t="shared" si="6"/>
        <v>2</v>
      </c>
    </row>
    <row r="47" spans="1:24">
      <c r="A47" s="38">
        <v>42489</v>
      </c>
      <c r="B47" s="25">
        <v>249121371.15000001</v>
      </c>
      <c r="D47" s="5">
        <f>SILVX!C49</f>
        <v>-1.4E-2</v>
      </c>
      <c r="E47" s="6">
        <f t="shared" si="9"/>
        <v>-3404039.1232400001</v>
      </c>
      <c r="F47" s="6">
        <f t="shared" si="8"/>
        <v>9379758.6132400036</v>
      </c>
      <c r="G47" s="8">
        <f t="shared" si="4"/>
        <v>5975719.4900000039</v>
      </c>
      <c r="H47" s="25">
        <v>249121371.15000001</v>
      </c>
      <c r="I47" s="24">
        <v>1</v>
      </c>
      <c r="J47" s="166">
        <f t="shared" si="7"/>
        <v>42489</v>
      </c>
      <c r="K47" s="14">
        <v>48393143.740000002</v>
      </c>
      <c r="L47" s="14"/>
      <c r="M47" s="14"/>
      <c r="N47">
        <v>1</v>
      </c>
      <c r="O47" s="167"/>
      <c r="P47" s="23"/>
      <c r="Q47" s="23"/>
      <c r="R47"/>
      <c r="W47" s="167">
        <f t="shared" si="5"/>
        <v>297514514.88999999</v>
      </c>
      <c r="X47">
        <f t="shared" si="6"/>
        <v>2</v>
      </c>
    </row>
    <row r="48" spans="1:24">
      <c r="A48" s="38">
        <v>42521</v>
      </c>
      <c r="B48" s="25">
        <v>259697004.65000001</v>
      </c>
      <c r="D48" s="5">
        <f>SILVX!C50</f>
        <v>1.9099999999999999E-2</v>
      </c>
      <c r="E48" s="6">
        <f t="shared" si="9"/>
        <v>4758218.1889650002</v>
      </c>
      <c r="F48" s="6">
        <f t="shared" si="8"/>
        <v>5817415.3110350072</v>
      </c>
      <c r="G48" s="8">
        <f t="shared" si="4"/>
        <v>10575633.500000007</v>
      </c>
      <c r="H48" s="25">
        <v>259697004.65000001</v>
      </c>
      <c r="I48" s="24">
        <v>1</v>
      </c>
      <c r="J48" s="166">
        <f t="shared" si="7"/>
        <v>42521</v>
      </c>
      <c r="K48" s="2">
        <v>51689246.259999998</v>
      </c>
      <c r="N48">
        <v>1</v>
      </c>
      <c r="O48" s="167"/>
      <c r="P48" s="23"/>
      <c r="Q48" s="23"/>
      <c r="R48"/>
      <c r="W48" s="167">
        <f t="shared" si="5"/>
        <v>311386250.91000003</v>
      </c>
      <c r="X48">
        <f t="shared" si="6"/>
        <v>2</v>
      </c>
    </row>
    <row r="49" spans="1:24">
      <c r="A49" s="38">
        <v>42551</v>
      </c>
      <c r="B49" s="25">
        <v>271005010.44</v>
      </c>
      <c r="D49" s="5">
        <f>SILVX!C51</f>
        <v>2.64E-2</v>
      </c>
      <c r="E49" s="6">
        <f t="shared" si="9"/>
        <v>6856000.9227600005</v>
      </c>
      <c r="F49" s="6">
        <f t="shared" si="8"/>
        <v>4452004.8672399819</v>
      </c>
      <c r="G49" s="8">
        <f t="shared" si="4"/>
        <v>11308005.789999982</v>
      </c>
      <c r="H49" s="25">
        <v>271005010.44</v>
      </c>
      <c r="I49" s="24">
        <v>1</v>
      </c>
      <c r="J49" s="166">
        <f t="shared" si="7"/>
        <v>42551</v>
      </c>
      <c r="K49" s="2">
        <v>52142690.409999996</v>
      </c>
      <c r="N49">
        <v>1</v>
      </c>
      <c r="O49" s="167"/>
      <c r="P49" s="23"/>
      <c r="Q49" s="23"/>
      <c r="R49"/>
      <c r="W49" s="167">
        <f t="shared" si="5"/>
        <v>323147700.85000002</v>
      </c>
      <c r="X49">
        <f t="shared" si="6"/>
        <v>2</v>
      </c>
    </row>
    <row r="50" spans="1:24">
      <c r="A50" s="38">
        <v>42582</v>
      </c>
      <c r="B50" s="25">
        <v>287655913.88999999</v>
      </c>
      <c r="D50" s="5">
        <f>SILVX!C52</f>
        <v>1.4200000000000001E-2</v>
      </c>
      <c r="E50" s="6">
        <f t="shared" si="9"/>
        <v>3848271.1482480001</v>
      </c>
      <c r="F50" s="6">
        <f t="shared" si="8"/>
        <v>12802632.301751971</v>
      </c>
      <c r="G50" s="8">
        <f t="shared" si="4"/>
        <v>16650903.449999971</v>
      </c>
      <c r="H50" s="25">
        <v>287655913.88999999</v>
      </c>
      <c r="I50" s="24">
        <v>1</v>
      </c>
      <c r="J50" s="166">
        <f t="shared" si="7"/>
        <v>42582</v>
      </c>
      <c r="K50" s="2">
        <v>57334730.020000003</v>
      </c>
      <c r="N50">
        <v>1</v>
      </c>
      <c r="O50" s="167"/>
      <c r="P50" s="23"/>
      <c r="Q50" s="23"/>
      <c r="R50"/>
      <c r="W50" s="167">
        <f t="shared" si="5"/>
        <v>344990643.90999997</v>
      </c>
      <c r="X50">
        <f t="shared" si="6"/>
        <v>2</v>
      </c>
    </row>
    <row r="51" spans="1:24">
      <c r="A51" s="38">
        <v>42613</v>
      </c>
      <c r="B51" s="25">
        <v>290963163.31999999</v>
      </c>
      <c r="D51" s="5">
        <f>SILVX!C53</f>
        <v>-1.7999999999999999E-2</v>
      </c>
      <c r="E51" s="6">
        <f t="shared" si="9"/>
        <v>-5177806.4500199994</v>
      </c>
      <c r="F51" s="6">
        <f t="shared" si="8"/>
        <v>8485055.8800200224</v>
      </c>
      <c r="G51" s="8">
        <f t="shared" si="4"/>
        <v>3307249.430000023</v>
      </c>
      <c r="H51" s="25">
        <v>290963163.31999999</v>
      </c>
      <c r="I51" s="24">
        <v>1</v>
      </c>
      <c r="J51" s="166">
        <f t="shared" si="7"/>
        <v>42613</v>
      </c>
      <c r="K51" s="2">
        <v>59164457.799999997</v>
      </c>
      <c r="N51">
        <v>1</v>
      </c>
      <c r="O51" s="167"/>
      <c r="P51" s="23"/>
      <c r="Q51" s="23"/>
      <c r="R51"/>
      <c r="W51" s="167">
        <f t="shared" si="5"/>
        <v>350127621.12</v>
      </c>
      <c r="X51">
        <f t="shared" si="6"/>
        <v>2</v>
      </c>
    </row>
    <row r="52" spans="1:24">
      <c r="A52" s="38">
        <v>42643</v>
      </c>
      <c r="B52" s="25">
        <v>289895763.04000002</v>
      </c>
      <c r="D52" s="5">
        <f>SILVX!C54</f>
        <v>-1.3599999999999999E-2</v>
      </c>
      <c r="E52" s="6">
        <f t="shared" si="9"/>
        <v>-3957099.0211519995</v>
      </c>
      <c r="F52" s="6">
        <f t="shared" si="8"/>
        <v>2889698.7411520481</v>
      </c>
      <c r="G52" s="8">
        <f t="shared" si="4"/>
        <v>-1067400.2799999514</v>
      </c>
      <c r="H52" s="25">
        <v>289895763.04000002</v>
      </c>
      <c r="I52" s="24">
        <v>1</v>
      </c>
      <c r="J52" s="166">
        <f t="shared" si="7"/>
        <v>42643</v>
      </c>
      <c r="K52" s="2">
        <v>60727389.759999998</v>
      </c>
      <c r="N52">
        <v>1</v>
      </c>
      <c r="O52" s="167"/>
      <c r="P52" s="23"/>
      <c r="Q52" s="23"/>
      <c r="R52"/>
      <c r="W52" s="167">
        <f t="shared" si="5"/>
        <v>350623152.80000001</v>
      </c>
      <c r="X52">
        <f t="shared" si="6"/>
        <v>2</v>
      </c>
    </row>
    <row r="53" spans="1:24">
      <c r="A53" s="38">
        <v>42674</v>
      </c>
      <c r="B53" s="25">
        <v>279048854.76999998</v>
      </c>
      <c r="D53" s="5">
        <f>SILVX!C55</f>
        <v>-2.2800000000000001E-2</v>
      </c>
      <c r="E53" s="6">
        <f t="shared" si="9"/>
        <v>-6609623.3973120004</v>
      </c>
      <c r="F53" s="6">
        <f t="shared" si="8"/>
        <v>-4237284.872688055</v>
      </c>
      <c r="G53" s="8">
        <f t="shared" si="4"/>
        <v>-10846908.270000055</v>
      </c>
      <c r="H53" s="25">
        <v>279048854.76999998</v>
      </c>
      <c r="I53" s="24">
        <v>1</v>
      </c>
      <c r="J53" s="166">
        <f t="shared" si="7"/>
        <v>42674</v>
      </c>
      <c r="K53" s="2">
        <v>60749911.119999997</v>
      </c>
      <c r="N53">
        <v>1</v>
      </c>
      <c r="O53" s="167"/>
      <c r="P53" s="23"/>
      <c r="Q53" s="23"/>
      <c r="R53"/>
      <c r="W53" s="167">
        <f t="shared" si="5"/>
        <v>339798765.88999999</v>
      </c>
      <c r="X53">
        <f t="shared" si="6"/>
        <v>2</v>
      </c>
    </row>
    <row r="54" spans="1:24">
      <c r="A54" s="38">
        <v>42704</v>
      </c>
      <c r="B54" s="25">
        <v>287983401.75</v>
      </c>
      <c r="D54" s="5">
        <f>SILVX!C56</f>
        <v>2.8199999999999999E-2</v>
      </c>
      <c r="E54" s="6">
        <f t="shared" si="9"/>
        <v>7869177.7045139996</v>
      </c>
      <c r="F54" s="6">
        <f t="shared" si="8"/>
        <v>1065369.2754859924</v>
      </c>
      <c r="G54" s="8">
        <f t="shared" si="4"/>
        <v>8934546.979999993</v>
      </c>
      <c r="H54" s="25">
        <v>287983401.75</v>
      </c>
      <c r="I54" s="24">
        <v>1</v>
      </c>
      <c r="J54" s="166">
        <f t="shared" si="7"/>
        <v>42704</v>
      </c>
      <c r="K54" s="2">
        <v>58498323.359999999</v>
      </c>
      <c r="N54">
        <v>1</v>
      </c>
      <c r="O54" s="167"/>
      <c r="P54" s="23"/>
      <c r="Q54" s="23"/>
      <c r="R54"/>
      <c r="W54" s="167">
        <f t="shared" si="5"/>
        <v>346481725.11000001</v>
      </c>
      <c r="X54">
        <f t="shared" si="6"/>
        <v>2</v>
      </c>
    </row>
    <row r="55" spans="1:24">
      <c r="A55" s="38">
        <v>42735</v>
      </c>
      <c r="B55" s="25">
        <v>295202963.56999999</v>
      </c>
      <c r="D55" s="5">
        <f>SILVX!C57</f>
        <v>1.44E-2</v>
      </c>
      <c r="E55" s="6">
        <f t="shared" si="9"/>
        <v>4146960.9852</v>
      </c>
      <c r="F55" s="6">
        <f t="shared" si="8"/>
        <v>3072600.834800005</v>
      </c>
      <c r="G55" s="8">
        <f t="shared" si="4"/>
        <v>7219561.820000005</v>
      </c>
      <c r="H55" s="25">
        <v>295202963.56999999</v>
      </c>
      <c r="I55" s="24">
        <v>1</v>
      </c>
      <c r="J55" s="166">
        <f t="shared" si="7"/>
        <v>42735</v>
      </c>
      <c r="K55" s="2">
        <v>59488068.780000001</v>
      </c>
      <c r="N55">
        <v>1</v>
      </c>
      <c r="O55" s="167"/>
      <c r="P55" s="23"/>
      <c r="Q55" s="23"/>
      <c r="R55"/>
      <c r="W55" s="167">
        <f t="shared" si="5"/>
        <v>354691032.35000002</v>
      </c>
      <c r="X55">
        <f t="shared" si="6"/>
        <v>2</v>
      </c>
    </row>
    <row r="56" spans="1:24">
      <c r="A56" s="38">
        <v>42766</v>
      </c>
      <c r="B56" s="25">
        <v>290925967.30000001</v>
      </c>
      <c r="D56" s="5">
        <f>SILVX!C58</f>
        <v>1.4E-3</v>
      </c>
      <c r="E56" s="6">
        <f t="shared" si="9"/>
        <v>413284.14899799996</v>
      </c>
      <c r="F56" s="6">
        <f t="shared" si="8"/>
        <v>-4690280.418998003</v>
      </c>
      <c r="G56" s="8">
        <f t="shared" si="4"/>
        <v>-4276996.2700000033</v>
      </c>
      <c r="H56" s="25">
        <v>290925967.30000001</v>
      </c>
      <c r="I56" s="24">
        <v>1</v>
      </c>
      <c r="J56" s="166">
        <f t="shared" si="7"/>
        <v>42766</v>
      </c>
      <c r="K56" s="2">
        <v>57479948.560000002</v>
      </c>
      <c r="N56">
        <v>1</v>
      </c>
      <c r="O56" s="167"/>
      <c r="P56" s="23"/>
      <c r="Q56" s="23"/>
      <c r="R56"/>
      <c r="W56" s="167">
        <f t="shared" si="5"/>
        <v>348405915.86000001</v>
      </c>
      <c r="X56">
        <f t="shared" si="6"/>
        <v>2</v>
      </c>
    </row>
    <row r="57" spans="1:24">
      <c r="A57" s="38">
        <v>42794</v>
      </c>
      <c r="B57" s="25">
        <v>303590294.55000001</v>
      </c>
      <c r="D57" s="5">
        <f>SILVX!C59</f>
        <v>3.8100000000000002E-2</v>
      </c>
      <c r="E57" s="6">
        <f t="shared" si="9"/>
        <v>11084279.354130002</v>
      </c>
      <c r="F57" s="6">
        <f t="shared" si="8"/>
        <v>1580047.8958699703</v>
      </c>
      <c r="G57" s="8">
        <f t="shared" si="4"/>
        <v>12664327.249999972</v>
      </c>
      <c r="H57" s="25">
        <v>303590294.55000001</v>
      </c>
      <c r="I57" s="24">
        <v>1</v>
      </c>
      <c r="J57" s="166">
        <f t="shared" si="7"/>
        <v>42794</v>
      </c>
      <c r="K57" s="2">
        <v>57422030.170000002</v>
      </c>
      <c r="N57">
        <v>1</v>
      </c>
      <c r="O57" s="167"/>
      <c r="P57" s="23"/>
      <c r="Q57" s="23"/>
      <c r="R57"/>
      <c r="W57" s="167">
        <f t="shared" si="5"/>
        <v>361012324.72000003</v>
      </c>
      <c r="X57">
        <f t="shared" si="6"/>
        <v>2</v>
      </c>
    </row>
    <row r="58" spans="1:24">
      <c r="A58" s="38">
        <v>42825</v>
      </c>
      <c r="B58" s="25">
        <v>303762655.02999997</v>
      </c>
      <c r="D58" s="5">
        <f>SILVX!C60</f>
        <v>-4.7000000000000002E-3</v>
      </c>
      <c r="E58" s="6">
        <f t="shared" si="9"/>
        <v>-1426874.3843850002</v>
      </c>
      <c r="F58" s="6">
        <f t="shared" si="8"/>
        <v>1599234.8643849492</v>
      </c>
      <c r="G58" s="8">
        <f t="shared" si="4"/>
        <v>172360.47999994899</v>
      </c>
      <c r="H58" s="25">
        <v>303762655.02999997</v>
      </c>
      <c r="I58" s="24">
        <v>1</v>
      </c>
      <c r="J58" s="166">
        <f t="shared" si="7"/>
        <v>42825</v>
      </c>
      <c r="K58" s="2">
        <v>56602774.219999999</v>
      </c>
      <c r="N58">
        <v>1</v>
      </c>
      <c r="O58" s="167"/>
      <c r="P58" s="23"/>
      <c r="Q58" s="23"/>
      <c r="R58"/>
      <c r="W58" s="167">
        <f t="shared" si="5"/>
        <v>360365429.25</v>
      </c>
      <c r="X58">
        <f t="shared" si="6"/>
        <v>2</v>
      </c>
    </row>
    <row r="59" spans="1:24">
      <c r="A59" s="38">
        <v>42855</v>
      </c>
      <c r="B59" s="25">
        <v>303574268.91000003</v>
      </c>
      <c r="D59" s="5">
        <f>SILVX!C61</f>
        <v>6.7000000000000002E-3</v>
      </c>
      <c r="E59" s="6">
        <f t="shared" si="9"/>
        <v>2035209.7887009999</v>
      </c>
      <c r="F59" s="6">
        <f t="shared" si="8"/>
        <v>-2223595.908700943</v>
      </c>
      <c r="G59" s="8">
        <f t="shared" si="4"/>
        <v>-188386.11999994307</v>
      </c>
      <c r="H59" s="25">
        <v>303574268.91000003</v>
      </c>
      <c r="I59" s="24">
        <v>1</v>
      </c>
      <c r="J59" s="166">
        <f t="shared" si="7"/>
        <v>42855</v>
      </c>
      <c r="K59" s="2">
        <v>57351263.020000003</v>
      </c>
      <c r="N59">
        <v>1</v>
      </c>
      <c r="O59" s="167"/>
      <c r="P59" s="23"/>
      <c r="Q59" s="23"/>
      <c r="R59"/>
      <c r="W59" s="167">
        <f t="shared" si="5"/>
        <v>360925531.93000001</v>
      </c>
      <c r="X59">
        <f t="shared" si="6"/>
        <v>2</v>
      </c>
    </row>
    <row r="60" spans="1:24">
      <c r="A60" s="38">
        <v>42886</v>
      </c>
      <c r="B60" s="25">
        <v>304464642.13999999</v>
      </c>
      <c r="D60" s="5">
        <f>SILVX!C62</f>
        <v>1.3299999999999999E-2</v>
      </c>
      <c r="E60" s="6">
        <f t="shared" si="9"/>
        <v>4037537.7765029999</v>
      </c>
      <c r="F60" s="6">
        <f t="shared" si="8"/>
        <v>-3147164.546503067</v>
      </c>
      <c r="G60" s="8">
        <f t="shared" si="4"/>
        <v>890373.22999993293</v>
      </c>
      <c r="H60" s="25">
        <v>304464642.13999999</v>
      </c>
      <c r="I60" s="24">
        <v>1</v>
      </c>
      <c r="J60" s="166">
        <f t="shared" si="7"/>
        <v>42886</v>
      </c>
      <c r="K60" s="2">
        <v>56504214.390000001</v>
      </c>
      <c r="N60">
        <v>1</v>
      </c>
      <c r="O60" s="167"/>
      <c r="P60" s="23"/>
      <c r="Q60" s="23"/>
      <c r="R60"/>
      <c r="W60" s="167">
        <f t="shared" si="5"/>
        <v>360968856.52999997</v>
      </c>
      <c r="X60">
        <f t="shared" si="6"/>
        <v>2</v>
      </c>
    </row>
    <row r="61" spans="1:24">
      <c r="A61" s="38">
        <v>42916</v>
      </c>
      <c r="B61" s="25">
        <v>303495717.49000001</v>
      </c>
      <c r="D61" s="5">
        <f>SILVX!C63</f>
        <v>6.9999999999999999E-4</v>
      </c>
      <c r="E61" s="6">
        <f t="shared" si="9"/>
        <v>213125.24949799999</v>
      </c>
      <c r="F61" s="6">
        <f t="shared" si="8"/>
        <v>-1182049.8994979858</v>
      </c>
      <c r="G61" s="8">
        <f t="shared" si="4"/>
        <v>-968924.64999998582</v>
      </c>
      <c r="H61" s="25">
        <v>303495717.49000001</v>
      </c>
      <c r="I61" s="24">
        <v>1</v>
      </c>
      <c r="J61" s="166">
        <f t="shared" si="7"/>
        <v>42916</v>
      </c>
      <c r="K61" s="2">
        <v>55463827.039999999</v>
      </c>
      <c r="N61">
        <v>1</v>
      </c>
      <c r="O61" s="167"/>
      <c r="P61" s="23"/>
      <c r="Q61" s="23"/>
      <c r="R61"/>
      <c r="W61" s="167">
        <f t="shared" si="5"/>
        <v>358959544.53000003</v>
      </c>
      <c r="X61">
        <f t="shared" si="6"/>
        <v>2</v>
      </c>
    </row>
    <row r="62" spans="1:24">
      <c r="A62" s="38">
        <v>42947</v>
      </c>
      <c r="B62" s="25">
        <v>304780931.77999997</v>
      </c>
      <c r="D62" s="5">
        <f>SILVX!C64</f>
        <v>1.4500000000000001E-2</v>
      </c>
      <c r="E62" s="6">
        <f t="shared" si="9"/>
        <v>4400687.9036050001</v>
      </c>
      <c r="F62" s="6">
        <f t="shared" si="8"/>
        <v>-3115473.6136050224</v>
      </c>
      <c r="G62" s="8">
        <f t="shared" si="4"/>
        <v>1285214.2899999777</v>
      </c>
      <c r="H62" s="25">
        <v>304780931.77999997</v>
      </c>
      <c r="I62" s="24">
        <v>1</v>
      </c>
      <c r="J62" s="166">
        <f t="shared" si="7"/>
        <v>42947</v>
      </c>
      <c r="K62" s="2">
        <v>54848077.659999996</v>
      </c>
      <c r="N62">
        <v>1</v>
      </c>
      <c r="O62" s="167"/>
      <c r="P62" s="23"/>
      <c r="Q62" s="23"/>
      <c r="R62"/>
      <c r="W62" s="167">
        <f t="shared" si="5"/>
        <v>359629009.43999994</v>
      </c>
      <c r="X62">
        <f t="shared" si="6"/>
        <v>2</v>
      </c>
    </row>
    <row r="63" spans="1:24">
      <c r="A63" s="38">
        <v>42978</v>
      </c>
      <c r="B63" s="25">
        <v>301849568.07999998</v>
      </c>
      <c r="D63" s="5">
        <f>SILVX!C65</f>
        <v>0</v>
      </c>
      <c r="E63" s="6">
        <f t="shared" si="9"/>
        <v>0</v>
      </c>
      <c r="F63" s="6">
        <f t="shared" si="8"/>
        <v>-2931363.6999999881</v>
      </c>
      <c r="G63" s="8">
        <f t="shared" si="4"/>
        <v>-2931363.6999999881</v>
      </c>
      <c r="H63" s="25">
        <v>301849568.07999998</v>
      </c>
      <c r="I63" s="24">
        <v>1</v>
      </c>
      <c r="J63" s="166">
        <f t="shared" si="7"/>
        <v>42978</v>
      </c>
      <c r="K63" s="2">
        <v>54499085.710000001</v>
      </c>
      <c r="N63">
        <v>1</v>
      </c>
      <c r="O63" s="167"/>
      <c r="P63" s="23"/>
      <c r="Q63" s="23"/>
      <c r="R63"/>
      <c r="W63" s="167">
        <f t="shared" si="5"/>
        <v>356348653.78999996</v>
      </c>
      <c r="X63">
        <f t="shared" si="6"/>
        <v>2</v>
      </c>
    </row>
    <row r="64" spans="1:24">
      <c r="A64" s="38">
        <v>43008</v>
      </c>
      <c r="B64" s="25">
        <v>302284988.42000002</v>
      </c>
      <c r="D64" s="5">
        <f>SILVX!C66</f>
        <v>1.2999999999999999E-2</v>
      </c>
      <c r="E64" s="6">
        <f t="shared" si="9"/>
        <v>3924044.3850399996</v>
      </c>
      <c r="F64" s="6">
        <f t="shared" si="8"/>
        <v>-3488624.0450399518</v>
      </c>
      <c r="G64" s="8">
        <f t="shared" si="4"/>
        <v>435420.34000004781</v>
      </c>
      <c r="H64" s="25">
        <v>302284988.42000002</v>
      </c>
      <c r="I64" s="24">
        <v>1</v>
      </c>
      <c r="J64" s="166">
        <f t="shared" si="7"/>
        <v>43008</v>
      </c>
      <c r="K64" s="2">
        <v>54678615.289999999</v>
      </c>
      <c r="N64">
        <v>1</v>
      </c>
      <c r="O64" s="167"/>
      <c r="P64" s="23"/>
      <c r="Q64" s="23"/>
      <c r="R64"/>
      <c r="S64" s="2">
        <v>316686.46999999997</v>
      </c>
      <c r="W64" s="161">
        <f t="shared" ref="W64:W95" si="10">K64+B64+O64+S64+T64+U64+V64</f>
        <v>357280290.18000007</v>
      </c>
      <c r="X64">
        <f t="shared" si="6"/>
        <v>2</v>
      </c>
    </row>
    <row r="65" spans="1:24">
      <c r="A65" s="38">
        <v>43039</v>
      </c>
      <c r="B65" s="25">
        <v>304403118.43000001</v>
      </c>
      <c r="D65" s="5">
        <f>SILVX!C67</f>
        <v>7.0000000000000001E-3</v>
      </c>
      <c r="E65" s="6">
        <f t="shared" si="9"/>
        <v>2115994.9189400002</v>
      </c>
      <c r="F65" s="6">
        <f t="shared" si="8"/>
        <v>2135.0910599827766</v>
      </c>
      <c r="G65" s="8">
        <f t="shared" si="4"/>
        <v>2118130.009999983</v>
      </c>
      <c r="H65" s="25">
        <v>304403118.43000001</v>
      </c>
      <c r="I65" s="24">
        <v>1</v>
      </c>
      <c r="J65" s="166">
        <f t="shared" si="7"/>
        <v>43039</v>
      </c>
      <c r="K65" s="2">
        <v>53079797.57</v>
      </c>
      <c r="N65">
        <v>1</v>
      </c>
      <c r="O65" s="167"/>
      <c r="P65" s="23"/>
      <c r="Q65" s="23"/>
      <c r="R65"/>
      <c r="S65" s="2">
        <v>2614026.09</v>
      </c>
      <c r="W65" s="161">
        <f t="shared" si="10"/>
        <v>360096942.08999997</v>
      </c>
      <c r="X65">
        <f t="shared" si="6"/>
        <v>2</v>
      </c>
    </row>
    <row r="66" spans="1:24">
      <c r="A66" s="38">
        <v>43069</v>
      </c>
      <c r="B66" s="25">
        <v>316336240.10000002</v>
      </c>
      <c r="D66" s="5">
        <f>SILVX!C68</f>
        <v>4.9599999999999998E-2</v>
      </c>
      <c r="E66" s="6">
        <f t="shared" si="9"/>
        <v>15098394.674128</v>
      </c>
      <c r="F66" s="6">
        <f t="shared" si="8"/>
        <v>-3165273.0041279793</v>
      </c>
      <c r="G66" s="8">
        <f t="shared" si="4"/>
        <v>11933121.67000002</v>
      </c>
      <c r="H66" s="25">
        <v>316336240.10000002</v>
      </c>
      <c r="I66" s="24">
        <v>1</v>
      </c>
      <c r="J66" s="166">
        <f t="shared" si="7"/>
        <v>43069</v>
      </c>
      <c r="K66" s="2">
        <v>53785302.5</v>
      </c>
      <c r="N66">
        <v>1</v>
      </c>
      <c r="O66" s="167"/>
      <c r="P66" s="23"/>
      <c r="Q66" s="23"/>
      <c r="R66"/>
      <c r="S66" s="2">
        <v>3811461.64</v>
      </c>
      <c r="W66" s="161">
        <f t="shared" si="10"/>
        <v>373933004.24000001</v>
      </c>
      <c r="X66">
        <f t="shared" ref="X66:X97" si="11">I66+N66</f>
        <v>2</v>
      </c>
    </row>
    <row r="67" spans="1:24">
      <c r="A67" s="38">
        <v>43100</v>
      </c>
      <c r="B67" s="25">
        <v>317180283.44999999</v>
      </c>
      <c r="D67" s="5">
        <f>SILVX!C69</f>
        <v>1.47E-2</v>
      </c>
      <c r="E67" s="6">
        <f t="shared" si="9"/>
        <v>4650142.7294700006</v>
      </c>
      <c r="F67" s="6">
        <f t="shared" si="8"/>
        <v>-3806099.3794700503</v>
      </c>
      <c r="G67" s="8">
        <f t="shared" ref="G67:G106" si="12">E67+F67</f>
        <v>844043.34999995027</v>
      </c>
      <c r="H67" s="25">
        <v>317180283.44999999</v>
      </c>
      <c r="I67" s="24">
        <v>1</v>
      </c>
      <c r="J67" s="166">
        <f t="shared" si="7"/>
        <v>43100</v>
      </c>
      <c r="K67" s="2">
        <v>53252110.670000002</v>
      </c>
      <c r="N67">
        <v>1</v>
      </c>
      <c r="O67" s="167"/>
      <c r="P67" s="23"/>
      <c r="Q67" s="23"/>
      <c r="R67"/>
      <c r="S67" s="2">
        <v>4496675.47</v>
      </c>
      <c r="W67" s="161">
        <f t="shared" si="10"/>
        <v>374929069.59000003</v>
      </c>
      <c r="X67">
        <f t="shared" si="11"/>
        <v>2</v>
      </c>
    </row>
    <row r="68" spans="1:24">
      <c r="A68" s="38">
        <v>43131</v>
      </c>
      <c r="B68" s="25">
        <v>326571406.68000001</v>
      </c>
      <c r="D68" s="5">
        <f>SILVX!C70</f>
        <v>4.87E-2</v>
      </c>
      <c r="E68" s="6">
        <f t="shared" si="9"/>
        <v>15446679.804014999</v>
      </c>
      <c r="F68" s="6">
        <f t="shared" si="8"/>
        <v>-6055556.5740149617</v>
      </c>
      <c r="G68" s="8">
        <f t="shared" si="12"/>
        <v>9391123.2300000377</v>
      </c>
      <c r="H68" s="25">
        <v>326571406.68000001</v>
      </c>
      <c r="I68" s="24">
        <v>1</v>
      </c>
      <c r="J68" s="166">
        <f t="shared" si="7"/>
        <v>43131</v>
      </c>
      <c r="K68" s="2">
        <v>53788678.210000001</v>
      </c>
      <c r="N68">
        <v>1</v>
      </c>
      <c r="O68" s="167"/>
      <c r="P68" s="23"/>
      <c r="Q68" s="23"/>
      <c r="R68"/>
      <c r="S68" s="2">
        <v>5046367.93</v>
      </c>
      <c r="W68" s="161">
        <f t="shared" si="10"/>
        <v>385406452.81999999</v>
      </c>
      <c r="X68">
        <f t="shared" si="11"/>
        <v>2</v>
      </c>
    </row>
    <row r="69" spans="1:24">
      <c r="A69" s="38">
        <v>43159</v>
      </c>
      <c r="B69" s="25">
        <v>312502594.93000001</v>
      </c>
      <c r="D69" s="5">
        <f>SILVX!C71</f>
        <v>-2.9900000000000003E-2</v>
      </c>
      <c r="E69" s="6">
        <f t="shared" si="9"/>
        <v>-9764485.0597320013</v>
      </c>
      <c r="F69" s="6">
        <f t="shared" si="8"/>
        <v>-4304326.6902679801</v>
      </c>
      <c r="G69" s="8">
        <f t="shared" si="12"/>
        <v>-14068811.749999981</v>
      </c>
      <c r="H69" s="25">
        <v>312502594.93000001</v>
      </c>
      <c r="I69" s="24">
        <v>1</v>
      </c>
      <c r="J69" s="166">
        <f t="shared" si="7"/>
        <v>43159</v>
      </c>
      <c r="K69" s="2">
        <v>52305822.399999999</v>
      </c>
      <c r="N69">
        <v>1</v>
      </c>
      <c r="O69" s="167"/>
      <c r="P69" s="23"/>
      <c r="Q69" s="23"/>
      <c r="R69"/>
      <c r="S69" s="2">
        <v>5172302.8600000003</v>
      </c>
      <c r="W69" s="161">
        <f t="shared" si="10"/>
        <v>369980720.19</v>
      </c>
      <c r="X69">
        <f t="shared" si="11"/>
        <v>2</v>
      </c>
    </row>
    <row r="70" spans="1:24">
      <c r="A70" s="38">
        <v>43190</v>
      </c>
      <c r="B70" s="25">
        <v>295460170.17999995</v>
      </c>
      <c r="C70" s="25">
        <v>30466682.649999999</v>
      </c>
      <c r="D70" s="5">
        <f>SILVX!C72</f>
        <v>-8.8000000000000005E-3</v>
      </c>
      <c r="E70" s="6">
        <f t="shared" si="9"/>
        <v>-2750022.8353840001</v>
      </c>
      <c r="F70" s="6">
        <f t="shared" si="8"/>
        <v>-14292401.914616048</v>
      </c>
      <c r="G70" s="8">
        <f t="shared" si="12"/>
        <v>-17042424.750000048</v>
      </c>
      <c r="H70" s="25">
        <f t="shared" ref="H70:H109" si="13">B70-C70</f>
        <v>264993487.52999994</v>
      </c>
      <c r="I70" s="24">
        <v>1</v>
      </c>
      <c r="J70" s="166">
        <f t="shared" si="7"/>
        <v>43190</v>
      </c>
      <c r="K70" s="2">
        <v>49805942.540000007</v>
      </c>
      <c r="N70">
        <v>1</v>
      </c>
      <c r="O70" s="167"/>
      <c r="P70" s="23"/>
      <c r="Q70" s="23"/>
      <c r="R70"/>
      <c r="S70" s="2">
        <v>5552055.8700000001</v>
      </c>
      <c r="W70" s="161">
        <f t="shared" si="10"/>
        <v>350818168.58999997</v>
      </c>
      <c r="X70">
        <f t="shared" si="11"/>
        <v>2</v>
      </c>
    </row>
    <row r="71" spans="1:24">
      <c r="A71" s="38">
        <v>43220</v>
      </c>
      <c r="B71" s="25">
        <v>296105055.19999999</v>
      </c>
      <c r="C71" s="25">
        <v>135831252.38</v>
      </c>
      <c r="D71" s="5">
        <f>SILVX!C73</f>
        <v>1.3299999999999999E-2</v>
      </c>
      <c r="E71" s="6">
        <f t="shared" ref="E71:E106" si="14">SUM(D71*B70)</f>
        <v>3929620.2633939991</v>
      </c>
      <c r="F71" s="6">
        <f t="shared" ref="F71:F106" si="15">B71-(E71+B70)</f>
        <v>-3284735.2433939576</v>
      </c>
      <c r="G71" s="8">
        <f t="shared" si="12"/>
        <v>644885.02000004146</v>
      </c>
      <c r="H71" s="25">
        <f t="shared" si="13"/>
        <v>160273802.81999999</v>
      </c>
      <c r="I71" s="24">
        <v>1</v>
      </c>
      <c r="J71" s="166">
        <f t="shared" si="7"/>
        <v>43220</v>
      </c>
      <c r="K71" s="2">
        <v>50335439.93999999</v>
      </c>
      <c r="N71">
        <v>1</v>
      </c>
      <c r="O71" s="167"/>
      <c r="P71" s="23"/>
      <c r="Q71" s="23"/>
      <c r="R71"/>
      <c r="S71" s="2">
        <v>6179103.5800000001</v>
      </c>
      <c r="W71" s="161">
        <f t="shared" si="10"/>
        <v>352619598.71999997</v>
      </c>
      <c r="X71">
        <f t="shared" si="11"/>
        <v>2</v>
      </c>
    </row>
    <row r="72" spans="1:24">
      <c r="A72" s="38">
        <v>43251</v>
      </c>
      <c r="B72" s="25">
        <v>298487363.19</v>
      </c>
      <c r="C72" s="25">
        <v>274436439</v>
      </c>
      <c r="D72" s="5">
        <f>SILVX!C74</f>
        <v>2.2599999999999999E-2</v>
      </c>
      <c r="E72" s="6">
        <f t="shared" si="14"/>
        <v>6691974.2475199997</v>
      </c>
      <c r="F72" s="6">
        <f t="shared" si="15"/>
        <v>-4309666.25752002</v>
      </c>
      <c r="G72" s="8">
        <f t="shared" si="12"/>
        <v>2382307.9899999797</v>
      </c>
      <c r="H72" s="25">
        <f t="shared" si="13"/>
        <v>24050924.189999998</v>
      </c>
      <c r="I72" s="24">
        <v>1</v>
      </c>
      <c r="J72" s="166">
        <f t="shared" si="7"/>
        <v>43251</v>
      </c>
      <c r="K72" s="2">
        <v>50674106.38000001</v>
      </c>
      <c r="N72">
        <v>1</v>
      </c>
      <c r="O72" s="167"/>
      <c r="P72" s="23"/>
      <c r="Q72" s="23"/>
      <c r="R72"/>
      <c r="S72" s="2">
        <v>7900081.0899999999</v>
      </c>
      <c r="W72" s="161">
        <f t="shared" si="10"/>
        <v>357061550.65999997</v>
      </c>
      <c r="X72">
        <f t="shared" si="11"/>
        <v>2</v>
      </c>
    </row>
    <row r="73" spans="1:24">
      <c r="A73" s="38">
        <v>43281</v>
      </c>
      <c r="B73" s="25">
        <v>303945591.10999995</v>
      </c>
      <c r="C73" s="25">
        <v>279416491.27999997</v>
      </c>
      <c r="D73" s="5">
        <f>SILVX!C75</f>
        <v>1.9E-2</v>
      </c>
      <c r="E73" s="6">
        <f t="shared" si="14"/>
        <v>5671259.9006099999</v>
      </c>
      <c r="F73" s="6">
        <f t="shared" si="15"/>
        <v>-213031.98061007261</v>
      </c>
      <c r="G73" s="8">
        <f t="shared" si="12"/>
        <v>5458227.9199999273</v>
      </c>
      <c r="H73" s="25">
        <f t="shared" si="13"/>
        <v>24529099.829999983</v>
      </c>
      <c r="I73" s="24">
        <v>1</v>
      </c>
      <c r="J73" s="166">
        <f t="shared" si="7"/>
        <v>43281</v>
      </c>
      <c r="K73" s="2">
        <v>50497917.870000005</v>
      </c>
      <c r="N73">
        <v>1</v>
      </c>
      <c r="O73" s="167"/>
      <c r="P73" s="23"/>
      <c r="Q73" s="23"/>
      <c r="R73"/>
      <c r="S73" s="2">
        <v>8694651.4500000011</v>
      </c>
      <c r="W73" s="161">
        <f t="shared" si="10"/>
        <v>363138160.42999995</v>
      </c>
      <c r="X73">
        <f t="shared" si="11"/>
        <v>2</v>
      </c>
    </row>
    <row r="74" spans="1:24">
      <c r="A74" s="38">
        <v>43312</v>
      </c>
      <c r="B74" s="25">
        <v>314968176.90999997</v>
      </c>
      <c r="C74" s="25">
        <v>289939266.55000001</v>
      </c>
      <c r="D74" s="5">
        <f>SILVX!C76</f>
        <v>3.61E-2</v>
      </c>
      <c r="E74" s="6">
        <f t="shared" si="14"/>
        <v>10972435.839070998</v>
      </c>
      <c r="F74" s="6">
        <f t="shared" si="15"/>
        <v>50149.96092903614</v>
      </c>
      <c r="G74" s="8">
        <f t="shared" si="12"/>
        <v>11022585.800000034</v>
      </c>
      <c r="H74" s="25">
        <f t="shared" si="13"/>
        <v>25028910.359999955</v>
      </c>
      <c r="I74" s="24">
        <v>1</v>
      </c>
      <c r="J74" s="166">
        <f t="shared" si="7"/>
        <v>43312</v>
      </c>
      <c r="K74" s="2">
        <v>50566902.030000001</v>
      </c>
      <c r="N74">
        <v>1</v>
      </c>
      <c r="O74" s="167"/>
      <c r="P74" s="23"/>
      <c r="Q74" s="23"/>
      <c r="R74"/>
      <c r="S74" s="2">
        <v>10336838.17</v>
      </c>
      <c r="W74" s="161">
        <f t="shared" si="10"/>
        <v>375871917.10999995</v>
      </c>
      <c r="X74">
        <f t="shared" si="11"/>
        <v>2</v>
      </c>
    </row>
    <row r="75" spans="1:24">
      <c r="A75" s="38">
        <v>43343</v>
      </c>
      <c r="B75" s="25">
        <v>334246236.05000001</v>
      </c>
      <c r="C75" s="25">
        <v>308338040.36000001</v>
      </c>
      <c r="D75" s="5">
        <f>SILVX!C77</f>
        <v>4.2900000000000001E-2</v>
      </c>
      <c r="E75" s="6">
        <f t="shared" si="14"/>
        <v>13512134.789438998</v>
      </c>
      <c r="F75" s="6">
        <f t="shared" si="15"/>
        <v>5765924.3505610228</v>
      </c>
      <c r="G75" s="8">
        <f t="shared" si="12"/>
        <v>19278059.140000023</v>
      </c>
      <c r="H75" s="25">
        <f t="shared" si="13"/>
        <v>25908195.689999998</v>
      </c>
      <c r="I75" s="24">
        <v>1</v>
      </c>
      <c r="J75" s="166">
        <f t="shared" si="7"/>
        <v>43343</v>
      </c>
      <c r="K75" s="2">
        <v>51290703.780000001</v>
      </c>
      <c r="N75">
        <v>1</v>
      </c>
      <c r="O75" s="167"/>
      <c r="P75" s="23"/>
      <c r="Q75" s="23"/>
      <c r="R75"/>
      <c r="S75" s="2">
        <v>12805651.5</v>
      </c>
      <c r="W75" s="161">
        <f t="shared" si="10"/>
        <v>398342591.33000004</v>
      </c>
      <c r="X75">
        <f t="shared" si="11"/>
        <v>2</v>
      </c>
    </row>
    <row r="76" spans="1:24">
      <c r="A76" s="38">
        <v>43373</v>
      </c>
      <c r="B76" s="25">
        <v>339898312.13999999</v>
      </c>
      <c r="C76" s="25">
        <v>314784012.93000001</v>
      </c>
      <c r="D76" s="5">
        <f>SILVX!C78</f>
        <v>2.2000000000000001E-3</v>
      </c>
      <c r="E76" s="6">
        <f t="shared" si="14"/>
        <v>735341.71931000007</v>
      </c>
      <c r="F76" s="6">
        <f t="shared" si="15"/>
        <v>4916734.3706899881</v>
      </c>
      <c r="G76" s="8">
        <f t="shared" si="12"/>
        <v>5652076.0899999887</v>
      </c>
      <c r="H76" s="25">
        <f t="shared" si="13"/>
        <v>25114299.209999979</v>
      </c>
      <c r="I76" s="24">
        <v>1</v>
      </c>
      <c r="J76" s="166">
        <f t="shared" si="7"/>
        <v>43373</v>
      </c>
      <c r="K76" s="2">
        <v>51416688.940000013</v>
      </c>
      <c r="N76">
        <v>1</v>
      </c>
      <c r="O76" s="167"/>
      <c r="P76" s="23"/>
      <c r="Q76" s="23"/>
      <c r="R76"/>
      <c r="S76" s="2">
        <v>13783952.32</v>
      </c>
      <c r="W76" s="161">
        <f t="shared" si="10"/>
        <v>405098953.39999998</v>
      </c>
      <c r="X76">
        <f t="shared" si="11"/>
        <v>2</v>
      </c>
    </row>
    <row r="77" spans="1:24">
      <c r="A77" s="38">
        <v>43404</v>
      </c>
      <c r="B77" s="25">
        <v>315054081.12</v>
      </c>
      <c r="C77" s="25">
        <v>292137731.82999998</v>
      </c>
      <c r="D77" s="5">
        <f>SILVX!C79</f>
        <v>-7.3800000000000004E-2</v>
      </c>
      <c r="E77" s="6">
        <f t="shared" si="14"/>
        <v>-25084495.435931999</v>
      </c>
      <c r="F77" s="6">
        <f t="shared" si="15"/>
        <v>240264.41593199968</v>
      </c>
      <c r="G77" s="8">
        <f t="shared" si="12"/>
        <v>-24844231.02</v>
      </c>
      <c r="H77" s="25">
        <f t="shared" si="13"/>
        <v>22916349.290000021</v>
      </c>
      <c r="I77" s="24">
        <v>1</v>
      </c>
      <c r="J77" s="166">
        <f t="shared" si="7"/>
        <v>43404</v>
      </c>
      <c r="K77" s="2">
        <v>49765662.759999998</v>
      </c>
      <c r="N77">
        <v>1</v>
      </c>
      <c r="O77" s="167"/>
      <c r="P77" s="23"/>
      <c r="Q77" s="23"/>
      <c r="R77"/>
      <c r="S77" s="2">
        <v>13633150.630000001</v>
      </c>
      <c r="W77" s="161">
        <f t="shared" si="10"/>
        <v>378452894.50999999</v>
      </c>
      <c r="X77">
        <f t="shared" si="11"/>
        <v>2</v>
      </c>
    </row>
    <row r="78" spans="1:24">
      <c r="A78" s="38">
        <v>43434</v>
      </c>
      <c r="B78" s="25">
        <v>326098765.69</v>
      </c>
      <c r="C78" s="25">
        <v>303515850.94</v>
      </c>
      <c r="D78" s="5">
        <f>SILVX!C80</f>
        <v>1.5600000000000001E-2</v>
      </c>
      <c r="E78" s="6">
        <f t="shared" si="14"/>
        <v>4914843.6654720008</v>
      </c>
      <c r="F78" s="6">
        <f t="shared" si="15"/>
        <v>6129840.9045279622</v>
      </c>
      <c r="G78" s="8">
        <f t="shared" si="12"/>
        <v>11044684.569999963</v>
      </c>
      <c r="H78" s="25">
        <f t="shared" si="13"/>
        <v>22582914.75</v>
      </c>
      <c r="I78" s="24">
        <v>1</v>
      </c>
      <c r="J78" s="166">
        <f t="shared" si="7"/>
        <v>43434</v>
      </c>
      <c r="K78" s="2">
        <v>49385646.150000006</v>
      </c>
      <c r="N78">
        <v>1</v>
      </c>
      <c r="O78" s="167"/>
      <c r="P78" s="23"/>
      <c r="Q78" s="23"/>
      <c r="R78"/>
      <c r="S78" s="2">
        <v>13781209.439999999</v>
      </c>
      <c r="W78" s="161">
        <f t="shared" si="10"/>
        <v>389265621.28000003</v>
      </c>
      <c r="X78">
        <f t="shared" si="11"/>
        <v>2</v>
      </c>
    </row>
    <row r="79" spans="1:24">
      <c r="A79" s="38">
        <v>43465</v>
      </c>
      <c r="B79" s="25">
        <v>284321767.72000003</v>
      </c>
      <c r="C79" s="25">
        <v>267993163.91999999</v>
      </c>
      <c r="D79" s="5">
        <f>SILVX!C81</f>
        <v>-7.6200000000000004E-2</v>
      </c>
      <c r="E79" s="6">
        <f t="shared" si="14"/>
        <v>-24848725.945578001</v>
      </c>
      <c r="F79" s="6">
        <f t="shared" si="15"/>
        <v>-16928272.02442199</v>
      </c>
      <c r="G79" s="8">
        <f t="shared" si="12"/>
        <v>-41776997.969999991</v>
      </c>
      <c r="H79" s="25">
        <f t="shared" si="13"/>
        <v>16328603.800000042</v>
      </c>
      <c r="I79" s="24">
        <v>1</v>
      </c>
      <c r="J79" s="166">
        <f t="shared" ref="J79:J125" si="16">A79</f>
        <v>43465</v>
      </c>
      <c r="K79" s="2">
        <v>52274540.04999999</v>
      </c>
      <c r="N79">
        <v>1</v>
      </c>
      <c r="O79" s="167"/>
      <c r="P79" s="23"/>
      <c r="Q79" s="23"/>
      <c r="R79"/>
      <c r="S79" s="2">
        <v>11252068.73</v>
      </c>
      <c r="W79" s="161">
        <f t="shared" si="10"/>
        <v>347848376.50000006</v>
      </c>
      <c r="X79">
        <f t="shared" si="11"/>
        <v>2</v>
      </c>
    </row>
    <row r="80" spans="1:24">
      <c r="A80" s="38">
        <v>43496</v>
      </c>
      <c r="B80" s="25">
        <v>307502109.13</v>
      </c>
      <c r="C80" s="25">
        <v>290073722.19</v>
      </c>
      <c r="D80" s="5">
        <f>SILVX!C82</f>
        <v>7.1300000000000002E-2</v>
      </c>
      <c r="E80" s="6">
        <f t="shared" si="14"/>
        <v>20272142.038436003</v>
      </c>
      <c r="F80" s="6">
        <f t="shared" si="15"/>
        <v>2908199.371563971</v>
      </c>
      <c r="G80" s="8">
        <f t="shared" si="12"/>
        <v>23180341.409999974</v>
      </c>
      <c r="H80" s="25">
        <f t="shared" si="13"/>
        <v>17428386.939999998</v>
      </c>
      <c r="I80" s="24">
        <v>1</v>
      </c>
      <c r="J80" s="166">
        <f t="shared" si="16"/>
        <v>43496</v>
      </c>
      <c r="K80" s="2">
        <v>54496279.360000007</v>
      </c>
      <c r="N80">
        <v>1</v>
      </c>
      <c r="O80" s="167"/>
      <c r="P80" s="23"/>
      <c r="Q80" s="23"/>
      <c r="R80"/>
      <c r="S80" s="2">
        <v>12505640.560000001</v>
      </c>
      <c r="W80" s="161">
        <f t="shared" si="10"/>
        <v>374504029.05000001</v>
      </c>
      <c r="X80">
        <f t="shared" si="11"/>
        <v>2</v>
      </c>
    </row>
    <row r="81" spans="1:24">
      <c r="A81" s="38">
        <v>43524</v>
      </c>
      <c r="B81" s="25">
        <v>323612008.45999998</v>
      </c>
      <c r="C81" s="25">
        <v>304855506.07999998</v>
      </c>
      <c r="D81" s="5">
        <f>SILVX!C83</f>
        <v>4.2900000000000001E-2</v>
      </c>
      <c r="E81" s="6">
        <f t="shared" si="14"/>
        <v>13191840.481676999</v>
      </c>
      <c r="F81" s="6">
        <f t="shared" si="15"/>
        <v>2918058.8483229876</v>
      </c>
      <c r="G81" s="8">
        <f t="shared" si="12"/>
        <v>16109899.329999987</v>
      </c>
      <c r="H81" s="25">
        <f t="shared" si="13"/>
        <v>18756502.379999995</v>
      </c>
      <c r="I81" s="24">
        <v>1</v>
      </c>
      <c r="J81" s="166">
        <f t="shared" si="16"/>
        <v>43524</v>
      </c>
      <c r="K81" s="2">
        <v>56468464.38000001</v>
      </c>
      <c r="N81">
        <v>1</v>
      </c>
      <c r="O81" s="167"/>
      <c r="P81" s="23"/>
      <c r="Q81" s="23"/>
      <c r="R81"/>
      <c r="S81" s="2">
        <v>13034907.390000001</v>
      </c>
      <c r="W81" s="161">
        <f t="shared" si="10"/>
        <v>393115380.22999996</v>
      </c>
      <c r="X81">
        <f t="shared" si="11"/>
        <v>2</v>
      </c>
    </row>
    <row r="82" spans="1:24">
      <c r="A82" s="38">
        <v>43555</v>
      </c>
      <c r="B82" s="25">
        <v>330901406.33999997</v>
      </c>
      <c r="C82" s="2">
        <v>312125679.48000002</v>
      </c>
      <c r="D82" s="5">
        <f>SILVX!C84</f>
        <v>1.55E-2</v>
      </c>
      <c r="E82" s="6">
        <f t="shared" si="14"/>
        <v>5015986.1311299996</v>
      </c>
      <c r="F82" s="6">
        <f t="shared" si="15"/>
        <v>2273411.7488700151</v>
      </c>
      <c r="G82" s="8">
        <f t="shared" si="12"/>
        <v>7289397.8800000148</v>
      </c>
      <c r="H82" s="25">
        <f t="shared" si="13"/>
        <v>18775726.859999955</v>
      </c>
      <c r="I82" s="24">
        <v>1</v>
      </c>
      <c r="J82" s="166">
        <f t="shared" si="16"/>
        <v>43555</v>
      </c>
      <c r="K82" s="2">
        <v>57966835.610000007</v>
      </c>
      <c r="N82">
        <v>1</v>
      </c>
      <c r="O82" s="167"/>
      <c r="P82" s="23"/>
      <c r="Q82" s="23"/>
      <c r="R82"/>
      <c r="S82" s="2">
        <v>13267519.390000001</v>
      </c>
      <c r="T82" s="2"/>
      <c r="W82" s="161">
        <f t="shared" si="10"/>
        <v>402135761.33999997</v>
      </c>
      <c r="X82">
        <f t="shared" si="11"/>
        <v>2</v>
      </c>
    </row>
    <row r="83" spans="1:24">
      <c r="A83" s="38">
        <v>43585</v>
      </c>
      <c r="B83" s="25">
        <f>18451582.26+326411514.06</f>
        <v>344863096.31999999</v>
      </c>
      <c r="C83" s="2">
        <v>326081011.75999999</v>
      </c>
      <c r="D83" s="5">
        <f>SILVX!C85</f>
        <v>3.5200000000000002E-2</v>
      </c>
      <c r="E83" s="6">
        <f t="shared" si="14"/>
        <v>11647729.503168</v>
      </c>
      <c r="F83" s="6">
        <f t="shared" si="15"/>
        <v>2313960.4768320322</v>
      </c>
      <c r="G83" s="8">
        <f t="shared" si="12"/>
        <v>13961689.980000032</v>
      </c>
      <c r="H83" s="25">
        <f t="shared" si="13"/>
        <v>18782084.560000002</v>
      </c>
      <c r="I83" s="24">
        <v>1</v>
      </c>
      <c r="J83" s="166">
        <f t="shared" si="16"/>
        <v>43585</v>
      </c>
      <c r="K83" s="2">
        <v>59212129.229999997</v>
      </c>
      <c r="N83">
        <v>1</v>
      </c>
      <c r="O83" s="167"/>
      <c r="P83" s="23"/>
      <c r="Q83" s="23"/>
      <c r="R83"/>
      <c r="S83" s="2">
        <v>13935887.189999999</v>
      </c>
      <c r="T83" s="2">
        <v>828.21</v>
      </c>
      <c r="W83" s="161">
        <f t="shared" si="10"/>
        <v>418011940.94999999</v>
      </c>
      <c r="X83">
        <f t="shared" si="11"/>
        <v>2</v>
      </c>
    </row>
    <row r="84" spans="1:24">
      <c r="A84" s="38">
        <v>43616</v>
      </c>
      <c r="B84" s="25">
        <f>15904082.66+311647624.86</f>
        <v>327551707.52000004</v>
      </c>
      <c r="C84" s="2">
        <v>311460482.07999998</v>
      </c>
      <c r="D84" s="5">
        <f>SILVX!C86</f>
        <v>-4.9299999999999997E-2</v>
      </c>
      <c r="E84" s="6">
        <f t="shared" si="14"/>
        <v>-17001750.648575999</v>
      </c>
      <c r="F84" s="6">
        <f t="shared" si="15"/>
        <v>-309638.15142393112</v>
      </c>
      <c r="G84" s="8">
        <f t="shared" si="12"/>
        <v>-17311388.79999993</v>
      </c>
      <c r="H84" s="25">
        <f t="shared" si="13"/>
        <v>16091225.440000057</v>
      </c>
      <c r="I84" s="24">
        <v>1</v>
      </c>
      <c r="J84" s="166">
        <f t="shared" si="16"/>
        <v>43616</v>
      </c>
      <c r="K84" s="2">
        <v>60278849.32</v>
      </c>
      <c r="N84">
        <v>1</v>
      </c>
      <c r="O84" s="167"/>
      <c r="P84" s="23"/>
      <c r="Q84" s="23"/>
      <c r="R84"/>
      <c r="S84" s="2">
        <v>13511964.4</v>
      </c>
      <c r="T84" s="2">
        <v>86999.9</v>
      </c>
      <c r="W84" s="161">
        <f t="shared" si="10"/>
        <v>401429521.13999999</v>
      </c>
      <c r="X84">
        <f t="shared" si="11"/>
        <v>2</v>
      </c>
    </row>
    <row r="85" spans="1:24">
      <c r="A85" s="38">
        <v>43646</v>
      </c>
      <c r="B85" s="25">
        <f>16540168.37+331853301.13</f>
        <v>348393469.5</v>
      </c>
      <c r="C85" s="2">
        <v>331667757.98000002</v>
      </c>
      <c r="D85" s="5">
        <f>SILVX!C87</f>
        <v>5.7300000000000004E-2</v>
      </c>
      <c r="E85" s="6">
        <f t="shared" si="14"/>
        <v>18768712.840896003</v>
      </c>
      <c r="F85" s="6">
        <f t="shared" si="15"/>
        <v>2073049.1391039491</v>
      </c>
      <c r="G85" s="8">
        <f t="shared" si="12"/>
        <v>20841761.979999952</v>
      </c>
      <c r="H85" s="25">
        <f t="shared" si="13"/>
        <v>16725711.519999981</v>
      </c>
      <c r="I85" s="24">
        <v>1</v>
      </c>
      <c r="J85" s="166">
        <f t="shared" si="16"/>
        <v>43646</v>
      </c>
      <c r="K85" s="2">
        <v>63261334.729999997</v>
      </c>
      <c r="N85">
        <v>1</v>
      </c>
      <c r="O85" s="167"/>
      <c r="P85" s="23"/>
      <c r="Q85" s="23"/>
      <c r="R85"/>
      <c r="S85" s="2">
        <v>14118531.26</v>
      </c>
      <c r="T85" s="2">
        <v>91947.86</v>
      </c>
      <c r="W85" s="161">
        <f t="shared" si="10"/>
        <v>425865283.35000002</v>
      </c>
      <c r="X85">
        <f t="shared" si="11"/>
        <v>2</v>
      </c>
    </row>
    <row r="86" spans="1:24">
      <c r="A86" s="38">
        <v>43665</v>
      </c>
      <c r="B86" s="25">
        <f>342815517.4+16727444.95</f>
        <v>359542962.34999996</v>
      </c>
      <c r="C86" s="2">
        <v>342624329.26999998</v>
      </c>
      <c r="D86" s="5">
        <f>SILVX!C88</f>
        <v>2.0899999999999998E-2</v>
      </c>
      <c r="E86" s="6">
        <f t="shared" si="14"/>
        <v>7281423.5125499992</v>
      </c>
      <c r="F86" s="6">
        <f t="shared" si="15"/>
        <v>3868069.3374499679</v>
      </c>
      <c r="G86" s="8">
        <f t="shared" si="12"/>
        <v>11149492.849999968</v>
      </c>
      <c r="H86" s="25">
        <f t="shared" si="13"/>
        <v>16918633.079999983</v>
      </c>
      <c r="I86" s="24">
        <v>1</v>
      </c>
      <c r="J86" s="166">
        <f t="shared" si="16"/>
        <v>43665</v>
      </c>
      <c r="K86" s="2">
        <v>65965401.030000001</v>
      </c>
      <c r="N86">
        <v>1</v>
      </c>
      <c r="O86" s="167"/>
      <c r="P86" s="23"/>
      <c r="Q86" s="23"/>
      <c r="R86"/>
      <c r="S86" s="2">
        <v>13936017.380000001</v>
      </c>
      <c r="T86" s="2">
        <v>93854.89</v>
      </c>
      <c r="W86" s="161">
        <f t="shared" si="10"/>
        <v>439538235.64999998</v>
      </c>
      <c r="X86">
        <f t="shared" si="11"/>
        <v>2</v>
      </c>
    </row>
    <row r="87" spans="1:24">
      <c r="A87" s="38">
        <v>43708</v>
      </c>
      <c r="B87" s="25">
        <v>366786951.17000002</v>
      </c>
      <c r="C87" s="2">
        <v>349723871.49000001</v>
      </c>
      <c r="D87" s="5">
        <f>SILVX!C89</f>
        <v>8.3000000000000001E-3</v>
      </c>
      <c r="E87" s="6">
        <f t="shared" si="14"/>
        <v>2984206.5875049997</v>
      </c>
      <c r="F87" s="6">
        <f t="shared" si="15"/>
        <v>4259782.2324950695</v>
      </c>
      <c r="G87" s="8">
        <f t="shared" si="12"/>
        <v>7243988.8200000692</v>
      </c>
      <c r="H87" s="25">
        <f t="shared" si="13"/>
        <v>17063079.680000007</v>
      </c>
      <c r="I87" s="24">
        <v>1</v>
      </c>
      <c r="J87" s="166">
        <f t="shared" si="16"/>
        <v>43708</v>
      </c>
      <c r="K87" s="2">
        <v>68634145.709999993</v>
      </c>
      <c r="N87">
        <v>1</v>
      </c>
      <c r="O87" s="167"/>
      <c r="P87" s="23"/>
      <c r="Q87" s="23"/>
      <c r="R87"/>
      <c r="S87" s="2">
        <v>12525278.689999999</v>
      </c>
      <c r="T87" s="2">
        <v>94627.9</v>
      </c>
      <c r="W87" s="161">
        <f t="shared" si="10"/>
        <v>448041003.46999997</v>
      </c>
      <c r="X87">
        <f t="shared" si="11"/>
        <v>2</v>
      </c>
    </row>
    <row r="88" spans="1:24">
      <c r="A88" s="38">
        <v>43738</v>
      </c>
      <c r="B88" s="25">
        <v>374196179.06</v>
      </c>
      <c r="C88" s="2">
        <v>357324081.56</v>
      </c>
      <c r="D88" s="5">
        <f>SILVX!C90</f>
        <v>9.2999999999999992E-3</v>
      </c>
      <c r="E88" s="6">
        <f t="shared" si="14"/>
        <v>3411118.645881</v>
      </c>
      <c r="F88" s="6">
        <f t="shared" si="15"/>
        <v>3998109.2441189885</v>
      </c>
      <c r="G88" s="8">
        <f t="shared" si="12"/>
        <v>7409227.8899999885</v>
      </c>
      <c r="H88" s="25">
        <f t="shared" si="13"/>
        <v>16872097.5</v>
      </c>
      <c r="I88" s="24">
        <v>1</v>
      </c>
      <c r="J88" s="166">
        <f t="shared" si="16"/>
        <v>43738</v>
      </c>
      <c r="K88" s="2">
        <v>68719196.189999998</v>
      </c>
      <c r="N88">
        <v>1</v>
      </c>
      <c r="O88" s="167"/>
      <c r="P88" s="23"/>
      <c r="Q88" s="23"/>
      <c r="R88"/>
      <c r="S88" s="2">
        <v>13287989.59</v>
      </c>
      <c r="T88" s="2">
        <v>95504.21</v>
      </c>
      <c r="W88" s="161">
        <f t="shared" si="10"/>
        <v>456298869.04999995</v>
      </c>
      <c r="X88">
        <f t="shared" si="11"/>
        <v>2</v>
      </c>
    </row>
    <row r="89" spans="1:24">
      <c r="A89" s="38">
        <v>43769</v>
      </c>
      <c r="B89" s="25">
        <v>378571743.08999997</v>
      </c>
      <c r="C89" s="2">
        <v>361618463.45999998</v>
      </c>
      <c r="D89" s="5">
        <f>SILVX!C91</f>
        <v>-3.8E-3</v>
      </c>
      <c r="E89" s="6">
        <f t="shared" si="14"/>
        <v>-1421945.480428</v>
      </c>
      <c r="F89" s="6">
        <f t="shared" si="15"/>
        <v>5797509.5104279518</v>
      </c>
      <c r="G89" s="8">
        <f t="shared" si="12"/>
        <v>4375564.0299999518</v>
      </c>
      <c r="H89" s="25">
        <f t="shared" si="13"/>
        <v>16953279.629999995</v>
      </c>
      <c r="I89" s="24">
        <v>1</v>
      </c>
      <c r="J89" s="166">
        <f t="shared" si="16"/>
        <v>43769</v>
      </c>
      <c r="K89" s="2">
        <v>74695459.290000007</v>
      </c>
      <c r="N89">
        <v>1</v>
      </c>
      <c r="O89" s="167"/>
      <c r="P89" s="23"/>
      <c r="Q89" s="23"/>
      <c r="R89"/>
      <c r="S89" s="2">
        <v>13618893.5</v>
      </c>
      <c r="T89" s="2">
        <v>137717.6</v>
      </c>
      <c r="U89" s="2">
        <v>7393074.6399999997</v>
      </c>
      <c r="V89" s="2">
        <f>184.52+24690</f>
        <v>24874.52</v>
      </c>
      <c r="W89" s="161">
        <f t="shared" si="10"/>
        <v>474441762.63999999</v>
      </c>
      <c r="X89">
        <f t="shared" si="11"/>
        <v>2</v>
      </c>
    </row>
    <row r="90" spans="1:24">
      <c r="A90" s="38">
        <v>43799</v>
      </c>
      <c r="B90" s="25">
        <v>389409860.88</v>
      </c>
      <c r="C90" s="2">
        <v>370319450.26999998</v>
      </c>
      <c r="D90" s="5">
        <f>SILVX!C92</f>
        <v>1.9599999999999999E-2</v>
      </c>
      <c r="E90" s="6">
        <f t="shared" si="14"/>
        <v>7420006.1645639995</v>
      </c>
      <c r="F90" s="6">
        <f t="shared" si="15"/>
        <v>3418111.625436008</v>
      </c>
      <c r="G90" s="8">
        <f t="shared" si="12"/>
        <v>10838117.790000007</v>
      </c>
      <c r="H90" s="25">
        <f t="shared" si="13"/>
        <v>19090410.610000014</v>
      </c>
      <c r="I90" s="24">
        <v>1</v>
      </c>
      <c r="J90" s="166">
        <f t="shared" si="16"/>
        <v>43799</v>
      </c>
      <c r="K90" s="2">
        <v>76147906.460000008</v>
      </c>
      <c r="N90">
        <v>1</v>
      </c>
      <c r="O90" s="167"/>
      <c r="P90" s="23"/>
      <c r="Q90" s="23"/>
      <c r="R90"/>
      <c r="S90" s="2">
        <v>13902834.189999999</v>
      </c>
      <c r="T90" s="2">
        <v>95862.8</v>
      </c>
      <c r="U90" s="2">
        <v>7914279.0999999996</v>
      </c>
      <c r="V90" s="2">
        <v>29384.98</v>
      </c>
      <c r="W90" s="161">
        <f t="shared" si="10"/>
        <v>487500128.41000009</v>
      </c>
      <c r="X90">
        <f t="shared" si="11"/>
        <v>2</v>
      </c>
    </row>
    <row r="91" spans="1:24">
      <c r="A91" s="38">
        <v>43830</v>
      </c>
      <c r="B91" s="25">
        <v>398668563.27999997</v>
      </c>
      <c r="C91" s="2">
        <v>379156025.27999997</v>
      </c>
      <c r="D91" s="5">
        <f>SILVX!C93</f>
        <v>1.95E-2</v>
      </c>
      <c r="E91" s="6">
        <f t="shared" si="14"/>
        <v>7593492.2871599998</v>
      </c>
      <c r="F91" s="6">
        <f t="shared" si="15"/>
        <v>1665210.1128399968</v>
      </c>
      <c r="G91" s="8">
        <f t="shared" si="12"/>
        <v>9258702.3999999966</v>
      </c>
      <c r="H91" s="25">
        <f t="shared" si="13"/>
        <v>19512538</v>
      </c>
      <c r="I91" s="24">
        <v>1</v>
      </c>
      <c r="J91" s="166">
        <f t="shared" si="16"/>
        <v>43830</v>
      </c>
      <c r="K91" s="2">
        <v>78046980.089999989</v>
      </c>
      <c r="N91">
        <v>1</v>
      </c>
      <c r="O91" s="167"/>
      <c r="P91" s="23"/>
      <c r="Q91" s="23"/>
      <c r="R91"/>
      <c r="S91" s="2">
        <v>14653107.189999999</v>
      </c>
      <c r="T91" s="2">
        <v>96752.63</v>
      </c>
      <c r="U91" s="2">
        <v>8219780.5499999998</v>
      </c>
      <c r="V91" s="2">
        <v>32891.589999999997</v>
      </c>
      <c r="W91" s="161">
        <f t="shared" si="10"/>
        <v>499718075.32999992</v>
      </c>
      <c r="X91">
        <f t="shared" si="11"/>
        <v>2</v>
      </c>
    </row>
    <row r="92" spans="1:24">
      <c r="A92" s="38">
        <v>43861</v>
      </c>
      <c r="B92" s="25">
        <v>412022774.88999999</v>
      </c>
      <c r="C92" s="2">
        <v>394107026.26999998</v>
      </c>
      <c r="D92" s="5">
        <f>SILVX!C94</f>
        <v>1.67E-2</v>
      </c>
      <c r="E92" s="6">
        <f t="shared" si="14"/>
        <v>6657765.0067759994</v>
      </c>
      <c r="F92" s="6">
        <f t="shared" si="15"/>
        <v>6696446.6032240391</v>
      </c>
      <c r="G92" s="8">
        <f t="shared" si="12"/>
        <v>13354211.610000039</v>
      </c>
      <c r="H92" s="25">
        <f t="shared" si="13"/>
        <v>17915748.620000005</v>
      </c>
      <c r="I92" s="24">
        <v>1</v>
      </c>
      <c r="J92" s="166">
        <f t="shared" si="16"/>
        <v>43861</v>
      </c>
      <c r="K92" s="2">
        <v>81613694.049999997</v>
      </c>
      <c r="N92">
        <v>1</v>
      </c>
      <c r="O92" s="167"/>
      <c r="P92" s="23"/>
      <c r="Q92" s="23"/>
      <c r="R92"/>
      <c r="S92" s="2">
        <v>14547315.49</v>
      </c>
      <c r="T92" s="2">
        <v>98841.279999999999</v>
      </c>
      <c r="U92" s="2">
        <v>10208261.390000001</v>
      </c>
      <c r="V92" s="2">
        <v>25862.34</v>
      </c>
      <c r="W92" s="161">
        <f t="shared" si="10"/>
        <v>518516749.43999994</v>
      </c>
      <c r="X92">
        <f t="shared" si="11"/>
        <v>2</v>
      </c>
    </row>
    <row r="93" spans="1:24">
      <c r="A93" s="38">
        <v>43890</v>
      </c>
      <c r="B93" s="25">
        <v>382750126.43000001</v>
      </c>
      <c r="C93" s="2">
        <v>366193714.24000001</v>
      </c>
      <c r="D93" s="5">
        <f>SILVX!C95</f>
        <v>-7.6799999999999993E-2</v>
      </c>
      <c r="E93" s="6">
        <f t="shared" si="14"/>
        <v>-31643349.111551996</v>
      </c>
      <c r="F93" s="6">
        <f t="shared" si="15"/>
        <v>2370700.6515520215</v>
      </c>
      <c r="G93" s="8">
        <f t="shared" si="12"/>
        <v>-29272648.459999975</v>
      </c>
      <c r="H93" s="25">
        <f t="shared" si="13"/>
        <v>16556412.189999998</v>
      </c>
      <c r="I93" s="24">
        <v>1</v>
      </c>
      <c r="J93" s="166">
        <f t="shared" si="16"/>
        <v>43890</v>
      </c>
      <c r="K93" s="2">
        <v>84383102.25</v>
      </c>
      <c r="N93">
        <v>1</v>
      </c>
      <c r="O93" s="167"/>
      <c r="P93" s="23"/>
      <c r="Q93" s="23"/>
      <c r="R93"/>
      <c r="S93" s="2">
        <v>13239186.4</v>
      </c>
      <c r="T93" s="2">
        <v>86373.53</v>
      </c>
      <c r="U93" s="2">
        <v>10301032.470000001</v>
      </c>
      <c r="V93" s="2">
        <v>25028.19</v>
      </c>
      <c r="W93" s="161">
        <f t="shared" si="10"/>
        <v>490784849.26999998</v>
      </c>
      <c r="X93">
        <f t="shared" si="11"/>
        <v>2</v>
      </c>
    </row>
    <row r="94" spans="1:24">
      <c r="A94" s="38">
        <v>43921</v>
      </c>
      <c r="B94" s="25">
        <v>318852529.27000004</v>
      </c>
      <c r="C94" s="2">
        <v>303337667.05000001</v>
      </c>
      <c r="D94" s="5">
        <f>SILVX!C96</f>
        <v>-0.1211</v>
      </c>
      <c r="E94" s="6">
        <f t="shared" si="14"/>
        <v>-46351040.310672998</v>
      </c>
      <c r="F94" s="6">
        <f t="shared" si="15"/>
        <v>-17546556.849326968</v>
      </c>
      <c r="G94" s="8">
        <f t="shared" si="12"/>
        <v>-63897597.159999967</v>
      </c>
      <c r="H94" s="25">
        <f t="shared" si="13"/>
        <v>15514862.220000029</v>
      </c>
      <c r="I94" s="24">
        <v>1</v>
      </c>
      <c r="J94" s="166">
        <f t="shared" si="16"/>
        <v>43921</v>
      </c>
      <c r="K94" s="2">
        <v>89303049.539999977</v>
      </c>
      <c r="N94">
        <v>1</v>
      </c>
      <c r="O94" s="167"/>
      <c r="P94" s="23"/>
      <c r="Q94" s="23"/>
      <c r="R94"/>
      <c r="S94" s="2">
        <v>9930385.1500000004</v>
      </c>
      <c r="T94" s="2">
        <v>75973.66</v>
      </c>
      <c r="U94" s="2">
        <v>8989809.3000000007</v>
      </c>
      <c r="V94" s="2">
        <v>22734.98</v>
      </c>
      <c r="W94" s="161">
        <f t="shared" si="10"/>
        <v>427174481.90000004</v>
      </c>
      <c r="X94">
        <f t="shared" si="11"/>
        <v>2</v>
      </c>
    </row>
    <row r="95" spans="1:24">
      <c r="A95" s="38">
        <v>43951</v>
      </c>
      <c r="B95" s="25">
        <v>356358447.06999999</v>
      </c>
      <c r="C95" s="2">
        <v>339442170.80000001</v>
      </c>
      <c r="D95" s="5">
        <f>SILVX!C97</f>
        <v>8.43E-2</v>
      </c>
      <c r="E95" s="6">
        <f t="shared" si="14"/>
        <v>26879268.217461005</v>
      </c>
      <c r="F95" s="6">
        <f t="shared" si="15"/>
        <v>10626649.582538962</v>
      </c>
      <c r="G95" s="8">
        <f t="shared" si="12"/>
        <v>37505917.799999967</v>
      </c>
      <c r="H95" s="25">
        <f t="shared" si="13"/>
        <v>16916276.269999981</v>
      </c>
      <c r="I95" s="24">
        <v>1</v>
      </c>
      <c r="J95" s="166">
        <f t="shared" si="16"/>
        <v>43951</v>
      </c>
      <c r="K95" s="2">
        <v>95703090.98999998</v>
      </c>
      <c r="N95">
        <v>1</v>
      </c>
      <c r="O95" s="167"/>
      <c r="P95" s="23"/>
      <c r="Q95" s="23"/>
      <c r="R95"/>
      <c r="S95" s="2">
        <v>10678657.960000001</v>
      </c>
      <c r="T95" s="2">
        <v>100539.33</v>
      </c>
      <c r="U95" s="2">
        <v>10292574.18</v>
      </c>
      <c r="V95" s="2">
        <v>24155.46</v>
      </c>
      <c r="W95" s="161">
        <f t="shared" si="10"/>
        <v>473157464.98999989</v>
      </c>
      <c r="X95">
        <f t="shared" si="11"/>
        <v>2</v>
      </c>
    </row>
    <row r="96" spans="1:24">
      <c r="A96" s="38">
        <v>43982</v>
      </c>
      <c r="B96" s="25">
        <v>384761976.72000003</v>
      </c>
      <c r="C96" s="2">
        <v>363376174.93000001</v>
      </c>
      <c r="D96" s="5">
        <f>SILVX!C98</f>
        <v>5.5399999999999998E-2</v>
      </c>
      <c r="E96" s="6">
        <f t="shared" si="14"/>
        <v>19742257.967677999</v>
      </c>
      <c r="F96" s="6">
        <f t="shared" si="15"/>
        <v>8661271.6823220253</v>
      </c>
      <c r="G96" s="8">
        <f t="shared" si="12"/>
        <v>28403529.650000025</v>
      </c>
      <c r="H96" s="25">
        <f t="shared" si="13"/>
        <v>21385801.790000021</v>
      </c>
      <c r="I96" s="24">
        <v>1</v>
      </c>
      <c r="J96" s="166">
        <f t="shared" si="16"/>
        <v>43982</v>
      </c>
      <c r="K96" s="2">
        <v>100569722.80000001</v>
      </c>
      <c r="N96">
        <v>1</v>
      </c>
      <c r="O96" s="167"/>
      <c r="P96" s="23"/>
      <c r="Q96" s="23"/>
      <c r="R96"/>
      <c r="S96" s="2">
        <v>11699450.65</v>
      </c>
      <c r="T96" s="2">
        <v>1225.08</v>
      </c>
      <c r="U96" s="2">
        <v>11089840.25</v>
      </c>
      <c r="V96" s="2">
        <v>25986.7</v>
      </c>
      <c r="W96" s="161">
        <f t="shared" ref="W96:W127" si="17">K96+B96+O96+S96+T96+U96+V96</f>
        <v>508148202.19999999</v>
      </c>
      <c r="X96">
        <f t="shared" si="11"/>
        <v>2</v>
      </c>
    </row>
    <row r="97" spans="1:24">
      <c r="A97" s="38">
        <v>44012</v>
      </c>
      <c r="B97" s="25">
        <v>393697483.44000006</v>
      </c>
      <c r="C97" s="2">
        <v>369154532.61000001</v>
      </c>
      <c r="D97" s="5">
        <f>SILVX!C99</f>
        <v>5.1000000000000004E-3</v>
      </c>
      <c r="E97" s="6">
        <f t="shared" si="14"/>
        <v>1962286.0812720002</v>
      </c>
      <c r="F97" s="6">
        <f t="shared" si="15"/>
        <v>6973220.6387280226</v>
      </c>
      <c r="G97" s="8">
        <f t="shared" si="12"/>
        <v>8935506.720000023</v>
      </c>
      <c r="H97" s="25">
        <f t="shared" si="13"/>
        <v>24542950.830000043</v>
      </c>
      <c r="I97" s="24">
        <v>1</v>
      </c>
      <c r="J97" s="166">
        <f t="shared" si="16"/>
        <v>44012</v>
      </c>
      <c r="K97" s="2">
        <v>104888284.01999997</v>
      </c>
      <c r="N97">
        <v>1</v>
      </c>
      <c r="O97" s="167"/>
      <c r="P97" s="23"/>
      <c r="Q97" s="23"/>
      <c r="R97"/>
      <c r="S97" s="2">
        <v>11835836.32</v>
      </c>
      <c r="T97" s="2">
        <v>1225.21</v>
      </c>
      <c r="U97" s="2">
        <v>11229920.539999999</v>
      </c>
      <c r="V97" s="2">
        <v>71.86</v>
      </c>
      <c r="W97" s="161">
        <f t="shared" si="17"/>
        <v>521652821.39000005</v>
      </c>
      <c r="X97">
        <f t="shared" si="11"/>
        <v>2</v>
      </c>
    </row>
    <row r="98" spans="1:24">
      <c r="A98" s="38">
        <v>44043</v>
      </c>
      <c r="B98" s="25">
        <v>415264002.50999999</v>
      </c>
      <c r="C98" s="2">
        <v>387523922.63999999</v>
      </c>
      <c r="D98" s="5">
        <f>SILVX!C100</f>
        <v>6.13E-2</v>
      </c>
      <c r="E98" s="6">
        <f t="shared" si="14"/>
        <v>24133655.734872002</v>
      </c>
      <c r="F98" s="6">
        <f t="shared" si="15"/>
        <v>-2567136.6648720503</v>
      </c>
      <c r="G98" s="8">
        <f t="shared" si="12"/>
        <v>21566519.069999952</v>
      </c>
      <c r="H98" s="25">
        <f t="shared" si="13"/>
        <v>27740079.870000005</v>
      </c>
      <c r="I98" s="24">
        <v>1</v>
      </c>
      <c r="J98" s="166">
        <f t="shared" si="16"/>
        <v>44043</v>
      </c>
      <c r="K98" s="2">
        <v>109788158.95000003</v>
      </c>
      <c r="N98">
        <v>1</v>
      </c>
      <c r="O98" s="167"/>
      <c r="P98" s="23"/>
      <c r="Q98" s="23"/>
      <c r="R98"/>
      <c r="S98" s="2">
        <v>12245903.539999999</v>
      </c>
      <c r="T98" s="2">
        <v>1225.18</v>
      </c>
      <c r="U98" s="2">
        <v>11695813.0176</v>
      </c>
      <c r="V98" s="2">
        <v>72.099999999999994</v>
      </c>
      <c r="W98" s="161">
        <f t="shared" si="17"/>
        <v>548995175.29759991</v>
      </c>
      <c r="X98">
        <f t="shared" ref="X98:X108" si="18">I98+N98</f>
        <v>2</v>
      </c>
    </row>
    <row r="99" spans="1:24">
      <c r="A99" s="38">
        <v>44074</v>
      </c>
      <c r="B99" s="25">
        <v>432608480.41000003</v>
      </c>
      <c r="C99" s="2">
        <v>399207505.98000002</v>
      </c>
      <c r="D99" s="5">
        <f>SILVX!C101</f>
        <v>4.5999999999999999E-2</v>
      </c>
      <c r="E99" s="6">
        <f t="shared" si="14"/>
        <v>19102144.115460001</v>
      </c>
      <c r="F99" s="6">
        <f t="shared" si="15"/>
        <v>-1757666.2154599428</v>
      </c>
      <c r="G99" s="8">
        <f t="shared" si="12"/>
        <v>17344477.900000058</v>
      </c>
      <c r="H99" s="25">
        <f t="shared" si="13"/>
        <v>33400974.430000007</v>
      </c>
      <c r="I99" s="24">
        <v>1</v>
      </c>
      <c r="J99" s="166">
        <f t="shared" si="16"/>
        <v>44074</v>
      </c>
      <c r="K99" s="2">
        <v>110423069.33000001</v>
      </c>
      <c r="N99">
        <v>1</v>
      </c>
      <c r="O99" s="167"/>
      <c r="P99" s="23"/>
      <c r="Q99" s="23"/>
      <c r="R99"/>
      <c r="S99" s="2">
        <v>12016693.289999999</v>
      </c>
      <c r="T99" s="2">
        <v>1484.34</v>
      </c>
      <c r="U99" s="2">
        <v>12781845.26</v>
      </c>
      <c r="V99" s="2">
        <v>198.44</v>
      </c>
      <c r="W99" s="161">
        <f t="shared" si="17"/>
        <v>567831771.07000005</v>
      </c>
      <c r="X99">
        <f t="shared" si="18"/>
        <v>2</v>
      </c>
    </row>
    <row r="100" spans="1:24">
      <c r="A100" s="38">
        <v>44104</v>
      </c>
      <c r="B100" s="25">
        <v>420508571.61000001</v>
      </c>
      <c r="C100" s="2">
        <v>384767812.38999999</v>
      </c>
      <c r="D100" s="5">
        <f>SILVX!C102</f>
        <v>-2.7099999999999999E-2</v>
      </c>
      <c r="E100" s="6">
        <f t="shared" si="14"/>
        <v>-11723689.819111001</v>
      </c>
      <c r="F100" s="6">
        <f t="shared" si="15"/>
        <v>-376218.98088902235</v>
      </c>
      <c r="G100" s="8">
        <f t="shared" si="12"/>
        <v>-12099908.800000023</v>
      </c>
      <c r="H100" s="25">
        <f t="shared" si="13"/>
        <v>35740759.220000029</v>
      </c>
      <c r="I100" s="24">
        <v>1</v>
      </c>
      <c r="J100" s="166">
        <f t="shared" si="16"/>
        <v>44104</v>
      </c>
      <c r="K100" s="2">
        <v>111292153.44</v>
      </c>
      <c r="N100">
        <v>1</v>
      </c>
      <c r="O100" s="167"/>
      <c r="P100" s="23"/>
      <c r="Q100" s="23"/>
      <c r="R100"/>
      <c r="S100" s="2">
        <v>11648712.25</v>
      </c>
      <c r="T100" s="2">
        <v>1225.23</v>
      </c>
      <c r="U100" s="2">
        <v>12237696.880000001</v>
      </c>
      <c r="V100" s="2">
        <v>12732.64</v>
      </c>
      <c r="W100" s="161">
        <f t="shared" si="17"/>
        <v>555701092.04999995</v>
      </c>
      <c r="X100">
        <f t="shared" si="18"/>
        <v>2</v>
      </c>
    </row>
    <row r="101" spans="1:24">
      <c r="A101" s="38">
        <v>44135</v>
      </c>
      <c r="B101" s="25">
        <v>400700390.82999998</v>
      </c>
      <c r="C101" s="2">
        <v>360112571.88</v>
      </c>
      <c r="D101" s="5">
        <f>SILVX!C103</f>
        <v>-2.0499999999999997E-2</v>
      </c>
      <c r="E101" s="6">
        <f t="shared" si="14"/>
        <v>-8620425.7180049997</v>
      </c>
      <c r="F101" s="6">
        <f t="shared" si="15"/>
        <v>-11187755.061995029</v>
      </c>
      <c r="G101" s="8">
        <f t="shared" si="12"/>
        <v>-19808180.780000031</v>
      </c>
      <c r="H101" s="25">
        <f t="shared" si="13"/>
        <v>40587818.949999988</v>
      </c>
      <c r="I101" s="24">
        <v>1</v>
      </c>
      <c r="J101" s="166">
        <f t="shared" si="16"/>
        <v>44135</v>
      </c>
      <c r="K101" s="2">
        <v>110392446.14</v>
      </c>
      <c r="N101">
        <v>1</v>
      </c>
      <c r="O101" s="167"/>
      <c r="P101" s="23"/>
      <c r="Q101" s="23"/>
      <c r="R101"/>
      <c r="S101" s="2">
        <v>11691943.619999999</v>
      </c>
      <c r="T101" s="2">
        <v>5967.84</v>
      </c>
      <c r="U101" s="2">
        <v>12139091.58</v>
      </c>
      <c r="V101" s="2">
        <v>72.94</v>
      </c>
      <c r="W101" s="161">
        <f t="shared" si="17"/>
        <v>534929912.94999993</v>
      </c>
      <c r="X101">
        <f t="shared" si="18"/>
        <v>2</v>
      </c>
    </row>
    <row r="102" spans="1:24">
      <c r="A102" s="38">
        <v>44165</v>
      </c>
      <c r="B102" s="25">
        <v>429090913.71000004</v>
      </c>
      <c r="C102" s="2">
        <v>383089588.23000002</v>
      </c>
      <c r="D102" s="5">
        <f>SILVX!C104</f>
        <v>7.0300000000000001E-2</v>
      </c>
      <c r="E102" s="6">
        <f t="shared" si="14"/>
        <v>28169237.475348998</v>
      </c>
      <c r="F102" s="6">
        <f t="shared" si="15"/>
        <v>221285.4046510458</v>
      </c>
      <c r="G102" s="8">
        <f t="shared" si="12"/>
        <v>28390522.880000044</v>
      </c>
      <c r="H102" s="25">
        <f t="shared" si="13"/>
        <v>46001325.480000019</v>
      </c>
      <c r="I102" s="24">
        <v>1</v>
      </c>
      <c r="J102" s="166">
        <f t="shared" si="16"/>
        <v>44165</v>
      </c>
      <c r="K102" s="2">
        <v>112212744.42</v>
      </c>
      <c r="N102" s="95">
        <v>1</v>
      </c>
      <c r="O102" s="167"/>
      <c r="P102" s="23"/>
      <c r="Q102" s="23"/>
      <c r="S102" s="2">
        <v>12049119.23</v>
      </c>
      <c r="T102" s="2">
        <v>763.73</v>
      </c>
      <c r="U102" s="2">
        <v>12770051.189999999</v>
      </c>
      <c r="V102" s="2">
        <v>72.599999999999994</v>
      </c>
      <c r="W102" s="161">
        <f t="shared" si="17"/>
        <v>566123664.88000011</v>
      </c>
      <c r="X102">
        <f t="shared" si="18"/>
        <v>2</v>
      </c>
    </row>
    <row r="103" spans="1:24">
      <c r="A103" s="38">
        <v>44196</v>
      </c>
      <c r="B103" s="25">
        <v>437317115.43000007</v>
      </c>
      <c r="C103" s="2">
        <v>389083264.11000001</v>
      </c>
      <c r="D103" s="5">
        <f>SILVX!C105</f>
        <v>3.7599999999999995E-2</v>
      </c>
      <c r="E103" s="6">
        <f t="shared" si="14"/>
        <v>16133818.355495999</v>
      </c>
      <c r="F103" s="6">
        <f t="shared" si="15"/>
        <v>-7907616.6354959607</v>
      </c>
      <c r="G103" s="8">
        <f t="shared" si="12"/>
        <v>8226201.7200000379</v>
      </c>
      <c r="H103" s="25">
        <f t="shared" si="13"/>
        <v>48233851.320000052</v>
      </c>
      <c r="I103" s="24">
        <v>1</v>
      </c>
      <c r="J103" s="166">
        <f t="shared" si="16"/>
        <v>44196</v>
      </c>
      <c r="K103" s="2">
        <v>106465768.25999999</v>
      </c>
      <c r="N103">
        <v>1</v>
      </c>
      <c r="O103" s="167"/>
      <c r="P103" s="23"/>
      <c r="Q103" s="23"/>
      <c r="R103"/>
      <c r="S103" s="2">
        <v>12562644.43</v>
      </c>
      <c r="T103" s="2">
        <v>612.87</v>
      </c>
      <c r="U103" s="2">
        <v>13424267.24</v>
      </c>
      <c r="V103" s="2">
        <v>72.760000000000005</v>
      </c>
      <c r="W103" s="161">
        <f t="shared" si="17"/>
        <v>569770480.99000001</v>
      </c>
      <c r="X103">
        <f t="shared" si="18"/>
        <v>2</v>
      </c>
    </row>
    <row r="104" spans="1:24">
      <c r="A104" s="38">
        <v>44227</v>
      </c>
      <c r="B104" s="25">
        <v>419408727.57000005</v>
      </c>
      <c r="C104" s="2">
        <v>369269338.23000002</v>
      </c>
      <c r="D104" s="5">
        <f>SILVX!C106</f>
        <v>-3.1099999999999999E-2</v>
      </c>
      <c r="E104" s="6">
        <f t="shared" si="14"/>
        <v>-13600562.289873002</v>
      </c>
      <c r="F104" s="6">
        <f t="shared" si="15"/>
        <v>-4307825.5701270103</v>
      </c>
      <c r="G104" s="8">
        <f t="shared" si="12"/>
        <v>-17908387.860000014</v>
      </c>
      <c r="H104" s="25">
        <f t="shared" si="13"/>
        <v>50139389.340000033</v>
      </c>
      <c r="I104" s="24">
        <v>1</v>
      </c>
      <c r="J104" s="166">
        <f t="shared" si="16"/>
        <v>44227</v>
      </c>
      <c r="K104" s="2">
        <v>102082328.37000003</v>
      </c>
      <c r="N104">
        <v>1</v>
      </c>
      <c r="O104" s="167"/>
      <c r="P104" s="23"/>
      <c r="Q104" s="23"/>
      <c r="R104"/>
      <c r="S104" s="2">
        <v>13573161.26</v>
      </c>
      <c r="T104" s="2">
        <v>42303.94</v>
      </c>
      <c r="U104" s="2">
        <v>12213959.82</v>
      </c>
      <c r="V104" s="2">
        <v>72.849999999999994</v>
      </c>
      <c r="W104" s="161">
        <f t="shared" si="17"/>
        <v>547320553.81000006</v>
      </c>
      <c r="X104">
        <f t="shared" si="18"/>
        <v>2</v>
      </c>
    </row>
    <row r="105" spans="1:24">
      <c r="A105" s="38">
        <v>44255</v>
      </c>
      <c r="B105" s="25">
        <v>411445520.17000002</v>
      </c>
      <c r="C105" s="2">
        <v>361636608.19</v>
      </c>
      <c r="D105" s="5">
        <f>SILVX!C107</f>
        <v>1.5E-3</v>
      </c>
      <c r="E105" s="6">
        <f t="shared" si="14"/>
        <v>629113.09135500004</v>
      </c>
      <c r="F105" s="6">
        <f t="shared" si="15"/>
        <v>-8592320.4913550615</v>
      </c>
      <c r="G105" s="8">
        <f t="shared" si="12"/>
        <v>-7963207.4000000618</v>
      </c>
      <c r="H105" s="25">
        <f t="shared" si="13"/>
        <v>49808911.980000019</v>
      </c>
      <c r="I105" s="24">
        <v>1</v>
      </c>
      <c r="J105" s="166">
        <f t="shared" si="16"/>
        <v>44255</v>
      </c>
      <c r="K105" s="2">
        <v>98862038.890000001</v>
      </c>
      <c r="N105">
        <v>1</v>
      </c>
      <c r="O105" s="167"/>
      <c r="P105" s="23"/>
      <c r="Q105" s="23"/>
      <c r="R105"/>
      <c r="S105" s="2">
        <v>13975036.619999999</v>
      </c>
      <c r="T105" s="2">
        <v>722.11</v>
      </c>
      <c r="U105" s="2">
        <v>12255440.4</v>
      </c>
      <c r="V105" s="2">
        <v>73.22</v>
      </c>
      <c r="W105" s="161">
        <f t="shared" si="17"/>
        <v>536538831.41000003</v>
      </c>
      <c r="X105">
        <f t="shared" si="18"/>
        <v>2</v>
      </c>
    </row>
    <row r="106" spans="1:24">
      <c r="A106" s="38">
        <v>44286</v>
      </c>
      <c r="B106" s="14">
        <v>419256006.05000001</v>
      </c>
      <c r="C106" s="2">
        <v>366560143.48000002</v>
      </c>
      <c r="D106" s="5">
        <f>SILVX!C108</f>
        <v>2.3599999999999999E-2</v>
      </c>
      <c r="E106" s="6">
        <f t="shared" si="14"/>
        <v>9710114.2760119997</v>
      </c>
      <c r="F106" s="6">
        <f t="shared" si="15"/>
        <v>-1899628.3960120082</v>
      </c>
      <c r="G106" s="8">
        <f t="shared" si="12"/>
        <v>7810485.8799999915</v>
      </c>
      <c r="H106" s="25">
        <f t="shared" si="13"/>
        <v>52695862.569999993</v>
      </c>
      <c r="I106" s="24">
        <v>1</v>
      </c>
      <c r="J106" s="166">
        <f t="shared" si="16"/>
        <v>44286</v>
      </c>
      <c r="K106" s="2">
        <v>98920230.599999994</v>
      </c>
      <c r="N106">
        <v>1</v>
      </c>
      <c r="O106" s="167"/>
      <c r="P106" s="23"/>
      <c r="Q106" s="23"/>
      <c r="R106"/>
      <c r="S106" s="2">
        <v>14247315.810000001</v>
      </c>
      <c r="T106" s="2">
        <v>612.51</v>
      </c>
      <c r="U106" s="2">
        <v>12936460.289999999</v>
      </c>
      <c r="V106" s="2">
        <v>78603.17</v>
      </c>
      <c r="W106" s="161">
        <f t="shared" si="17"/>
        <v>545439228.42999995</v>
      </c>
      <c r="X106">
        <f t="shared" si="18"/>
        <v>2</v>
      </c>
    </row>
    <row r="107" spans="1:24">
      <c r="A107" s="38">
        <v>44316</v>
      </c>
      <c r="B107" s="25">
        <v>436036303.91000003</v>
      </c>
      <c r="C107" s="2">
        <v>381814196.72000003</v>
      </c>
      <c r="D107" s="5">
        <f>SILVX!C109</f>
        <v>4.7500000000000001E-2</v>
      </c>
      <c r="E107" s="6">
        <f t="shared" ref="E107:E145" si="19">SUM(D107*B106)</f>
        <v>19914660.287374999</v>
      </c>
      <c r="F107" s="6">
        <f t="shared" ref="F107:F145" si="20">B107-(E107+B106)</f>
        <v>-3134362.427374959</v>
      </c>
      <c r="G107" s="8">
        <f t="shared" ref="G107:G145" si="21">E107+F107</f>
        <v>16780297.86000004</v>
      </c>
      <c r="H107" s="25">
        <f t="shared" si="13"/>
        <v>54222107.189999998</v>
      </c>
      <c r="I107" s="24">
        <v>1</v>
      </c>
      <c r="J107" s="166">
        <f t="shared" si="16"/>
        <v>44316</v>
      </c>
      <c r="K107" s="2">
        <v>100996884.38</v>
      </c>
      <c r="N107">
        <v>1</v>
      </c>
      <c r="R107"/>
      <c r="S107" s="2">
        <v>15648618.390000001</v>
      </c>
      <c r="T107" s="2">
        <v>612.57000000000005</v>
      </c>
      <c r="U107" s="2">
        <v>13482434.59</v>
      </c>
      <c r="V107" s="2">
        <v>75963.25</v>
      </c>
      <c r="W107" s="161">
        <f t="shared" si="17"/>
        <v>566240817.09000003</v>
      </c>
      <c r="X107">
        <f t="shared" si="18"/>
        <v>2</v>
      </c>
    </row>
    <row r="108" spans="1:24">
      <c r="A108" s="38">
        <v>44347</v>
      </c>
      <c r="B108" s="25">
        <v>431957367</v>
      </c>
      <c r="C108" s="2">
        <v>376719695.74000001</v>
      </c>
      <c r="D108" s="5">
        <f>SILVX!C110</f>
        <v>5.0000000000000001E-4</v>
      </c>
      <c r="E108" s="6">
        <f t="shared" si="19"/>
        <v>218018.15195500001</v>
      </c>
      <c r="F108" s="6">
        <f t="shared" si="20"/>
        <v>-4296955.0619550347</v>
      </c>
      <c r="G108" s="8">
        <f t="shared" si="21"/>
        <v>-4078936.9100000346</v>
      </c>
      <c r="H108" s="25">
        <f t="shared" si="13"/>
        <v>55237671.25999999</v>
      </c>
      <c r="I108" s="24">
        <v>1</v>
      </c>
      <c r="J108" s="166">
        <f t="shared" si="16"/>
        <v>44347</v>
      </c>
      <c r="K108" s="2">
        <v>100360028.22</v>
      </c>
      <c r="N108">
        <v>1</v>
      </c>
      <c r="R108"/>
      <c r="S108" s="2">
        <v>15690201.66</v>
      </c>
      <c r="T108" s="2">
        <v>612.73</v>
      </c>
      <c r="U108" s="2">
        <v>13504785.550000001</v>
      </c>
      <c r="V108" s="2">
        <v>75964.899999999994</v>
      </c>
      <c r="W108" s="161">
        <f t="shared" si="17"/>
        <v>561588960.05999994</v>
      </c>
      <c r="X108">
        <f t="shared" si="18"/>
        <v>2</v>
      </c>
    </row>
    <row r="109" spans="1:24">
      <c r="A109" s="38">
        <v>44377</v>
      </c>
      <c r="B109" s="25">
        <v>443720239.19</v>
      </c>
      <c r="C109" s="2">
        <v>386582772.39999998</v>
      </c>
      <c r="D109" s="5">
        <f>SILVX!C111</f>
        <v>3.2199999999999999E-2</v>
      </c>
      <c r="E109" s="6">
        <f t="shared" si="19"/>
        <v>13909027.217399999</v>
      </c>
      <c r="F109" s="6">
        <f t="shared" si="20"/>
        <v>-2146155.0274000168</v>
      </c>
      <c r="G109" s="8">
        <f t="shared" si="21"/>
        <v>11762872.189999983</v>
      </c>
      <c r="H109" s="25">
        <f t="shared" si="13"/>
        <v>57137466.790000021</v>
      </c>
      <c r="I109" s="24">
        <v>1</v>
      </c>
      <c r="J109" s="166">
        <f t="shared" si="16"/>
        <v>44377</v>
      </c>
      <c r="K109" s="2">
        <v>100663088.84</v>
      </c>
      <c r="N109">
        <v>1</v>
      </c>
      <c r="O109" s="161">
        <v>16668833.15</v>
      </c>
      <c r="R109">
        <v>1</v>
      </c>
      <c r="S109" s="2">
        <v>15563795.92</v>
      </c>
      <c r="T109" s="2">
        <v>612.87</v>
      </c>
      <c r="U109" s="2">
        <v>14059160.33</v>
      </c>
      <c r="V109" s="2">
        <v>99997.01</v>
      </c>
      <c r="W109" s="161">
        <f t="shared" si="17"/>
        <v>590775727.30999994</v>
      </c>
      <c r="X109">
        <f t="shared" ref="X109:X136" si="22">I109+N109+R109</f>
        <v>3</v>
      </c>
    </row>
    <row r="110" spans="1:24">
      <c r="A110" s="38">
        <v>44408</v>
      </c>
      <c r="B110" s="25">
        <v>454284190.38</v>
      </c>
      <c r="C110" s="2">
        <v>394448516.87</v>
      </c>
      <c r="D110" s="5">
        <f>SILVX!C112</f>
        <v>2.81E-2</v>
      </c>
      <c r="E110" s="6">
        <f t="shared" si="19"/>
        <v>12468538.721239001</v>
      </c>
      <c r="F110" s="6">
        <f t="shared" si="20"/>
        <v>-1904587.5312390327</v>
      </c>
      <c r="G110" s="8">
        <f t="shared" si="21"/>
        <v>10563951.189999968</v>
      </c>
      <c r="H110" s="25">
        <f t="shared" ref="H110:H145" si="23">B110-C110</f>
        <v>59835673.50999999</v>
      </c>
      <c r="I110" s="24">
        <v>1</v>
      </c>
      <c r="J110" s="166">
        <f t="shared" si="16"/>
        <v>44408</v>
      </c>
      <c r="K110" s="2">
        <v>102019046</v>
      </c>
      <c r="N110" s="95">
        <v>1</v>
      </c>
      <c r="O110" s="161">
        <v>24235184.559999999</v>
      </c>
      <c r="R110" s="95">
        <v>1</v>
      </c>
      <c r="S110" s="2">
        <v>15916792.810000001</v>
      </c>
      <c r="T110" s="2">
        <v>5643.66</v>
      </c>
      <c r="U110" s="2">
        <v>14467542.039999999</v>
      </c>
      <c r="V110" s="2">
        <v>100378.1</v>
      </c>
      <c r="W110" s="161">
        <f t="shared" si="17"/>
        <v>611028777.54999983</v>
      </c>
      <c r="X110">
        <f t="shared" si="22"/>
        <v>3</v>
      </c>
    </row>
    <row r="111" spans="1:24">
      <c r="A111" s="38">
        <v>44439</v>
      </c>
      <c r="B111" s="25">
        <v>467165456.61000001</v>
      </c>
      <c r="C111" s="2">
        <v>403127840.24000001</v>
      </c>
      <c r="D111" s="5">
        <f>SILVX!C113</f>
        <v>2.2000000000000002E-2</v>
      </c>
      <c r="E111" s="6">
        <f t="shared" si="19"/>
        <v>9994252.18836</v>
      </c>
      <c r="F111" s="6">
        <f t="shared" si="20"/>
        <v>2887014.0416400433</v>
      </c>
      <c r="G111" s="8">
        <f t="shared" si="21"/>
        <v>12881266.230000043</v>
      </c>
      <c r="H111" s="25">
        <f t="shared" si="23"/>
        <v>64037616.370000005</v>
      </c>
      <c r="I111" s="24">
        <v>1</v>
      </c>
      <c r="J111" s="166">
        <f t="shared" si="16"/>
        <v>44439</v>
      </c>
      <c r="K111" s="2">
        <v>103316033.42</v>
      </c>
      <c r="N111" s="95">
        <v>1</v>
      </c>
      <c r="O111" s="161">
        <v>31673259.170000002</v>
      </c>
      <c r="R111" s="95">
        <v>1</v>
      </c>
      <c r="S111" s="2">
        <v>16280128.390000001</v>
      </c>
      <c r="T111" s="2">
        <v>612.99</v>
      </c>
      <c r="U111" s="2">
        <v>15165351.66</v>
      </c>
      <c r="V111" s="2">
        <v>100391.02</v>
      </c>
      <c r="W111" s="161">
        <f t="shared" si="17"/>
        <v>633701233.25999987</v>
      </c>
      <c r="X111">
        <f t="shared" si="22"/>
        <v>3</v>
      </c>
    </row>
    <row r="112" spans="1:24">
      <c r="A112" s="38">
        <v>44469</v>
      </c>
      <c r="B112" s="25">
        <v>441484967.19</v>
      </c>
      <c r="C112" s="2">
        <v>378759308.52999997</v>
      </c>
      <c r="D112" s="5">
        <f>SILVX!C114</f>
        <v>-5.9000000000000004E-2</v>
      </c>
      <c r="E112" s="6">
        <f t="shared" si="19"/>
        <v>-27562761.939990003</v>
      </c>
      <c r="F112" s="6">
        <f t="shared" si="20"/>
        <v>1882272.5199899673</v>
      </c>
      <c r="G112" s="8">
        <f t="shared" si="21"/>
        <v>-25680489.420000035</v>
      </c>
      <c r="H112" s="25">
        <f t="shared" si="23"/>
        <v>62725658.660000026</v>
      </c>
      <c r="I112" s="24">
        <v>1</v>
      </c>
      <c r="J112" s="166">
        <f t="shared" si="16"/>
        <v>44469</v>
      </c>
      <c r="K112" s="2">
        <v>101301059.19</v>
      </c>
      <c r="N112" s="95">
        <v>1</v>
      </c>
      <c r="O112" s="161">
        <v>35172259.170000002</v>
      </c>
      <c r="R112" s="95">
        <v>1</v>
      </c>
      <c r="S112" s="2">
        <v>15245365.74</v>
      </c>
      <c r="T112" s="2">
        <v>612.95000000000005</v>
      </c>
      <c r="U112" s="2">
        <v>14715037.76</v>
      </c>
      <c r="V112" s="2">
        <v>71252.42</v>
      </c>
      <c r="W112" s="161">
        <f t="shared" si="17"/>
        <v>607990554.41999996</v>
      </c>
      <c r="X112">
        <f t="shared" si="22"/>
        <v>3</v>
      </c>
    </row>
    <row r="113" spans="1:24">
      <c r="A113" s="38">
        <v>44500</v>
      </c>
      <c r="B113" s="25">
        <v>476930475.94000006</v>
      </c>
      <c r="C113" s="2">
        <v>407941963.22000003</v>
      </c>
      <c r="D113" s="5">
        <f>SILVX!C115</f>
        <v>8.199999999999999E-2</v>
      </c>
      <c r="E113" s="6">
        <f t="shared" si="19"/>
        <v>36201767.309579998</v>
      </c>
      <c r="F113" s="6">
        <f t="shared" si="20"/>
        <v>-756258.55957996845</v>
      </c>
      <c r="G113" s="8">
        <f t="shared" si="21"/>
        <v>35445508.75000003</v>
      </c>
      <c r="H113" s="25">
        <f t="shared" si="23"/>
        <v>68988512.720000029</v>
      </c>
      <c r="I113" s="24">
        <v>1</v>
      </c>
      <c r="J113" s="166">
        <f t="shared" si="16"/>
        <v>44500</v>
      </c>
      <c r="K113" s="2">
        <v>103321473.64</v>
      </c>
      <c r="N113" s="95">
        <v>1</v>
      </c>
      <c r="O113" s="161">
        <v>40671640.219999999</v>
      </c>
      <c r="R113" s="95">
        <v>1</v>
      </c>
      <c r="S113" s="2">
        <v>15636568.99</v>
      </c>
      <c r="T113" s="2">
        <v>2720.91</v>
      </c>
      <c r="U113" s="2">
        <v>15261254.439999999</v>
      </c>
      <c r="V113" s="2">
        <v>75331.81</v>
      </c>
      <c r="W113" s="161">
        <f t="shared" si="17"/>
        <v>651899465.95000005</v>
      </c>
      <c r="X113">
        <f t="shared" si="22"/>
        <v>3</v>
      </c>
    </row>
    <row r="114" spans="1:24">
      <c r="A114" s="38">
        <v>44530</v>
      </c>
      <c r="B114" s="25">
        <v>465669758.57999998</v>
      </c>
      <c r="C114" s="2">
        <v>397655338.00999999</v>
      </c>
      <c r="D114" s="5">
        <f>SILVX!C116</f>
        <v>-1.7399999999999999E-2</v>
      </c>
      <c r="E114" s="6">
        <f t="shared" si="19"/>
        <v>-8298590.2813560003</v>
      </c>
      <c r="F114" s="6">
        <f t="shared" si="20"/>
        <v>-2962127.0786440969</v>
      </c>
      <c r="G114" s="8">
        <f t="shared" si="21"/>
        <v>-11260717.360000096</v>
      </c>
      <c r="H114" s="25">
        <f t="shared" si="23"/>
        <v>68014420.569999993</v>
      </c>
      <c r="I114" s="24">
        <v>1</v>
      </c>
      <c r="J114" s="166">
        <f t="shared" si="16"/>
        <v>44530</v>
      </c>
      <c r="K114" s="2">
        <v>102667203.64</v>
      </c>
      <c r="N114" s="95">
        <v>1</v>
      </c>
      <c r="O114" s="161">
        <v>42789449.670000002</v>
      </c>
      <c r="R114" s="95">
        <v>1</v>
      </c>
      <c r="S114" s="2">
        <v>16858970.82</v>
      </c>
      <c r="T114" s="2">
        <v>613.11</v>
      </c>
      <c r="U114" s="2">
        <v>15122671.970000001</v>
      </c>
      <c r="V114" s="2">
        <v>73253.84</v>
      </c>
      <c r="W114" s="161">
        <f t="shared" si="17"/>
        <v>643181921.63000011</v>
      </c>
      <c r="X114">
        <f t="shared" si="22"/>
        <v>3</v>
      </c>
    </row>
    <row r="115" spans="1:24">
      <c r="A115" s="38">
        <v>44561</v>
      </c>
      <c r="B115" s="25">
        <v>486521976.56999999</v>
      </c>
      <c r="C115" s="2">
        <v>412518478.22000003</v>
      </c>
      <c r="D115" s="5">
        <f>SILVX!C117</f>
        <v>0.04</v>
      </c>
      <c r="E115" s="6">
        <f t="shared" si="19"/>
        <v>18626790.343199998</v>
      </c>
      <c r="F115" s="6">
        <f t="shared" si="20"/>
        <v>2225427.6467999816</v>
      </c>
      <c r="G115" s="8">
        <f t="shared" si="21"/>
        <v>20852217.98999998</v>
      </c>
      <c r="H115" s="25">
        <f t="shared" si="23"/>
        <v>74003498.349999964</v>
      </c>
      <c r="I115" s="24">
        <v>1</v>
      </c>
      <c r="J115" s="166">
        <f t="shared" si="16"/>
        <v>44561</v>
      </c>
      <c r="K115" s="2">
        <v>105468759.73999999</v>
      </c>
      <c r="N115" s="95">
        <v>1</v>
      </c>
      <c r="O115" s="161">
        <v>46191692.939999998</v>
      </c>
      <c r="R115" s="95">
        <v>1</v>
      </c>
      <c r="S115" s="2">
        <v>18539880.34</v>
      </c>
      <c r="T115" s="2">
        <v>613.80999999999995</v>
      </c>
      <c r="U115" s="2">
        <v>16358739.01</v>
      </c>
      <c r="V115" s="2">
        <v>74023.55</v>
      </c>
      <c r="W115" s="161">
        <f t="shared" si="17"/>
        <v>673155685.95999992</v>
      </c>
      <c r="X115">
        <f t="shared" si="22"/>
        <v>3</v>
      </c>
    </row>
    <row r="116" spans="1:24">
      <c r="A116" s="38">
        <v>44592</v>
      </c>
      <c r="B116" s="25">
        <v>446445344.23000002</v>
      </c>
      <c r="C116" s="2">
        <v>379586768.38</v>
      </c>
      <c r="D116" s="5">
        <f>SILVX!C118</f>
        <v>-7.1599999999999997E-2</v>
      </c>
      <c r="E116" s="6">
        <f t="shared" si="19"/>
        <v>-34834973.522411995</v>
      </c>
      <c r="F116" s="6">
        <f t="shared" si="20"/>
        <v>-5241658.8175879717</v>
      </c>
      <c r="G116" s="8">
        <f t="shared" si="21"/>
        <v>-40076632.339999966</v>
      </c>
      <c r="H116" s="25">
        <f t="shared" si="23"/>
        <v>66858575.850000024</v>
      </c>
      <c r="I116" s="24">
        <v>1</v>
      </c>
      <c r="J116" s="166">
        <f t="shared" si="16"/>
        <v>44592</v>
      </c>
      <c r="K116" s="2">
        <v>101644635.95000002</v>
      </c>
      <c r="N116" s="95">
        <v>1</v>
      </c>
      <c r="O116" s="161">
        <v>42778136.309999995</v>
      </c>
      <c r="R116" s="95">
        <v>1</v>
      </c>
      <c r="S116" s="2">
        <v>17175567.600000001</v>
      </c>
      <c r="T116" s="2">
        <v>7271.85</v>
      </c>
      <c r="U116" s="2">
        <v>15965386.99</v>
      </c>
      <c r="V116" s="2">
        <v>71716.78</v>
      </c>
      <c r="W116" s="161">
        <f t="shared" si="17"/>
        <v>624088059.71000004</v>
      </c>
      <c r="X116">
        <f t="shared" si="22"/>
        <v>3</v>
      </c>
    </row>
    <row r="117" spans="1:24">
      <c r="A117" s="38">
        <v>44620</v>
      </c>
      <c r="B117" s="25">
        <v>406211237.73999995</v>
      </c>
      <c r="C117" s="2">
        <v>350395248.13999999</v>
      </c>
      <c r="D117" s="5">
        <f>SILVX!C119</f>
        <v>-4.1900000000000007E-2</v>
      </c>
      <c r="E117" s="6">
        <f t="shared" si="19"/>
        <v>-18706059.923237003</v>
      </c>
      <c r="F117" s="6">
        <f t="shared" si="20"/>
        <v>-21528046.566763043</v>
      </c>
      <c r="G117" s="8">
        <f t="shared" si="21"/>
        <v>-40234106.490000047</v>
      </c>
      <c r="H117" s="25">
        <f t="shared" si="23"/>
        <v>55815989.599999964</v>
      </c>
      <c r="I117" s="24">
        <v>1</v>
      </c>
      <c r="J117" s="166">
        <f t="shared" si="16"/>
        <v>44620</v>
      </c>
      <c r="K117" s="2">
        <v>97658614.37000002</v>
      </c>
      <c r="N117" s="95">
        <v>1</v>
      </c>
      <c r="O117" s="161">
        <v>46428272.890000001</v>
      </c>
      <c r="R117" s="95">
        <v>1</v>
      </c>
      <c r="S117" s="2">
        <v>16931595.149999999</v>
      </c>
      <c r="T117" s="2">
        <v>10184.450000000001</v>
      </c>
      <c r="U117" s="2">
        <v>15731733.85</v>
      </c>
      <c r="V117" s="2">
        <v>70729.61</v>
      </c>
      <c r="W117" s="161">
        <f t="shared" si="17"/>
        <v>583042368.06000006</v>
      </c>
      <c r="X117">
        <f t="shared" si="22"/>
        <v>3</v>
      </c>
    </row>
    <row r="118" spans="1:24">
      <c r="A118" s="38">
        <v>44651</v>
      </c>
      <c r="B118" s="25">
        <v>429637239.66000003</v>
      </c>
      <c r="C118" s="2">
        <v>366638342.36000001</v>
      </c>
      <c r="D118" s="5">
        <f>SILVX!C120</f>
        <v>4.8600000000000004E-2</v>
      </c>
      <c r="E118" s="6">
        <f t="shared" si="19"/>
        <v>19741866.154163998</v>
      </c>
      <c r="F118" s="6">
        <f t="shared" si="20"/>
        <v>3684135.76583606</v>
      </c>
      <c r="G118" s="8">
        <f t="shared" si="21"/>
        <v>23426001.920000058</v>
      </c>
      <c r="H118" s="25">
        <f t="shared" si="23"/>
        <v>62998897.300000012</v>
      </c>
      <c r="I118" s="24">
        <v>1</v>
      </c>
      <c r="J118" s="166">
        <f t="shared" si="16"/>
        <v>44651</v>
      </c>
      <c r="K118" s="2">
        <v>97311034.420000017</v>
      </c>
      <c r="N118" s="95">
        <v>1</v>
      </c>
      <c r="O118" s="161">
        <v>50475181.339999989</v>
      </c>
      <c r="R118" s="95">
        <v>1</v>
      </c>
      <c r="S118" s="2">
        <v>17633117.149999999</v>
      </c>
      <c r="T118" s="2">
        <v>615.02</v>
      </c>
      <c r="U118" s="2">
        <v>16427931.98</v>
      </c>
      <c r="V118" s="2">
        <v>71429.259999999995</v>
      </c>
      <c r="W118" s="161">
        <f t="shared" si="17"/>
        <v>611556548.83000004</v>
      </c>
      <c r="X118">
        <f t="shared" si="22"/>
        <v>3</v>
      </c>
    </row>
    <row r="119" spans="1:24">
      <c r="A119" s="38">
        <v>44681</v>
      </c>
      <c r="B119" s="25">
        <v>406928446.44999999</v>
      </c>
      <c r="C119" s="2">
        <v>347764234.58999997</v>
      </c>
      <c r="D119" s="5">
        <f>SILVX!C121</f>
        <v>-3.6600000000000001E-2</v>
      </c>
      <c r="E119" s="6">
        <f t="shared" si="19"/>
        <v>-15724722.971556</v>
      </c>
      <c r="F119" s="6">
        <f t="shared" si="20"/>
        <v>-6984070.2384440303</v>
      </c>
      <c r="G119" s="8">
        <f t="shared" si="21"/>
        <v>-22708793.210000031</v>
      </c>
      <c r="H119" s="25">
        <f t="shared" si="23"/>
        <v>59164211.860000014</v>
      </c>
      <c r="I119" s="24">
        <v>1</v>
      </c>
      <c r="J119" s="166">
        <f t="shared" si="16"/>
        <v>44681</v>
      </c>
      <c r="K119" s="2">
        <v>99073568.840000018</v>
      </c>
      <c r="N119" s="95">
        <v>1</v>
      </c>
      <c r="O119" s="161">
        <v>57090408.179999992</v>
      </c>
      <c r="R119" s="95">
        <v>1</v>
      </c>
      <c r="S119" s="2">
        <v>17284100.09</v>
      </c>
      <c r="T119" s="2">
        <v>615.91999999999996</v>
      </c>
      <c r="U119" s="2">
        <v>15889064.060000001</v>
      </c>
      <c r="V119" s="2">
        <v>69406.880000000005</v>
      </c>
      <c r="W119" s="161">
        <f t="shared" si="17"/>
        <v>596335610.41999996</v>
      </c>
      <c r="X119">
        <f t="shared" si="22"/>
        <v>3</v>
      </c>
    </row>
    <row r="120" spans="1:24">
      <c r="A120" s="38">
        <v>44712</v>
      </c>
      <c r="B120" s="25">
        <v>393246366.26999992</v>
      </c>
      <c r="C120" s="2">
        <v>333656776.89999998</v>
      </c>
      <c r="D120" s="5">
        <f>SILVX!C122</f>
        <v>4.7999999999999996E-3</v>
      </c>
      <c r="E120" s="6">
        <f t="shared" si="19"/>
        <v>1953256.5429599998</v>
      </c>
      <c r="F120" s="6">
        <f t="shared" si="20"/>
        <v>-15635336.722960055</v>
      </c>
      <c r="G120" s="8">
        <f t="shared" si="21"/>
        <v>-13682080.180000056</v>
      </c>
      <c r="H120" s="25">
        <f t="shared" si="23"/>
        <v>59589589.369999945</v>
      </c>
      <c r="I120" s="24">
        <v>1</v>
      </c>
      <c r="J120" s="166">
        <f t="shared" si="16"/>
        <v>44712</v>
      </c>
      <c r="K120" s="2">
        <v>100952544.48999999</v>
      </c>
      <c r="N120" s="95">
        <v>1</v>
      </c>
      <c r="O120" s="161">
        <v>58653202.209999993</v>
      </c>
      <c r="R120" s="95">
        <v>1</v>
      </c>
      <c r="S120" s="2">
        <v>16743853.85</v>
      </c>
      <c r="T120" s="2">
        <v>59039.33</v>
      </c>
      <c r="U120" s="2">
        <v>16035182.93</v>
      </c>
      <c r="V120" s="2">
        <v>64517.31</v>
      </c>
      <c r="W120" s="161">
        <f t="shared" si="17"/>
        <v>585754706.38999987</v>
      </c>
      <c r="X120">
        <f t="shared" si="22"/>
        <v>3</v>
      </c>
    </row>
    <row r="121" spans="1:24">
      <c r="A121" s="38">
        <v>44742</v>
      </c>
      <c r="B121" s="25">
        <v>359019349.60999995</v>
      </c>
      <c r="C121" s="2">
        <v>303445776.89999998</v>
      </c>
      <c r="D121" s="5">
        <f>SILVX!C123</f>
        <v>-6.6600000000000006E-2</v>
      </c>
      <c r="E121" s="6">
        <f t="shared" si="19"/>
        <v>-26190207.993581999</v>
      </c>
      <c r="F121" s="6">
        <f t="shared" si="20"/>
        <v>-8036808.6664179564</v>
      </c>
      <c r="G121" s="8">
        <f t="shared" si="21"/>
        <v>-34227016.659999952</v>
      </c>
      <c r="H121" s="25">
        <f t="shared" si="23"/>
        <v>55573572.709999979</v>
      </c>
      <c r="I121" s="24">
        <v>1</v>
      </c>
      <c r="J121" s="166">
        <f t="shared" si="16"/>
        <v>44742</v>
      </c>
      <c r="K121" s="2">
        <v>99607642.449999958</v>
      </c>
      <c r="N121" s="95">
        <v>1</v>
      </c>
      <c r="O121" s="161">
        <v>61651031.669999994</v>
      </c>
      <c r="R121" s="95">
        <v>1</v>
      </c>
      <c r="S121" s="2">
        <v>16190193.85</v>
      </c>
      <c r="T121" s="2">
        <v>488.96</v>
      </c>
      <c r="U121" s="2">
        <v>15256278.640000001</v>
      </c>
      <c r="V121" s="2">
        <v>63428.79</v>
      </c>
      <c r="W121" s="161">
        <f t="shared" si="17"/>
        <v>551788413.96999991</v>
      </c>
      <c r="X121">
        <f t="shared" si="22"/>
        <v>3</v>
      </c>
    </row>
    <row r="122" spans="1:24">
      <c r="A122" s="38">
        <v>44773</v>
      </c>
      <c r="B122" s="25">
        <v>372868725.01999998</v>
      </c>
      <c r="C122" s="2">
        <v>314196867.44999999</v>
      </c>
      <c r="D122" s="5">
        <f>SILVX!C124</f>
        <v>4.5100000000000001E-2</v>
      </c>
      <c r="E122" s="6">
        <f t="shared" si="19"/>
        <v>16191772.667410998</v>
      </c>
      <c r="F122" s="6">
        <f t="shared" si="20"/>
        <v>-2342397.2574109435</v>
      </c>
      <c r="G122" s="8">
        <f t="shared" si="21"/>
        <v>13849375.410000054</v>
      </c>
      <c r="H122" s="25">
        <f t="shared" si="23"/>
        <v>58671857.569999993</v>
      </c>
      <c r="I122" s="24">
        <v>1</v>
      </c>
      <c r="J122" s="166">
        <f t="shared" si="16"/>
        <v>44773</v>
      </c>
      <c r="K122" s="2">
        <v>101828692.47000004</v>
      </c>
      <c r="N122" s="95">
        <v>1</v>
      </c>
      <c r="O122" s="161">
        <v>67604556.970000014</v>
      </c>
      <c r="R122" s="95">
        <v>1</v>
      </c>
      <c r="S122" s="2">
        <v>17158457.170000002</v>
      </c>
      <c r="T122" s="2">
        <v>16679.099999999999</v>
      </c>
      <c r="U122" s="2">
        <v>16105020.01</v>
      </c>
      <c r="V122" s="2">
        <v>65480.88</v>
      </c>
      <c r="W122" s="161">
        <f t="shared" si="17"/>
        <v>575647611.62</v>
      </c>
      <c r="X122">
        <f t="shared" si="22"/>
        <v>3</v>
      </c>
    </row>
    <row r="123" spans="1:24">
      <c r="A123" s="38">
        <v>44804</v>
      </c>
      <c r="B123" s="25">
        <v>362611949.17000002</v>
      </c>
      <c r="C123" s="2">
        <v>304295642.26999998</v>
      </c>
      <c r="D123" s="5">
        <f>SILVX!C125</f>
        <v>-2.5699999999999997E-2</v>
      </c>
      <c r="E123" s="6">
        <f t="shared" si="19"/>
        <v>-9582726.2330139987</v>
      </c>
      <c r="F123" s="6">
        <f t="shared" si="20"/>
        <v>-674049.6169859767</v>
      </c>
      <c r="G123" s="8">
        <f t="shared" si="21"/>
        <v>-10256775.849999975</v>
      </c>
      <c r="H123" s="25">
        <f t="shared" si="23"/>
        <v>58316306.900000036</v>
      </c>
      <c r="I123" s="24">
        <v>1</v>
      </c>
      <c r="J123" s="166">
        <f t="shared" si="16"/>
        <v>44804</v>
      </c>
      <c r="K123" s="2">
        <v>108777310.31999999</v>
      </c>
      <c r="N123" s="95">
        <v>1</v>
      </c>
      <c r="O123" s="161">
        <v>66903330.259999998</v>
      </c>
      <c r="R123" s="95">
        <v>1</v>
      </c>
      <c r="S123" s="2">
        <v>16722908.49</v>
      </c>
      <c r="T123" s="2">
        <v>840.9</v>
      </c>
      <c r="U123" s="2">
        <v>15662337.550000001</v>
      </c>
      <c r="V123" s="2">
        <v>82234.33</v>
      </c>
      <c r="W123" s="161">
        <f t="shared" si="17"/>
        <v>570760911.01999998</v>
      </c>
      <c r="X123">
        <f t="shared" si="22"/>
        <v>3</v>
      </c>
    </row>
    <row r="124" spans="1:24">
      <c r="A124" s="38">
        <v>44834</v>
      </c>
      <c r="B124" s="25">
        <v>327772257.88</v>
      </c>
      <c r="C124" s="2">
        <v>275421315.44</v>
      </c>
      <c r="D124" s="5">
        <f>SILVX!C126</f>
        <v>-7.7869999999999995E-2</v>
      </c>
      <c r="E124" s="6">
        <f t="shared" si="19"/>
        <v>-28236592.481867898</v>
      </c>
      <c r="F124" s="6">
        <f t="shared" si="20"/>
        <v>-6603098.808132112</v>
      </c>
      <c r="G124" s="8">
        <f t="shared" si="21"/>
        <v>-34839691.290000007</v>
      </c>
      <c r="H124" s="25">
        <f t="shared" si="23"/>
        <v>52350942.439999998</v>
      </c>
      <c r="I124" s="24">
        <v>1</v>
      </c>
      <c r="J124" s="166">
        <f t="shared" si="16"/>
        <v>44834</v>
      </c>
      <c r="K124" s="2">
        <v>107849212.09</v>
      </c>
      <c r="N124" s="95">
        <v>1</v>
      </c>
      <c r="O124" s="161">
        <v>67192169.870000005</v>
      </c>
      <c r="R124" s="95">
        <v>1</v>
      </c>
      <c r="S124" s="2">
        <v>15377924.16</v>
      </c>
      <c r="T124" s="2">
        <v>2968.46</v>
      </c>
      <c r="U124" s="2">
        <v>14281590.25</v>
      </c>
      <c r="V124" s="2">
        <v>66908.69</v>
      </c>
      <c r="W124" s="161">
        <f t="shared" si="17"/>
        <v>532543031.40000004</v>
      </c>
      <c r="X124">
        <f t="shared" si="22"/>
        <v>3</v>
      </c>
    </row>
    <row r="125" spans="1:24">
      <c r="A125" s="38">
        <v>44865</v>
      </c>
      <c r="B125" s="25">
        <v>354266164.18000001</v>
      </c>
      <c r="C125" s="2">
        <v>297186936.52999997</v>
      </c>
      <c r="D125" s="5">
        <f>SILVX!C127</f>
        <v>0.1045</v>
      </c>
      <c r="E125" s="6">
        <f t="shared" si="19"/>
        <v>34252200.948459998</v>
      </c>
      <c r="F125" s="6">
        <f t="shared" si="20"/>
        <v>-7758294.648459971</v>
      </c>
      <c r="G125" s="8">
        <f t="shared" si="21"/>
        <v>26493906.300000027</v>
      </c>
      <c r="H125" s="25">
        <f t="shared" si="23"/>
        <v>57079227.650000036</v>
      </c>
      <c r="I125" s="24">
        <v>1</v>
      </c>
      <c r="J125" s="166">
        <f t="shared" si="16"/>
        <v>44865</v>
      </c>
      <c r="K125" s="2">
        <v>111137593.21000004</v>
      </c>
      <c r="N125" s="95">
        <v>1</v>
      </c>
      <c r="O125" s="161">
        <v>70132495.629999995</v>
      </c>
      <c r="R125" s="95">
        <v>1</v>
      </c>
      <c r="S125" s="2">
        <v>16220978.630000001</v>
      </c>
      <c r="T125" s="2">
        <v>492.55</v>
      </c>
      <c r="U125" s="2">
        <v>15410912.98</v>
      </c>
      <c r="V125" s="2">
        <v>6137.93</v>
      </c>
      <c r="W125" s="161">
        <f t="shared" si="17"/>
        <v>567174775.11000001</v>
      </c>
      <c r="X125">
        <f t="shared" si="22"/>
        <v>3</v>
      </c>
    </row>
    <row r="126" spans="1:24">
      <c r="A126" s="38">
        <v>44895</v>
      </c>
      <c r="B126" s="25">
        <v>371306878.55000001</v>
      </c>
      <c r="C126" s="2">
        <v>310891921.70999998</v>
      </c>
      <c r="D126" s="5">
        <f>SILVX!C128</f>
        <v>4.9000000000000002E-2</v>
      </c>
      <c r="E126" s="6">
        <f t="shared" si="19"/>
        <v>17359042.044819999</v>
      </c>
      <c r="F126" s="6">
        <f t="shared" si="20"/>
        <v>-318327.67482000589</v>
      </c>
      <c r="G126" s="8">
        <f t="shared" si="21"/>
        <v>17040714.369999994</v>
      </c>
      <c r="H126" s="25">
        <f t="shared" si="23"/>
        <v>60414956.840000033</v>
      </c>
      <c r="I126" s="24">
        <v>1</v>
      </c>
      <c r="J126" s="166">
        <f t="shared" ref="J126:J154" si="24">A126</f>
        <v>44895</v>
      </c>
      <c r="K126" s="2">
        <v>114229085.84</v>
      </c>
      <c r="N126" s="95">
        <v>1</v>
      </c>
      <c r="O126" s="161">
        <v>73876959.670000002</v>
      </c>
      <c r="R126" s="95">
        <v>1</v>
      </c>
      <c r="S126" s="2">
        <v>16887060.949999999</v>
      </c>
      <c r="T126" s="2">
        <v>493.29</v>
      </c>
      <c r="U126" s="2">
        <v>16420010.52</v>
      </c>
      <c r="V126" s="2">
        <v>79.63</v>
      </c>
      <c r="W126" s="161">
        <f t="shared" si="17"/>
        <v>592720568.44999993</v>
      </c>
      <c r="X126">
        <f t="shared" si="22"/>
        <v>3</v>
      </c>
    </row>
    <row r="127" spans="1:24">
      <c r="A127" s="38">
        <v>44926</v>
      </c>
      <c r="B127" s="25">
        <v>338573636.64999998</v>
      </c>
      <c r="C127" s="2">
        <v>282486461.37</v>
      </c>
      <c r="D127" s="5">
        <f>SILVX!C129</f>
        <v>-4.0199999999999993E-2</v>
      </c>
      <c r="E127" s="6">
        <f t="shared" si="19"/>
        <v>-14926536.517709998</v>
      </c>
      <c r="F127" s="6">
        <f t="shared" si="20"/>
        <v>-17806705.382290065</v>
      </c>
      <c r="G127" s="8">
        <f t="shared" si="21"/>
        <v>-32733241.900000066</v>
      </c>
      <c r="H127" s="25">
        <f t="shared" si="23"/>
        <v>56087175.279999971</v>
      </c>
      <c r="I127" s="24">
        <v>1</v>
      </c>
      <c r="J127" s="166">
        <f t="shared" si="24"/>
        <v>44926</v>
      </c>
      <c r="K127" s="2">
        <v>113191998.84999999</v>
      </c>
      <c r="N127" s="95">
        <v>1</v>
      </c>
      <c r="O127" s="161">
        <v>71251779.489999995</v>
      </c>
      <c r="R127" s="95">
        <v>1</v>
      </c>
      <c r="S127" s="2">
        <v>15555938.99</v>
      </c>
      <c r="T127" s="2">
        <v>493.91</v>
      </c>
      <c r="U127" s="2">
        <v>14525297.199999999</v>
      </c>
      <c r="V127" s="2">
        <v>79.510000000000005</v>
      </c>
      <c r="W127" s="161">
        <f t="shared" si="17"/>
        <v>553099224.60000002</v>
      </c>
      <c r="X127">
        <f t="shared" si="22"/>
        <v>3</v>
      </c>
    </row>
    <row r="128" spans="1:24">
      <c r="A128" s="38">
        <v>44957</v>
      </c>
      <c r="B128" s="25">
        <v>346461552.86000001</v>
      </c>
      <c r="C128" s="2">
        <v>288722610.64999998</v>
      </c>
      <c r="D128" s="5">
        <f>SILVX!C130</f>
        <v>2.76E-2</v>
      </c>
      <c r="E128" s="6">
        <f t="shared" si="19"/>
        <v>9344632.3715399988</v>
      </c>
      <c r="F128" s="6">
        <f t="shared" si="20"/>
        <v>-1456716.1615399718</v>
      </c>
      <c r="G128" s="8">
        <f t="shared" si="21"/>
        <v>7887916.210000027</v>
      </c>
      <c r="H128" s="25">
        <f t="shared" si="23"/>
        <v>57738942.210000038</v>
      </c>
      <c r="I128" s="24">
        <v>1</v>
      </c>
      <c r="J128" s="166">
        <f t="shared" si="24"/>
        <v>44957</v>
      </c>
      <c r="K128" s="2">
        <v>115587159.47</v>
      </c>
      <c r="N128" s="95">
        <v>1</v>
      </c>
      <c r="O128" s="161">
        <v>73715327.260000005</v>
      </c>
      <c r="R128" s="95">
        <v>1</v>
      </c>
      <c r="S128" s="2">
        <v>16224549.01</v>
      </c>
      <c r="T128" s="2">
        <v>494.62</v>
      </c>
      <c r="U128" s="2">
        <v>15122814.66</v>
      </c>
      <c r="V128" s="2">
        <v>79.86</v>
      </c>
      <c r="W128" s="161">
        <f t="shared" ref="W128:W136" si="25">K128+B128+O128+S128+T128+U128+V128</f>
        <v>567111977.74000001</v>
      </c>
      <c r="X128">
        <f t="shared" si="22"/>
        <v>3</v>
      </c>
    </row>
    <row r="129" spans="1:26">
      <c r="A129" s="38">
        <v>44985</v>
      </c>
      <c r="B129" s="25">
        <f>55749213.15+278764884.24</f>
        <v>334514097.38999999</v>
      </c>
      <c r="C129" s="2">
        <v>278653873.94</v>
      </c>
      <c r="D129" s="5">
        <f>SILVX!C131</f>
        <v>-2.8500000000000001E-2</v>
      </c>
      <c r="E129" s="6">
        <f t="shared" si="19"/>
        <v>-9874154.2565100007</v>
      </c>
      <c r="F129" s="6">
        <f t="shared" si="20"/>
        <v>-2073301.2134900093</v>
      </c>
      <c r="G129" s="8">
        <f t="shared" si="21"/>
        <v>-11947455.47000001</v>
      </c>
      <c r="H129" s="25">
        <f t="shared" si="23"/>
        <v>55860223.449999988</v>
      </c>
      <c r="I129" s="24">
        <v>1</v>
      </c>
      <c r="J129" s="166">
        <f t="shared" si="24"/>
        <v>44985</v>
      </c>
      <c r="K129" s="2">
        <v>113117662.3</v>
      </c>
      <c r="N129" s="95">
        <v>1</v>
      </c>
      <c r="O129" s="161">
        <v>71821782.640000001</v>
      </c>
      <c r="R129" s="95">
        <v>1</v>
      </c>
      <c r="S129" s="2">
        <v>16307382.060000001</v>
      </c>
      <c r="T129" s="2">
        <v>495.32</v>
      </c>
      <c r="U129" s="2">
        <v>14691158.039999999</v>
      </c>
      <c r="V129" s="2">
        <v>79.19</v>
      </c>
      <c r="W129" s="161">
        <f t="shared" si="25"/>
        <v>550452656.94000006</v>
      </c>
      <c r="X129">
        <f t="shared" si="22"/>
        <v>3</v>
      </c>
    </row>
    <row r="130" spans="1:26">
      <c r="A130" s="38">
        <v>45016</v>
      </c>
      <c r="B130" s="25">
        <f>58340836.23+278259647.65</f>
        <v>336600483.88</v>
      </c>
      <c r="C130" s="2">
        <v>278181700.80000001</v>
      </c>
      <c r="D130" s="5">
        <f>SILVX!C132</f>
        <v>1.15E-2</v>
      </c>
      <c r="E130" s="6">
        <f t="shared" si="19"/>
        <v>3846912.1199849998</v>
      </c>
      <c r="F130" s="6">
        <f t="shared" si="20"/>
        <v>-1760525.6299849749</v>
      </c>
      <c r="G130" s="8">
        <f t="shared" si="21"/>
        <v>2086386.4900000249</v>
      </c>
      <c r="H130" s="25">
        <f t="shared" si="23"/>
        <v>58418783.079999983</v>
      </c>
      <c r="I130" s="24">
        <v>1</v>
      </c>
      <c r="J130" s="166">
        <f t="shared" si="24"/>
        <v>45016</v>
      </c>
      <c r="K130" s="2">
        <v>114195489.23</v>
      </c>
      <c r="N130" s="95">
        <v>1</v>
      </c>
      <c r="O130" s="161">
        <v>71554664.510000005</v>
      </c>
      <c r="R130" s="95">
        <v>1</v>
      </c>
      <c r="S130" s="2">
        <v>15443480.970000001</v>
      </c>
      <c r="T130" s="2">
        <v>495.72</v>
      </c>
      <c r="U130" s="2">
        <v>14749201.359999999</v>
      </c>
      <c r="V130" s="2">
        <v>78.97</v>
      </c>
      <c r="W130" s="161">
        <f t="shared" si="25"/>
        <v>552543894.6400001</v>
      </c>
      <c r="X130">
        <f t="shared" si="22"/>
        <v>3</v>
      </c>
    </row>
    <row r="131" spans="1:26">
      <c r="A131" s="38">
        <v>45046</v>
      </c>
      <c r="B131" s="25">
        <v>336501489.39999998</v>
      </c>
      <c r="C131" s="2">
        <v>278493443.18000001</v>
      </c>
      <c r="D131" s="5">
        <f>SILVX!C133</f>
        <v>1.0800000000000001E-2</v>
      </c>
      <c r="E131" s="6">
        <f t="shared" si="19"/>
        <v>3635285.225904</v>
      </c>
      <c r="F131" s="6">
        <f t="shared" si="20"/>
        <v>-3734279.705904007</v>
      </c>
      <c r="G131" s="8">
        <f t="shared" si="21"/>
        <v>-98994.480000006966</v>
      </c>
      <c r="H131" s="25">
        <f t="shared" si="23"/>
        <v>58008046.219999969</v>
      </c>
      <c r="I131" s="24">
        <v>1</v>
      </c>
      <c r="J131" s="166">
        <f t="shared" si="24"/>
        <v>45046</v>
      </c>
      <c r="K131" s="2">
        <v>114170815.3</v>
      </c>
      <c r="N131" s="95">
        <v>1</v>
      </c>
      <c r="O131" s="161">
        <v>71209931.349999994</v>
      </c>
      <c r="P131" s="190">
        <v>7002374.8799999999</v>
      </c>
      <c r="Q131" s="190">
        <v>7058851.3600000003</v>
      </c>
      <c r="R131" s="95">
        <v>1</v>
      </c>
      <c r="S131" s="2">
        <v>15486617.02</v>
      </c>
      <c r="T131" s="2">
        <v>496.7</v>
      </c>
      <c r="U131" s="2">
        <v>15126308.949999999</v>
      </c>
      <c r="V131" s="2">
        <v>79.36</v>
      </c>
      <c r="W131" s="161">
        <f t="shared" si="25"/>
        <v>552495738.08000004</v>
      </c>
      <c r="X131">
        <f t="shared" si="22"/>
        <v>3</v>
      </c>
      <c r="Y131" s="6">
        <f>L131+P131</f>
        <v>7002374.8799999999</v>
      </c>
      <c r="Z131" s="6">
        <f>M131+Q131</f>
        <v>7058851.3600000003</v>
      </c>
    </row>
    <row r="132" spans="1:26">
      <c r="A132" s="38">
        <v>45077</v>
      </c>
      <c r="B132" s="25">
        <v>320682595.63</v>
      </c>
      <c r="C132" s="2">
        <v>263821356.97</v>
      </c>
      <c r="D132" s="5">
        <f>SILVX!C134</f>
        <v>-2.87E-2</v>
      </c>
      <c r="E132" s="6">
        <f t="shared" si="19"/>
        <v>-9657592.7457799986</v>
      </c>
      <c r="F132" s="6">
        <f t="shared" si="20"/>
        <v>-6161301.0242199898</v>
      </c>
      <c r="G132" s="8">
        <f t="shared" si="21"/>
        <v>-15818893.769999988</v>
      </c>
      <c r="H132" s="25">
        <f t="shared" si="23"/>
        <v>56861238.659999996</v>
      </c>
      <c r="I132" s="24">
        <v>1</v>
      </c>
      <c r="J132" s="166">
        <f t="shared" si="24"/>
        <v>45077</v>
      </c>
      <c r="K132" s="2">
        <v>110935409.09999999</v>
      </c>
      <c r="L132" s="2">
        <v>10922023.09</v>
      </c>
      <c r="M132" s="2">
        <v>0</v>
      </c>
      <c r="N132" s="95">
        <v>1</v>
      </c>
      <c r="O132" s="161">
        <v>66074815.75</v>
      </c>
      <c r="P132" s="190">
        <v>13166080.82</v>
      </c>
      <c r="Q132" s="190">
        <v>13127564.67</v>
      </c>
      <c r="R132" s="95">
        <v>1</v>
      </c>
      <c r="S132" s="2">
        <v>14136714.52</v>
      </c>
      <c r="T132" s="2">
        <v>496.35</v>
      </c>
      <c r="U132" s="2">
        <v>14610670.279999999</v>
      </c>
      <c r="V132" s="2">
        <v>69.09</v>
      </c>
      <c r="W132" s="161">
        <f t="shared" si="25"/>
        <v>526440770.71999997</v>
      </c>
      <c r="X132">
        <f t="shared" si="22"/>
        <v>3</v>
      </c>
      <c r="Y132" s="6">
        <f t="shared" ref="Y132:Y138" si="26">L132+P132</f>
        <v>24088103.91</v>
      </c>
      <c r="Z132" s="6">
        <f t="shared" ref="Z132:Z145" si="27">M132+Q132</f>
        <v>13127564.67</v>
      </c>
    </row>
    <row r="133" spans="1:26">
      <c r="A133" s="38">
        <v>45107</v>
      </c>
      <c r="B133" s="25">
        <v>334363614.38</v>
      </c>
      <c r="C133" s="2">
        <v>274605471.75</v>
      </c>
      <c r="D133" s="5">
        <f>SILVX!C135</f>
        <v>4.9200000000000001E-2</v>
      </c>
      <c r="E133" s="6">
        <f t="shared" si="19"/>
        <v>15777583.704995999</v>
      </c>
      <c r="F133" s="6">
        <f t="shared" si="20"/>
        <v>-2096564.9549959898</v>
      </c>
      <c r="G133" s="8">
        <f t="shared" si="21"/>
        <v>13681018.750000009</v>
      </c>
      <c r="H133" s="25">
        <f t="shared" si="23"/>
        <v>59758142.629999995</v>
      </c>
      <c r="I133" s="24">
        <v>1</v>
      </c>
      <c r="J133" s="166">
        <f t="shared" si="24"/>
        <v>45107</v>
      </c>
      <c r="K133" s="2">
        <v>112673693.67</v>
      </c>
      <c r="L133" s="2">
        <v>11253433.119999999</v>
      </c>
      <c r="M133" s="2">
        <v>5595662.9400000004</v>
      </c>
      <c r="N133" s="95">
        <v>1</v>
      </c>
      <c r="O133" s="161">
        <v>68262817.299999997</v>
      </c>
      <c r="P133" s="190">
        <v>17023328.690000001</v>
      </c>
      <c r="Q133" s="190">
        <v>17239769.59</v>
      </c>
      <c r="R133" s="95">
        <v>1</v>
      </c>
      <c r="S133" s="2">
        <v>14981509.75</v>
      </c>
      <c r="T133" s="2">
        <v>497.11</v>
      </c>
      <c r="U133" s="2">
        <v>15353398.619999999</v>
      </c>
      <c r="V133" s="2">
        <v>69.819999999999993</v>
      </c>
      <c r="W133" s="161">
        <f t="shared" si="25"/>
        <v>545635600.6500001</v>
      </c>
      <c r="X133">
        <f t="shared" si="22"/>
        <v>3</v>
      </c>
      <c r="Y133" s="6">
        <f t="shared" si="26"/>
        <v>28276761.810000002</v>
      </c>
      <c r="Z133" s="6">
        <f t="shared" si="27"/>
        <v>22835432.530000001</v>
      </c>
    </row>
    <row r="134" spans="1:26">
      <c r="A134" s="38">
        <v>45138</v>
      </c>
      <c r="B134" s="25">
        <f>271953235.97+62171311.32</f>
        <v>334124547.29000002</v>
      </c>
      <c r="C134" s="2">
        <v>271837000.5</v>
      </c>
      <c r="D134" s="5">
        <f>SILVX!C136</f>
        <v>1.6E-2</v>
      </c>
      <c r="E134" s="6">
        <f t="shared" si="19"/>
        <v>5349817.8300799998</v>
      </c>
      <c r="F134" s="6">
        <f t="shared" si="20"/>
        <v>-5588884.9200799465</v>
      </c>
      <c r="G134" s="8">
        <f t="shared" si="21"/>
        <v>-239067.08999994677</v>
      </c>
      <c r="H134" s="25">
        <f t="shared" si="23"/>
        <v>62287546.790000021</v>
      </c>
      <c r="I134" s="24">
        <v>1</v>
      </c>
      <c r="J134" s="166">
        <f t="shared" si="24"/>
        <v>45138</v>
      </c>
      <c r="K134" s="2">
        <v>106522910.59999999</v>
      </c>
      <c r="L134" s="2">
        <v>12702368.699999999</v>
      </c>
      <c r="M134" s="2">
        <v>15763474.949999999</v>
      </c>
      <c r="N134" s="95">
        <v>1</v>
      </c>
      <c r="O134" s="161">
        <v>67710847.329999998</v>
      </c>
      <c r="P134" s="190">
        <v>27091008.969999999</v>
      </c>
      <c r="Q134" s="190">
        <v>20435876.18</v>
      </c>
      <c r="R134" s="95">
        <v>1</v>
      </c>
      <c r="S134" s="2">
        <v>15473357.5</v>
      </c>
      <c r="T134" s="2">
        <v>497.09</v>
      </c>
      <c r="U134" s="2">
        <v>15663126.58</v>
      </c>
      <c r="V134" s="2">
        <v>69.72</v>
      </c>
      <c r="W134" s="161">
        <f t="shared" si="25"/>
        <v>539495356.11000001</v>
      </c>
      <c r="X134">
        <f t="shared" si="22"/>
        <v>3</v>
      </c>
      <c r="Y134" s="6">
        <f t="shared" si="26"/>
        <v>39793377.670000002</v>
      </c>
      <c r="Z134" s="6">
        <f t="shared" si="27"/>
        <v>36199351.129999995</v>
      </c>
    </row>
    <row r="135" spans="1:26">
      <c r="A135" s="38">
        <v>45169</v>
      </c>
      <c r="B135" s="25">
        <f>249084034.97+56449764.14</f>
        <v>305533799.11000001</v>
      </c>
      <c r="C135" s="2">
        <v>248990418.86000001</v>
      </c>
      <c r="D135" s="5">
        <f>SILVX!C137</f>
        <v>-2.1700000000000001E-2</v>
      </c>
      <c r="E135" s="6">
        <f t="shared" si="19"/>
        <v>-7250502.6761930007</v>
      </c>
      <c r="F135" s="6">
        <f t="shared" si="20"/>
        <v>-21340245.503807008</v>
      </c>
      <c r="G135" s="8">
        <f t="shared" si="21"/>
        <v>-28590748.180000007</v>
      </c>
      <c r="H135" s="25">
        <f t="shared" si="23"/>
        <v>56543380.25</v>
      </c>
      <c r="I135" s="24">
        <v>1</v>
      </c>
      <c r="J135" s="166">
        <f t="shared" si="24"/>
        <v>45169</v>
      </c>
      <c r="K135" s="2">
        <v>88502983.640000001</v>
      </c>
      <c r="L135" s="2">
        <v>10416704.6</v>
      </c>
      <c r="M135" s="2">
        <v>12928153.42</v>
      </c>
      <c r="N135" s="95">
        <v>1</v>
      </c>
      <c r="O135" s="161">
        <v>56896192.890000001</v>
      </c>
      <c r="P135" s="190">
        <v>22719822.899999999</v>
      </c>
      <c r="Q135" s="190">
        <v>17140671</v>
      </c>
      <c r="R135" s="95">
        <v>1</v>
      </c>
      <c r="S135" s="2">
        <v>12839914.27</v>
      </c>
      <c r="T135" s="2">
        <v>495.98</v>
      </c>
      <c r="U135" s="2">
        <v>13763211.310000001</v>
      </c>
      <c r="V135" s="2">
        <v>155.75</v>
      </c>
      <c r="W135" s="161">
        <f t="shared" si="25"/>
        <v>477536752.94999999</v>
      </c>
      <c r="X135">
        <f t="shared" si="22"/>
        <v>3</v>
      </c>
      <c r="Y135" s="6">
        <f t="shared" si="26"/>
        <v>33136527.5</v>
      </c>
      <c r="Z135" s="6">
        <f t="shared" si="27"/>
        <v>30068824.420000002</v>
      </c>
    </row>
    <row r="136" spans="1:26">
      <c r="A136" s="38">
        <v>45199</v>
      </c>
      <c r="B136" s="25">
        <f>50341732.72+229522430.62</f>
        <v>279864163.34000003</v>
      </c>
      <c r="C136" s="2">
        <v>229433751.22999999</v>
      </c>
      <c r="D136" s="5">
        <f>SILVX!C138</f>
        <v>-2.3900000000000001E-2</v>
      </c>
      <c r="E136" s="6">
        <f t="shared" si="19"/>
        <v>-7302257.7987290006</v>
      </c>
      <c r="F136" s="6">
        <f t="shared" si="20"/>
        <v>-18367377.971270978</v>
      </c>
      <c r="G136" s="8">
        <f t="shared" si="21"/>
        <v>-25669635.769999981</v>
      </c>
      <c r="H136" s="25">
        <f t="shared" si="23"/>
        <v>50430412.110000044</v>
      </c>
      <c r="I136" s="24">
        <v>1</v>
      </c>
      <c r="J136" s="166">
        <f t="shared" si="24"/>
        <v>45199</v>
      </c>
      <c r="K136" s="2">
        <v>78727382.980000004</v>
      </c>
      <c r="L136" s="2">
        <v>9105306.8100000005</v>
      </c>
      <c r="M136" s="2">
        <v>11396939.98</v>
      </c>
      <c r="N136" s="95">
        <v>1</v>
      </c>
      <c r="O136" s="161">
        <v>45778823.5</v>
      </c>
      <c r="P136" s="190">
        <v>19565550.18</v>
      </c>
      <c r="Q136" s="190">
        <v>13926458.710000001</v>
      </c>
      <c r="R136" s="95">
        <v>1</v>
      </c>
      <c r="S136" s="2">
        <v>11127552.27</v>
      </c>
      <c r="T136" s="2">
        <v>12.88</v>
      </c>
      <c r="U136" s="2">
        <v>12535081.390000001</v>
      </c>
      <c r="V136" s="2">
        <v>67.319999999999993</v>
      </c>
      <c r="W136" s="161">
        <f t="shared" si="25"/>
        <v>428033083.68000001</v>
      </c>
      <c r="X136">
        <f t="shared" si="22"/>
        <v>3</v>
      </c>
      <c r="Y136" s="6">
        <f t="shared" si="26"/>
        <v>28670856.990000002</v>
      </c>
      <c r="Z136" s="6">
        <f t="shared" si="27"/>
        <v>25323398.690000001</v>
      </c>
    </row>
    <row r="137" spans="1:26">
      <c r="A137" s="38">
        <v>45230</v>
      </c>
      <c r="B137" s="25">
        <v>254183203.11000001</v>
      </c>
      <c r="C137" s="2">
        <v>207589412.18000001</v>
      </c>
      <c r="D137" s="5">
        <f>SILVX!C139</f>
        <v>-1.0800000000000001E-2</v>
      </c>
      <c r="E137" s="6">
        <f t="shared" si="19"/>
        <v>-3022532.9640720007</v>
      </c>
      <c r="F137" s="6">
        <f t="shared" si="20"/>
        <v>-22658427.26592803</v>
      </c>
      <c r="G137" s="8">
        <f t="shared" si="21"/>
        <v>-25680960.23000003</v>
      </c>
      <c r="H137" s="25">
        <f t="shared" si="23"/>
        <v>46593790.930000007</v>
      </c>
      <c r="I137" s="24">
        <v>1</v>
      </c>
      <c r="J137" s="166">
        <f t="shared" si="24"/>
        <v>45230</v>
      </c>
      <c r="K137" s="2">
        <v>68883576.989999995</v>
      </c>
      <c r="L137" s="2">
        <v>7895206.9699999997</v>
      </c>
      <c r="M137" s="2">
        <v>9827237.7799999993</v>
      </c>
      <c r="N137" s="95">
        <v>1</v>
      </c>
      <c r="O137" s="161">
        <v>30851461.920000002</v>
      </c>
      <c r="P137" s="190">
        <v>13237072.58</v>
      </c>
      <c r="Q137" s="190">
        <v>9337331.5800000001</v>
      </c>
      <c r="R137" s="95">
        <v>1</v>
      </c>
      <c r="S137" s="2">
        <v>295212.87</v>
      </c>
      <c r="T137" s="2">
        <v>0.16</v>
      </c>
      <c r="U137" s="2">
        <v>11474204.75</v>
      </c>
      <c r="V137" s="2">
        <v>66.02</v>
      </c>
      <c r="W137" s="161">
        <f t="shared" ref="W137:W145" si="28">K137+B137+O137+S137+T137+U137+V137</f>
        <v>365687725.82000005</v>
      </c>
      <c r="X137">
        <f t="shared" ref="X137:X147" si="29">I137+N137+R137</f>
        <v>3</v>
      </c>
      <c r="Y137" s="6">
        <f t="shared" si="26"/>
        <v>21132279.550000001</v>
      </c>
      <c r="Z137" s="6">
        <f t="shared" si="27"/>
        <v>19164569.359999999</v>
      </c>
    </row>
    <row r="138" spans="1:26">
      <c r="A138" s="38">
        <v>45260</v>
      </c>
      <c r="B138" s="25">
        <v>246524522.73000002</v>
      </c>
      <c r="C138" s="2">
        <v>200604908.81999999</v>
      </c>
      <c r="D138" s="5">
        <f>SILVX!C140</f>
        <v>6.9000000000000006E-2</v>
      </c>
      <c r="E138" s="6">
        <f t="shared" si="19"/>
        <v>17538641.014590003</v>
      </c>
      <c r="F138" s="6">
        <f t="shared" si="20"/>
        <v>-25197321.39459002</v>
      </c>
      <c r="G138" s="8">
        <f t="shared" si="21"/>
        <v>-7658680.3800000176</v>
      </c>
      <c r="H138" s="25">
        <f t="shared" si="23"/>
        <v>45919613.910000026</v>
      </c>
      <c r="I138" s="24">
        <v>1</v>
      </c>
      <c r="J138" s="166">
        <f t="shared" si="24"/>
        <v>45260</v>
      </c>
      <c r="K138" s="2">
        <v>64293459.030000001</v>
      </c>
      <c r="L138" s="2">
        <v>7524106.3300000001</v>
      </c>
      <c r="M138" s="2">
        <v>9621966.8900000006</v>
      </c>
      <c r="N138" s="95">
        <v>1</v>
      </c>
      <c r="O138" s="161">
        <v>29321104.949999999</v>
      </c>
      <c r="P138" s="190">
        <v>12551036.060000001</v>
      </c>
      <c r="Q138" s="190">
        <v>8987202.6600000001</v>
      </c>
      <c r="R138" s="95">
        <v>1</v>
      </c>
      <c r="S138" s="2">
        <v>269132.13</v>
      </c>
      <c r="T138" s="2">
        <v>0.09</v>
      </c>
      <c r="U138" s="2">
        <v>11104334.949999999</v>
      </c>
      <c r="V138" s="2">
        <v>64.7</v>
      </c>
      <c r="W138" s="161">
        <f t="shared" si="28"/>
        <v>351512618.57999992</v>
      </c>
      <c r="X138">
        <f t="shared" si="29"/>
        <v>3</v>
      </c>
      <c r="Y138" s="6">
        <f t="shared" si="26"/>
        <v>20075142.390000001</v>
      </c>
      <c r="Z138" s="6">
        <f t="shared" si="27"/>
        <v>18609169.550000001</v>
      </c>
    </row>
    <row r="139" spans="1:26">
      <c r="A139" s="38">
        <v>45291</v>
      </c>
      <c r="B139" s="25">
        <v>226074783.32000002</v>
      </c>
      <c r="C139" s="2">
        <v>182925100.83000001</v>
      </c>
      <c r="D139" s="5">
        <f>SILVX!C141</f>
        <v>3.5000000000000003E-2</v>
      </c>
      <c r="E139" s="6">
        <f t="shared" si="19"/>
        <v>8628358.2955500018</v>
      </c>
      <c r="F139" s="6">
        <f t="shared" si="20"/>
        <v>-29078097.705549985</v>
      </c>
      <c r="G139" s="8">
        <f t="shared" si="21"/>
        <v>-20449739.409999982</v>
      </c>
      <c r="H139" s="25">
        <f t="shared" si="23"/>
        <v>43149682.49000001</v>
      </c>
      <c r="I139" s="24">
        <v>1</v>
      </c>
      <c r="J139" s="166">
        <f t="shared" si="24"/>
        <v>45291</v>
      </c>
      <c r="K139" s="2">
        <v>57871267.659999996</v>
      </c>
      <c r="L139" s="2">
        <v>7524106.3300000001</v>
      </c>
      <c r="M139" s="2">
        <v>9621966.8900000006</v>
      </c>
      <c r="N139" s="95">
        <v>1</v>
      </c>
      <c r="O139" s="161">
        <v>25816381.09</v>
      </c>
      <c r="P139" s="190">
        <v>11045565.74</v>
      </c>
      <c r="Q139" s="190">
        <v>7821017.21</v>
      </c>
      <c r="R139" s="95">
        <v>1</v>
      </c>
      <c r="S139" s="2">
        <v>278139.3</v>
      </c>
      <c r="T139" s="2">
        <v>0.09</v>
      </c>
      <c r="U139" s="2">
        <v>10437429.9</v>
      </c>
      <c r="V139" s="2">
        <v>63.36</v>
      </c>
      <c r="W139" s="161">
        <f t="shared" si="28"/>
        <v>320478064.71999997</v>
      </c>
      <c r="X139">
        <f t="shared" si="29"/>
        <v>3</v>
      </c>
      <c r="Y139" s="6">
        <f t="shared" ref="Y139:Y145" si="30">L139+P139</f>
        <v>18569672.07</v>
      </c>
      <c r="Z139" s="6">
        <f t="shared" si="27"/>
        <v>17442984.100000001</v>
      </c>
    </row>
    <row r="140" spans="1:26">
      <c r="A140" s="38">
        <v>45322</v>
      </c>
      <c r="B140" s="25">
        <v>217214520.68000001</v>
      </c>
      <c r="C140" s="2">
        <v>176842997.13</v>
      </c>
      <c r="D140" s="5">
        <f>SILVX!C142</f>
        <v>2.5600000000000001E-2</v>
      </c>
      <c r="E140" s="6">
        <f t="shared" si="19"/>
        <v>5787514.4529920006</v>
      </c>
      <c r="F140" s="6">
        <f t="shared" si="20"/>
        <v>-14647777.092992008</v>
      </c>
      <c r="G140" s="8">
        <f t="shared" si="21"/>
        <v>-8860262.640000008</v>
      </c>
      <c r="H140" s="25">
        <f t="shared" si="23"/>
        <v>40371523.550000012</v>
      </c>
      <c r="I140" s="24">
        <v>1</v>
      </c>
      <c r="J140" s="166">
        <f t="shared" si="24"/>
        <v>45322</v>
      </c>
      <c r="K140" s="2">
        <v>49788547.920000002</v>
      </c>
      <c r="L140" s="2">
        <v>6191909.1799999997</v>
      </c>
      <c r="M140" s="2">
        <v>8738627.6199999992</v>
      </c>
      <c r="N140" s="95">
        <v>1</v>
      </c>
      <c r="O140" s="161">
        <v>23073066.649999999</v>
      </c>
      <c r="P140" s="190">
        <v>9816724.5700000003</v>
      </c>
      <c r="Q140" s="190">
        <v>7090421.0499999998</v>
      </c>
      <c r="R140" s="95">
        <v>1</v>
      </c>
      <c r="S140" s="2">
        <v>0</v>
      </c>
      <c r="T140" s="2">
        <v>0</v>
      </c>
      <c r="U140" s="2">
        <v>9676532.6400000006</v>
      </c>
      <c r="V140" s="2">
        <v>62.15</v>
      </c>
      <c r="W140" s="161">
        <f t="shared" si="28"/>
        <v>299752730.03999996</v>
      </c>
      <c r="X140">
        <f t="shared" si="29"/>
        <v>3</v>
      </c>
      <c r="Y140" s="6">
        <f t="shared" si="30"/>
        <v>16008633.75</v>
      </c>
      <c r="Z140" s="6">
        <f t="shared" si="27"/>
        <v>15829048.669999998</v>
      </c>
    </row>
    <row r="141" spans="1:26">
      <c r="A141" s="38">
        <v>45351</v>
      </c>
      <c r="B141" s="25">
        <v>11417412.949999999</v>
      </c>
      <c r="C141" s="2">
        <v>2584072.4700000002</v>
      </c>
      <c r="D141" s="5">
        <f>SILVX!C143</f>
        <v>2.3399999999999997E-2</v>
      </c>
      <c r="E141" s="6">
        <f t="shared" si="19"/>
        <v>5082819.7839119993</v>
      </c>
      <c r="F141" s="6">
        <f t="shared" si="20"/>
        <v>-210879927.51391202</v>
      </c>
      <c r="G141" s="8">
        <f t="shared" si="21"/>
        <v>-205797107.73000002</v>
      </c>
      <c r="H141" s="25">
        <f t="shared" si="23"/>
        <v>8833340.4799999986</v>
      </c>
      <c r="I141" s="24">
        <v>1</v>
      </c>
      <c r="J141" s="166">
        <f t="shared" si="24"/>
        <v>45351</v>
      </c>
      <c r="K141" s="2">
        <v>1112802.05</v>
      </c>
      <c r="L141" s="2">
        <v>71156.27</v>
      </c>
      <c r="M141" s="2">
        <v>94693.09</v>
      </c>
      <c r="N141" s="95">
        <v>1</v>
      </c>
      <c r="O141" s="161">
        <v>779574.21</v>
      </c>
      <c r="P141" s="190">
        <v>318891.65000000002</v>
      </c>
      <c r="Q141" s="190">
        <v>235613.19</v>
      </c>
      <c r="R141" s="95">
        <v>1</v>
      </c>
      <c r="S141" s="2">
        <v>0</v>
      </c>
      <c r="T141" s="2">
        <v>0</v>
      </c>
      <c r="U141" s="2">
        <v>55127.26</v>
      </c>
      <c r="V141" s="2">
        <v>0.79</v>
      </c>
      <c r="W141" s="161">
        <f t="shared" si="28"/>
        <v>13364917.26</v>
      </c>
      <c r="X141">
        <f t="shared" si="29"/>
        <v>3</v>
      </c>
      <c r="Y141" s="6">
        <f t="shared" si="30"/>
        <v>390047.92000000004</v>
      </c>
      <c r="Z141" s="6">
        <f t="shared" si="27"/>
        <v>330306.28000000003</v>
      </c>
    </row>
    <row r="142" spans="1:26">
      <c r="A142" s="38">
        <v>45382</v>
      </c>
      <c r="B142" s="25">
        <v>1525024.77</v>
      </c>
      <c r="C142" s="2">
        <v>1380619.39</v>
      </c>
      <c r="D142" s="5">
        <f>SILVX!C144</f>
        <v>3.32E-2</v>
      </c>
      <c r="E142" s="6">
        <f t="shared" si="19"/>
        <v>379058.10993999999</v>
      </c>
      <c r="F142" s="6">
        <f t="shared" si="20"/>
        <v>-10271446.28994</v>
      </c>
      <c r="G142" s="8">
        <f t="shared" si="21"/>
        <v>-9892388.1799999997</v>
      </c>
      <c r="H142" s="25">
        <f t="shared" si="23"/>
        <v>144405.38000000012</v>
      </c>
      <c r="I142" s="24">
        <v>1</v>
      </c>
      <c r="J142" s="166">
        <f t="shared" si="24"/>
        <v>45382</v>
      </c>
      <c r="K142" s="2">
        <v>307220.82</v>
      </c>
      <c r="L142" s="2">
        <v>15824.13</v>
      </c>
      <c r="M142" s="2">
        <v>21248.44</v>
      </c>
      <c r="N142" s="95">
        <v>1</v>
      </c>
      <c r="O142" s="161">
        <v>269598.46999999997</v>
      </c>
      <c r="P142" s="190">
        <v>102676.12</v>
      </c>
      <c r="Q142" s="190">
        <v>76756.27</v>
      </c>
      <c r="R142" s="95">
        <v>1</v>
      </c>
      <c r="S142" s="2">
        <v>0</v>
      </c>
      <c r="T142" s="2">
        <v>0</v>
      </c>
      <c r="U142" s="2">
        <v>51142.86</v>
      </c>
      <c r="V142" s="2">
        <v>0.77</v>
      </c>
      <c r="W142" s="161">
        <f t="shared" si="28"/>
        <v>2152987.69</v>
      </c>
      <c r="X142">
        <f t="shared" si="29"/>
        <v>3</v>
      </c>
      <c r="Y142" s="6">
        <f t="shared" si="30"/>
        <v>118500.25</v>
      </c>
      <c r="Z142" s="6">
        <f t="shared" si="27"/>
        <v>98004.71</v>
      </c>
    </row>
    <row r="143" spans="1:26">
      <c r="A143" s="38">
        <v>45412</v>
      </c>
      <c r="B143" s="25">
        <f>139485.61+1323766.09</f>
        <v>1463251.7000000002</v>
      </c>
      <c r="C143" s="2">
        <v>1323758.1200000001</v>
      </c>
      <c r="D143" s="5">
        <f>SILVX!C145</f>
        <v>-4.1200000000000001E-2</v>
      </c>
      <c r="E143" s="6">
        <f t="shared" si="19"/>
        <v>-62831.020524</v>
      </c>
      <c r="F143" s="6">
        <f t="shared" si="20"/>
        <v>1057.9505240002181</v>
      </c>
      <c r="G143" s="8">
        <f t="shared" si="21"/>
        <v>-61773.069999999781</v>
      </c>
      <c r="H143" s="25">
        <f t="shared" si="23"/>
        <v>139493.58000000007</v>
      </c>
      <c r="I143" s="24">
        <v>1</v>
      </c>
      <c r="J143" s="166">
        <f t="shared" si="24"/>
        <v>45412</v>
      </c>
      <c r="K143" s="2">
        <v>288359.69</v>
      </c>
      <c r="L143" s="2">
        <v>15140.1</v>
      </c>
      <c r="M143" s="2">
        <v>20374.080000000002</v>
      </c>
      <c r="N143" s="95">
        <v>1</v>
      </c>
      <c r="O143" s="161">
        <v>249381.81</v>
      </c>
      <c r="P143" s="190">
        <v>98258.01</v>
      </c>
      <c r="Q143" s="190">
        <v>73420.89</v>
      </c>
      <c r="R143" s="95">
        <v>1</v>
      </c>
      <c r="S143" s="2">
        <v>0</v>
      </c>
      <c r="T143" s="2">
        <v>0</v>
      </c>
      <c r="U143" s="2">
        <v>49785.64</v>
      </c>
      <c r="V143" s="2">
        <v>0.77</v>
      </c>
      <c r="W143" s="161">
        <f t="shared" si="28"/>
        <v>2050779.61</v>
      </c>
      <c r="X143">
        <f t="shared" si="29"/>
        <v>3</v>
      </c>
      <c r="Y143" s="6">
        <f t="shared" si="30"/>
        <v>113398.11</v>
      </c>
      <c r="Z143" s="6">
        <f t="shared" si="27"/>
        <v>93794.97</v>
      </c>
    </row>
    <row r="144" spans="1:26">
      <c r="A144" s="38">
        <v>45443</v>
      </c>
      <c r="B144" s="25">
        <f>142904.86+1350701.87</f>
        <v>1493606.73</v>
      </c>
      <c r="C144" s="2">
        <v>1350697.71</v>
      </c>
      <c r="D144" s="5">
        <f>SILVX!C146</f>
        <v>3.61E-2</v>
      </c>
      <c r="E144" s="6">
        <f t="shared" si="19"/>
        <v>52823.386370000007</v>
      </c>
      <c r="F144" s="6">
        <f t="shared" si="20"/>
        <v>-22468.356370000169</v>
      </c>
      <c r="G144" s="8">
        <f t="shared" si="21"/>
        <v>30355.029999999839</v>
      </c>
      <c r="H144" s="25">
        <f t="shared" si="23"/>
        <v>142909.02000000002</v>
      </c>
      <c r="I144" s="24">
        <v>1</v>
      </c>
      <c r="J144" s="166">
        <f t="shared" si="24"/>
        <v>45443</v>
      </c>
      <c r="K144" s="2">
        <v>292947.78999999998</v>
      </c>
      <c r="L144" s="2">
        <v>15807.17</v>
      </c>
      <c r="M144" s="2">
        <v>21511.69</v>
      </c>
      <c r="N144" s="95">
        <v>1</v>
      </c>
      <c r="O144" s="161">
        <v>74111.460000000006</v>
      </c>
      <c r="P144" s="190">
        <v>24049.41</v>
      </c>
      <c r="Q144" s="190">
        <v>18548.78</v>
      </c>
      <c r="R144" s="95">
        <v>1</v>
      </c>
      <c r="S144" s="2">
        <v>0</v>
      </c>
      <c r="T144" s="2">
        <v>0</v>
      </c>
      <c r="U144" s="2">
        <v>50886.91</v>
      </c>
      <c r="V144" s="2">
        <v>0.77</v>
      </c>
      <c r="W144" s="161">
        <f t="shared" si="28"/>
        <v>1911553.66</v>
      </c>
      <c r="X144">
        <f t="shared" si="29"/>
        <v>3</v>
      </c>
      <c r="Y144" s="6">
        <f t="shared" si="30"/>
        <v>39856.58</v>
      </c>
      <c r="Z144" s="6">
        <f t="shared" si="27"/>
        <v>40060.47</v>
      </c>
    </row>
    <row r="145" spans="1:26">
      <c r="A145" s="38">
        <v>45473</v>
      </c>
      <c r="B145" s="25">
        <f>144461.32+1371314.14</f>
        <v>1515775.46</v>
      </c>
      <c r="C145" s="2">
        <v>1371309.99</v>
      </c>
      <c r="D145" s="5">
        <f>SILVX!C147</f>
        <v>1.9199999999999998E-2</v>
      </c>
      <c r="E145" s="6">
        <f t="shared" si="19"/>
        <v>28677.249215999997</v>
      </c>
      <c r="F145" s="6">
        <f t="shared" si="20"/>
        <v>-6508.5192160001025</v>
      </c>
      <c r="G145" s="8">
        <f t="shared" si="21"/>
        <v>22168.729999999894</v>
      </c>
      <c r="H145" s="25">
        <f t="shared" si="23"/>
        <v>144465.46999999997</v>
      </c>
      <c r="I145" s="24">
        <v>1</v>
      </c>
      <c r="J145" s="166">
        <f t="shared" si="24"/>
        <v>45473</v>
      </c>
      <c r="K145" s="2">
        <v>285574.56</v>
      </c>
      <c r="L145" s="2">
        <v>16234.24</v>
      </c>
      <c r="M145" s="2">
        <v>22152.79</v>
      </c>
      <c r="N145" s="95">
        <v>1</v>
      </c>
      <c r="O145" s="161">
        <v>76090.87</v>
      </c>
      <c r="P145" s="190">
        <v>24699.18</v>
      </c>
      <c r="Q145" s="190">
        <v>19101.57</v>
      </c>
      <c r="R145" s="95">
        <v>1</v>
      </c>
      <c r="S145" s="2">
        <v>0</v>
      </c>
      <c r="T145" s="2">
        <v>0</v>
      </c>
      <c r="U145" s="2">
        <v>50994.36</v>
      </c>
      <c r="V145" s="2">
        <v>0.77</v>
      </c>
      <c r="W145" s="161">
        <f t="shared" si="28"/>
        <v>1928436.0200000003</v>
      </c>
      <c r="X145">
        <f t="shared" si="29"/>
        <v>3</v>
      </c>
      <c r="Y145" s="6">
        <f t="shared" si="30"/>
        <v>40933.42</v>
      </c>
      <c r="Z145" s="6">
        <f t="shared" si="27"/>
        <v>41254.36</v>
      </c>
    </row>
    <row r="146" spans="1:26">
      <c r="A146" s="38">
        <v>45504</v>
      </c>
      <c r="D146" s="5">
        <f>SILVX!C148</f>
        <v>2.7300000000000001E-2</v>
      </c>
      <c r="I146" s="24">
        <v>1</v>
      </c>
      <c r="J146" s="166">
        <f t="shared" si="24"/>
        <v>45504</v>
      </c>
      <c r="N146" s="95">
        <v>1</v>
      </c>
      <c r="R146" s="95">
        <v>1</v>
      </c>
      <c r="S146" s="2">
        <v>0</v>
      </c>
      <c r="T146" s="2">
        <v>0</v>
      </c>
      <c r="X146">
        <f t="shared" si="29"/>
        <v>3</v>
      </c>
    </row>
    <row r="147" spans="1:26">
      <c r="A147" s="38">
        <v>45535</v>
      </c>
      <c r="D147" s="5">
        <f>SILVX!C149</f>
        <v>4.9700000000000001E-2</v>
      </c>
      <c r="I147" s="24">
        <v>1</v>
      </c>
      <c r="J147" s="166">
        <f t="shared" si="24"/>
        <v>45535</v>
      </c>
      <c r="N147" s="95">
        <v>1</v>
      </c>
      <c r="R147" s="95">
        <v>1</v>
      </c>
      <c r="S147" s="2">
        <v>0</v>
      </c>
      <c r="T147" s="2">
        <v>0</v>
      </c>
      <c r="X147">
        <f t="shared" si="29"/>
        <v>3</v>
      </c>
    </row>
    <row r="148" spans="1:26">
      <c r="A148" s="38">
        <v>45565</v>
      </c>
      <c r="B148" s="25">
        <f>29113+1434486.89</f>
        <v>1463599.89</v>
      </c>
      <c r="C148" s="2">
        <v>1434482.75</v>
      </c>
      <c r="D148" s="5">
        <f>SILVX!C150</f>
        <v>3.2000000000000002E-3</v>
      </c>
      <c r="H148" s="25">
        <f>B148-C148</f>
        <v>29117.139999999898</v>
      </c>
      <c r="I148" s="24">
        <v>1</v>
      </c>
      <c r="J148" s="166">
        <f t="shared" si="24"/>
        <v>45565</v>
      </c>
      <c r="K148" s="2">
        <v>281929.86</v>
      </c>
      <c r="L148" s="2">
        <v>16504.060000000001</v>
      </c>
      <c r="M148" s="2">
        <v>22364.87</v>
      </c>
      <c r="N148" s="95">
        <v>1</v>
      </c>
      <c r="O148" s="161">
        <v>77700.210000000006</v>
      </c>
      <c r="P148" s="190">
        <v>25110.42</v>
      </c>
      <c r="Q148" s="190">
        <v>19284.919999999998</v>
      </c>
      <c r="R148" s="95">
        <v>1</v>
      </c>
      <c r="S148" s="2">
        <v>0</v>
      </c>
      <c r="T148" s="2">
        <v>0</v>
      </c>
      <c r="U148" s="2">
        <v>24427.08</v>
      </c>
      <c r="V148" s="2">
        <v>0.06</v>
      </c>
      <c r="W148" s="161">
        <f>K148+B148+O148+S148+T148+U148+V148</f>
        <v>1847657.1</v>
      </c>
      <c r="X148">
        <f>I148+N148+R148</f>
        <v>3</v>
      </c>
      <c r="Y148" s="6">
        <f>L148+P148</f>
        <v>41614.479999999996</v>
      </c>
      <c r="Z148" s="6">
        <f>M148+Q148</f>
        <v>41649.789999999994</v>
      </c>
    </row>
    <row r="149" spans="1:26">
      <c r="A149" s="38">
        <v>45596</v>
      </c>
      <c r="D149" s="5">
        <f>SILVX!C151</f>
        <v>-2.934434E-2</v>
      </c>
      <c r="H149" s="25">
        <f>B149-C149</f>
        <v>0</v>
      </c>
      <c r="I149" s="24">
        <v>1</v>
      </c>
      <c r="J149" s="166">
        <f t="shared" si="24"/>
        <v>45596</v>
      </c>
      <c r="K149" s="2">
        <f>K148-L148-M148</f>
        <v>243060.93</v>
      </c>
      <c r="N149" s="95">
        <v>1</v>
      </c>
      <c r="O149" s="2">
        <f>O148-P148-Q148</f>
        <v>33304.87000000001</v>
      </c>
      <c r="R149" s="95">
        <v>1</v>
      </c>
      <c r="S149" s="2">
        <v>0</v>
      </c>
      <c r="T149" s="2">
        <v>0</v>
      </c>
      <c r="U149" s="2"/>
      <c r="V149" s="2"/>
      <c r="Y149" s="6"/>
      <c r="Z149" s="6"/>
    </row>
    <row r="150" spans="1:26">
      <c r="A150" s="38">
        <v>45626</v>
      </c>
      <c r="D150" s="5">
        <f>SILVX!C152</f>
        <v>7.0854979999999998E-2</v>
      </c>
      <c r="H150" s="25">
        <f>B150-C150</f>
        <v>0</v>
      </c>
      <c r="I150" s="24">
        <v>1</v>
      </c>
      <c r="J150" s="166">
        <f t="shared" si="24"/>
        <v>45626</v>
      </c>
      <c r="N150" s="95">
        <v>1</v>
      </c>
      <c r="R150" s="95">
        <v>1</v>
      </c>
      <c r="S150" s="2">
        <v>0</v>
      </c>
      <c r="T150" s="2">
        <v>0</v>
      </c>
      <c r="U150" s="2"/>
      <c r="V150" s="2"/>
      <c r="Y150" s="6"/>
      <c r="Z150" s="6"/>
    </row>
    <row r="151" spans="1:26">
      <c r="A151" s="38">
        <v>45657</v>
      </c>
      <c r="B151" s="25">
        <v>911988.34</v>
      </c>
      <c r="C151" s="2">
        <v>883409.09</v>
      </c>
      <c r="D151" s="5">
        <f>SILVX!C153</f>
        <v>-4.7359709999999999E-2</v>
      </c>
      <c r="H151" s="25">
        <f>B151-C151</f>
        <v>28579.25</v>
      </c>
      <c r="I151" s="24">
        <v>1</v>
      </c>
      <c r="J151" s="166">
        <f t="shared" si="24"/>
        <v>45657</v>
      </c>
      <c r="K151" s="2">
        <v>192874.55</v>
      </c>
      <c r="L151" s="2">
        <v>5084.8100000000004</v>
      </c>
      <c r="M151" s="2">
        <v>6946.99</v>
      </c>
      <c r="N151" s="95">
        <v>1</v>
      </c>
      <c r="O151" s="161">
        <v>16116.56</v>
      </c>
      <c r="P151" s="190">
        <v>0.2</v>
      </c>
      <c r="Q151" s="190">
        <v>0.15</v>
      </c>
      <c r="R151" s="95">
        <v>1</v>
      </c>
      <c r="S151" s="2">
        <v>0</v>
      </c>
      <c r="T151" s="2">
        <v>0</v>
      </c>
      <c r="U151" s="2">
        <v>0.06</v>
      </c>
      <c r="V151" s="2">
        <v>0.05</v>
      </c>
      <c r="W151" s="161">
        <f>K151+B151+O151+S151+T151+U151+V151</f>
        <v>1120979.56</v>
      </c>
      <c r="X151">
        <f>I151+N151+R151</f>
        <v>3</v>
      </c>
      <c r="Y151" s="6">
        <f>L151+P151</f>
        <v>5085.01</v>
      </c>
      <c r="Z151" s="6">
        <f>M151+Q151</f>
        <v>6947.1399999999994</v>
      </c>
    </row>
    <row r="152" spans="1:26">
      <c r="A152" s="38">
        <v>45688</v>
      </c>
      <c r="B152" s="25">
        <v>950817.7</v>
      </c>
      <c r="C152" s="2">
        <v>921664.98</v>
      </c>
      <c r="D152" s="5">
        <f>SILVX!C154</f>
        <v>4.3304840000000004E-2</v>
      </c>
      <c r="H152" s="25">
        <f>B152-C152</f>
        <v>29152.719999999972</v>
      </c>
      <c r="I152" s="24">
        <v>1</v>
      </c>
      <c r="J152" s="166">
        <f t="shared" si="24"/>
        <v>45688</v>
      </c>
      <c r="K152" s="2">
        <v>194880.28</v>
      </c>
      <c r="L152" s="2">
        <v>5169.13</v>
      </c>
      <c r="M152" s="2">
        <v>7177.92</v>
      </c>
      <c r="N152" s="95">
        <v>1</v>
      </c>
      <c r="O152" s="161">
        <v>16467.89</v>
      </c>
      <c r="P152" s="190">
        <v>0.2</v>
      </c>
      <c r="Q152" s="190">
        <v>0.15</v>
      </c>
      <c r="R152" s="95">
        <v>1</v>
      </c>
      <c r="S152" s="2">
        <v>0</v>
      </c>
      <c r="T152" s="2">
        <v>0</v>
      </c>
      <c r="U152" s="2">
        <v>0.06</v>
      </c>
      <c r="V152" s="2">
        <v>0.05</v>
      </c>
      <c r="W152" s="161">
        <f>K152+B152+O152+S152+T152+U152+V152</f>
        <v>1162165.98</v>
      </c>
      <c r="X152">
        <f>I152+N152+R152</f>
        <v>3</v>
      </c>
      <c r="Y152" s="6">
        <f>L152+P152</f>
        <v>5169.33</v>
      </c>
      <c r="Z152" s="6">
        <f>M152+Q152</f>
        <v>7178.07</v>
      </c>
    </row>
    <row r="153" spans="1:26">
      <c r="A153" s="38">
        <v>45716</v>
      </c>
      <c r="D153" s="5">
        <f>SILVX!C155</f>
        <v>-1.037684E-2</v>
      </c>
      <c r="J153" s="166">
        <f t="shared" si="24"/>
        <v>45716</v>
      </c>
      <c r="O153" s="2"/>
      <c r="S153" s="2">
        <v>0</v>
      </c>
      <c r="T153" s="2">
        <v>0</v>
      </c>
      <c r="U153" s="2">
        <v>0</v>
      </c>
      <c r="V153" s="2">
        <v>0</v>
      </c>
      <c r="W153" s="161">
        <f t="shared" ref="W153:W154" si="31">K153+B153+O153+S153+T153+U153+V153</f>
        <v>0</v>
      </c>
      <c r="X153">
        <f t="shared" ref="X153:X154" si="32">I153+N153+R153</f>
        <v>0</v>
      </c>
      <c r="Y153" s="6">
        <f t="shared" ref="Y153:Y154" si="33">L153+P153</f>
        <v>0</v>
      </c>
      <c r="Z153" s="6">
        <f t="shared" ref="Z153:Z154" si="34">M153+Q153</f>
        <v>0</v>
      </c>
    </row>
    <row r="154" spans="1:26">
      <c r="A154" s="38">
        <v>45747</v>
      </c>
      <c r="B154" s="25">
        <v>926205.17</v>
      </c>
      <c r="C154" s="2">
        <v>896997.96</v>
      </c>
      <c r="D154" s="5">
        <f>SILVX!C156</f>
        <v>-1.6556290000000001E-2</v>
      </c>
      <c r="H154" s="25">
        <f>B154-C154</f>
        <v>29207.210000000079</v>
      </c>
      <c r="I154" s="24">
        <v>1</v>
      </c>
      <c r="J154" s="166">
        <f t="shared" si="24"/>
        <v>45747</v>
      </c>
      <c r="K154" s="2">
        <v>185307.71</v>
      </c>
      <c r="L154" s="2">
        <v>5066.33</v>
      </c>
      <c r="M154" s="2">
        <v>6588.81</v>
      </c>
      <c r="N154" s="95">
        <v>1</v>
      </c>
      <c r="O154" s="161">
        <v>15721.25</v>
      </c>
      <c r="P154" s="190">
        <v>0</v>
      </c>
      <c r="Q154" s="190">
        <v>0</v>
      </c>
      <c r="R154" s="95">
        <v>1</v>
      </c>
      <c r="S154" s="2">
        <v>0</v>
      </c>
      <c r="T154" s="2">
        <v>0</v>
      </c>
      <c r="U154" s="2">
        <v>0</v>
      </c>
      <c r="V154" s="2">
        <v>0</v>
      </c>
      <c r="W154" s="161">
        <f t="shared" si="31"/>
        <v>1127234.1300000001</v>
      </c>
      <c r="X154">
        <f t="shared" si="32"/>
        <v>3</v>
      </c>
      <c r="Y154" s="6">
        <f t="shared" si="33"/>
        <v>5066.33</v>
      </c>
      <c r="Z154" s="6">
        <f t="shared" si="34"/>
        <v>6588.81</v>
      </c>
    </row>
  </sheetData>
  <pageMargins left="0.75" right="0.75" top="1" bottom="1" header="0.5" footer="0.5"/>
  <pageSetup orientation="portrait" horizontalDpi="4294967292" verticalDpi="4294967292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 tint="0.59999389629810485"/>
  </sheetPr>
  <dimension ref="A1:O116"/>
  <sheetViews>
    <sheetView zoomScale="110" zoomScaleNormal="110" workbookViewId="0">
      <pane ySplit="1" topLeftCell="A99" activePane="bottomLeft" state="frozen"/>
      <selection pane="bottomLeft" activeCell="A115" sqref="A115"/>
    </sheetView>
  </sheetViews>
  <sheetFormatPr baseColWidth="10" defaultColWidth="11" defaultRowHeight="16"/>
  <cols>
    <col min="1" max="1" width="11" style="53"/>
    <col min="2" max="2" width="16" bestFit="1" customWidth="1"/>
    <col min="3" max="3" width="6.6640625" bestFit="1" customWidth="1"/>
    <col min="4" max="4" width="15.33203125" bestFit="1" customWidth="1"/>
    <col min="5" max="5" width="6.6640625" bestFit="1" customWidth="1"/>
    <col min="6" max="6" width="16" bestFit="1" customWidth="1"/>
    <col min="7" max="7" width="5.1640625" bestFit="1" customWidth="1"/>
    <col min="9" max="9" width="13.83203125" bestFit="1" customWidth="1"/>
    <col min="10" max="10" width="14.83203125" bestFit="1" customWidth="1"/>
    <col min="12" max="12" width="16" bestFit="1" customWidth="1"/>
    <col min="13" max="13" width="15" bestFit="1" customWidth="1"/>
    <col min="14" max="14" width="16" bestFit="1" customWidth="1"/>
    <col min="15" max="15" width="28.1640625" customWidth="1"/>
  </cols>
  <sheetData>
    <row r="1" spans="1:15" s="9" customFormat="1">
      <c r="A1" s="38"/>
      <c r="B1" s="3" t="s">
        <v>65</v>
      </c>
      <c r="C1" s="3" t="s">
        <v>69</v>
      </c>
      <c r="D1" s="3" t="s">
        <v>66</v>
      </c>
      <c r="E1" s="3" t="s">
        <v>69</v>
      </c>
      <c r="F1" s="3" t="s">
        <v>10</v>
      </c>
      <c r="G1" s="3" t="s">
        <v>69</v>
      </c>
      <c r="K1" s="110"/>
      <c r="L1" s="114" t="s">
        <v>88</v>
      </c>
      <c r="M1" s="111" t="s">
        <v>87</v>
      </c>
    </row>
    <row r="2" spans="1:15">
      <c r="A2" s="38">
        <v>42398</v>
      </c>
      <c r="B2" s="2">
        <v>60512887.5</v>
      </c>
      <c r="C2" s="95">
        <v>1</v>
      </c>
      <c r="F2" s="6">
        <f>B2+D2</f>
        <v>60512887.5</v>
      </c>
      <c r="G2">
        <f>C2+E2</f>
        <v>1</v>
      </c>
      <c r="K2" s="104">
        <v>2012</v>
      </c>
      <c r="L2" s="112">
        <v>0</v>
      </c>
      <c r="M2" s="112">
        <v>0</v>
      </c>
    </row>
    <row r="3" spans="1:15">
      <c r="A3" s="38">
        <v>42429</v>
      </c>
      <c r="B3" s="2">
        <v>61869873</v>
      </c>
      <c r="C3" s="95">
        <v>1</v>
      </c>
      <c r="F3" s="6">
        <f t="shared" ref="F3:F28" si="0">B3+D3</f>
        <v>61869873</v>
      </c>
      <c r="G3">
        <f t="shared" ref="G3:G28" si="1">C3+E3</f>
        <v>1</v>
      </c>
      <c r="K3" s="104">
        <v>2013</v>
      </c>
      <c r="L3" s="112">
        <v>0</v>
      </c>
      <c r="M3" s="112">
        <v>0</v>
      </c>
    </row>
    <row r="4" spans="1:15">
      <c r="A4" s="38">
        <v>42460</v>
      </c>
      <c r="B4" s="2">
        <v>102460603.65000001</v>
      </c>
      <c r="C4" s="95">
        <v>1</v>
      </c>
      <c r="D4" s="2">
        <v>26636104.670000002</v>
      </c>
      <c r="E4">
        <v>1</v>
      </c>
      <c r="F4" s="6">
        <f t="shared" si="0"/>
        <v>129096708.32000001</v>
      </c>
      <c r="G4">
        <f t="shared" si="1"/>
        <v>2</v>
      </c>
      <c r="K4" s="104">
        <v>2014</v>
      </c>
      <c r="L4" s="112">
        <v>0</v>
      </c>
      <c r="M4" s="112">
        <v>0</v>
      </c>
    </row>
    <row r="5" spans="1:15">
      <c r="A5" s="38">
        <v>42489</v>
      </c>
      <c r="B5" s="2">
        <v>100992050.42</v>
      </c>
      <c r="C5" s="95">
        <v>1</v>
      </c>
      <c r="D5" s="2">
        <v>26356676.710000001</v>
      </c>
      <c r="E5">
        <v>1</v>
      </c>
      <c r="F5" s="6">
        <f t="shared" si="0"/>
        <v>127348727.13</v>
      </c>
      <c r="G5">
        <f t="shared" si="1"/>
        <v>2</v>
      </c>
      <c r="K5" s="104">
        <v>2015</v>
      </c>
      <c r="L5" s="112">
        <v>0</v>
      </c>
      <c r="M5" s="112">
        <v>0</v>
      </c>
    </row>
    <row r="6" spans="1:15">
      <c r="A6" s="38">
        <v>42521</v>
      </c>
      <c r="B6" s="2">
        <v>102949466</v>
      </c>
      <c r="C6" s="95">
        <v>1</v>
      </c>
      <c r="D6" s="2">
        <v>26929452</v>
      </c>
      <c r="E6">
        <v>1</v>
      </c>
      <c r="F6" s="6">
        <f t="shared" si="0"/>
        <v>129878918</v>
      </c>
      <c r="G6">
        <f t="shared" si="1"/>
        <v>2</v>
      </c>
      <c r="K6" s="104">
        <v>2016</v>
      </c>
      <c r="L6" s="112">
        <f>AVERAGE(B2:B13)</f>
        <v>97585783.840833321</v>
      </c>
      <c r="M6" s="112">
        <f>AVERAGE(D4:D13)</f>
        <v>28610459.347999997</v>
      </c>
    </row>
    <row r="7" spans="1:15">
      <c r="A7" s="38">
        <v>42551</v>
      </c>
      <c r="B7" s="2">
        <v>106503332</v>
      </c>
      <c r="C7" s="95">
        <v>1</v>
      </c>
      <c r="D7" s="2">
        <v>28097535</v>
      </c>
      <c r="E7">
        <v>1</v>
      </c>
      <c r="F7" s="6">
        <f t="shared" si="0"/>
        <v>134600867</v>
      </c>
      <c r="G7">
        <f t="shared" si="1"/>
        <v>2</v>
      </c>
      <c r="K7" s="104">
        <v>2017</v>
      </c>
      <c r="L7" s="112">
        <f>AVERAGE(B14:B25)</f>
        <v>112934853.71249999</v>
      </c>
      <c r="M7" s="112">
        <f>AVERAGE(D14:D28)</f>
        <v>34028851.51497414</v>
      </c>
    </row>
    <row r="8" spans="1:15">
      <c r="A8" s="38">
        <v>42582</v>
      </c>
      <c r="B8" s="2">
        <v>108346736</v>
      </c>
      <c r="C8" s="95">
        <v>1</v>
      </c>
      <c r="D8" s="2">
        <v>28612267</v>
      </c>
      <c r="E8">
        <v>1</v>
      </c>
      <c r="F8" s="6">
        <f t="shared" si="0"/>
        <v>136959003</v>
      </c>
      <c r="G8">
        <f t="shared" si="1"/>
        <v>2</v>
      </c>
      <c r="K8" s="104">
        <v>2018</v>
      </c>
      <c r="L8" s="112"/>
      <c r="M8" s="112"/>
      <c r="O8" s="24"/>
    </row>
    <row r="9" spans="1:15">
      <c r="A9" s="38">
        <v>42613</v>
      </c>
      <c r="B9" s="2">
        <v>106554191</v>
      </c>
      <c r="C9" s="95">
        <v>1</v>
      </c>
      <c r="D9" s="2">
        <v>28668412</v>
      </c>
      <c r="E9">
        <v>1</v>
      </c>
      <c r="F9" s="6">
        <f t="shared" si="0"/>
        <v>135222603</v>
      </c>
      <c r="G9">
        <f t="shared" si="1"/>
        <v>2</v>
      </c>
      <c r="K9" s="104">
        <v>2019</v>
      </c>
      <c r="L9" s="112"/>
      <c r="M9" s="112"/>
      <c r="N9" s="6"/>
      <c r="O9" s="51"/>
    </row>
    <row r="10" spans="1:15">
      <c r="A10" s="38">
        <v>42643</v>
      </c>
      <c r="B10" s="2">
        <v>105353798</v>
      </c>
      <c r="C10" s="95">
        <v>1</v>
      </c>
      <c r="D10" s="2">
        <v>28837000</v>
      </c>
      <c r="E10">
        <v>1</v>
      </c>
      <c r="F10" s="6">
        <f t="shared" si="0"/>
        <v>134190798</v>
      </c>
      <c r="G10">
        <f t="shared" si="1"/>
        <v>2</v>
      </c>
      <c r="K10" s="104">
        <v>2020</v>
      </c>
      <c r="L10" s="112"/>
      <c r="M10" s="112"/>
      <c r="N10" s="6"/>
      <c r="O10" s="43"/>
    </row>
    <row r="11" spans="1:15">
      <c r="A11" s="38">
        <v>42674</v>
      </c>
      <c r="B11" s="2">
        <v>102506111</v>
      </c>
      <c r="C11" s="95">
        <v>1</v>
      </c>
      <c r="D11" s="2">
        <v>28459064.41</v>
      </c>
      <c r="E11">
        <v>1</v>
      </c>
      <c r="F11" s="6">
        <f t="shared" si="0"/>
        <v>130965175.41</v>
      </c>
      <c r="G11">
        <f t="shared" si="1"/>
        <v>2</v>
      </c>
      <c r="K11" s="107"/>
      <c r="L11" s="112"/>
      <c r="M11" s="112"/>
      <c r="N11" s="6"/>
      <c r="O11" s="43"/>
    </row>
    <row r="12" spans="1:15">
      <c r="A12" s="38">
        <v>42704</v>
      </c>
      <c r="B12" s="2">
        <v>106540191</v>
      </c>
      <c r="C12" s="95">
        <v>1</v>
      </c>
      <c r="D12" s="2">
        <v>30966179.199999999</v>
      </c>
      <c r="E12">
        <v>1</v>
      </c>
      <c r="F12" s="6">
        <f t="shared" si="0"/>
        <v>137506370.19999999</v>
      </c>
      <c r="G12">
        <f t="shared" si="1"/>
        <v>2</v>
      </c>
      <c r="K12" s="108"/>
      <c r="L12" s="113"/>
      <c r="M12" s="113"/>
      <c r="N12" s="6"/>
      <c r="O12" s="43"/>
    </row>
    <row r="13" spans="1:15">
      <c r="A13" s="38">
        <v>42735</v>
      </c>
      <c r="B13" s="2">
        <v>106440166.52</v>
      </c>
      <c r="C13" s="95">
        <v>1</v>
      </c>
      <c r="D13" s="2">
        <v>32541902.489999998</v>
      </c>
      <c r="E13">
        <v>1</v>
      </c>
      <c r="F13" s="6">
        <f t="shared" si="0"/>
        <v>138982069.00999999</v>
      </c>
      <c r="G13">
        <f t="shared" si="1"/>
        <v>2</v>
      </c>
      <c r="K13" s="13"/>
      <c r="L13" s="2"/>
      <c r="M13" s="2"/>
      <c r="N13" s="6"/>
      <c r="O13" s="43"/>
    </row>
    <row r="14" spans="1:15">
      <c r="A14" s="38">
        <v>42766</v>
      </c>
      <c r="B14" s="2">
        <v>106551075</v>
      </c>
      <c r="C14" s="95">
        <v>1</v>
      </c>
      <c r="D14" s="2">
        <v>31764195</v>
      </c>
      <c r="E14">
        <v>1</v>
      </c>
      <c r="F14" s="6">
        <f t="shared" si="0"/>
        <v>138315270</v>
      </c>
      <c r="G14">
        <f t="shared" si="1"/>
        <v>2</v>
      </c>
      <c r="K14" s="13"/>
      <c r="L14" s="2"/>
      <c r="M14" s="2"/>
      <c r="N14" s="6"/>
      <c r="O14" s="43"/>
    </row>
    <row r="15" spans="1:15">
      <c r="A15" s="38">
        <v>42794</v>
      </c>
      <c r="B15" s="2">
        <v>110850120.33</v>
      </c>
      <c r="C15" s="95">
        <v>1</v>
      </c>
      <c r="D15" s="2">
        <v>32033800</v>
      </c>
      <c r="E15">
        <v>1</v>
      </c>
      <c r="F15" s="6">
        <f t="shared" si="0"/>
        <v>142883920.32999998</v>
      </c>
      <c r="G15">
        <f t="shared" si="1"/>
        <v>2</v>
      </c>
      <c r="K15" s="13"/>
      <c r="L15" s="2"/>
      <c r="M15" s="2"/>
      <c r="N15" s="6"/>
      <c r="O15" s="43"/>
    </row>
    <row r="16" spans="1:15">
      <c r="A16" s="38">
        <v>42825</v>
      </c>
      <c r="B16" s="2">
        <v>110545879.15000001</v>
      </c>
      <c r="C16" s="95">
        <v>1</v>
      </c>
      <c r="D16" s="2">
        <v>32112020.48</v>
      </c>
      <c r="E16">
        <v>1</v>
      </c>
      <c r="F16" s="6">
        <f t="shared" si="0"/>
        <v>142657899.63</v>
      </c>
      <c r="G16">
        <f t="shared" si="1"/>
        <v>2</v>
      </c>
    </row>
    <row r="17" spans="1:8">
      <c r="A17" s="38">
        <v>42855</v>
      </c>
      <c r="B17" s="2">
        <v>110545880.15000001</v>
      </c>
      <c r="C17" s="95">
        <v>1</v>
      </c>
      <c r="D17" s="2">
        <v>32112021.48</v>
      </c>
      <c r="E17">
        <v>1</v>
      </c>
      <c r="F17" s="6">
        <f t="shared" si="0"/>
        <v>142657901.63</v>
      </c>
      <c r="G17">
        <f t="shared" si="1"/>
        <v>2</v>
      </c>
    </row>
    <row r="18" spans="1:8">
      <c r="A18" s="38">
        <v>42886</v>
      </c>
      <c r="B18" s="2">
        <v>112761672.90000001</v>
      </c>
      <c r="C18" s="95">
        <v>1</v>
      </c>
      <c r="D18" s="2">
        <v>33022423.640000001</v>
      </c>
      <c r="E18">
        <v>1</v>
      </c>
      <c r="F18" s="6">
        <f t="shared" si="0"/>
        <v>145784096.54000002</v>
      </c>
      <c r="G18">
        <f t="shared" si="1"/>
        <v>2</v>
      </c>
    </row>
    <row r="19" spans="1:8">
      <c r="A19" s="38">
        <v>42916</v>
      </c>
      <c r="B19" s="2">
        <v>112986062.94</v>
      </c>
      <c r="C19" s="95">
        <v>1</v>
      </c>
      <c r="D19" s="2">
        <v>33272094.654612001</v>
      </c>
      <c r="E19">
        <v>1</v>
      </c>
      <c r="F19" s="6">
        <f t="shared" si="0"/>
        <v>146258157.594612</v>
      </c>
      <c r="G19">
        <f t="shared" si="1"/>
        <v>2</v>
      </c>
    </row>
    <row r="20" spans="1:8">
      <c r="A20" s="38">
        <v>42947</v>
      </c>
      <c r="B20" s="2">
        <v>114882119.81999999</v>
      </c>
      <c r="C20" s="95">
        <v>1</v>
      </c>
      <c r="D20" s="2">
        <v>33909880.159999996</v>
      </c>
      <c r="E20">
        <v>1</v>
      </c>
      <c r="F20" s="6">
        <f t="shared" si="0"/>
        <v>148791999.97999999</v>
      </c>
      <c r="G20">
        <f t="shared" si="1"/>
        <v>2</v>
      </c>
    </row>
    <row r="21" spans="1:8">
      <c r="A21" s="38">
        <v>42978</v>
      </c>
      <c r="B21" s="2">
        <v>114815883.61</v>
      </c>
      <c r="C21" s="95">
        <v>1</v>
      </c>
      <c r="D21" s="2">
        <v>33310403.25</v>
      </c>
      <c r="E21">
        <v>1</v>
      </c>
      <c r="F21" s="6">
        <f t="shared" si="0"/>
        <v>148126286.86000001</v>
      </c>
      <c r="G21">
        <f t="shared" si="1"/>
        <v>2</v>
      </c>
    </row>
    <row r="22" spans="1:8">
      <c r="A22" s="38">
        <v>43008</v>
      </c>
      <c r="B22" s="2">
        <v>116365386.79000001</v>
      </c>
      <c r="C22" s="95">
        <v>1</v>
      </c>
      <c r="D22" s="2">
        <v>35429789.75</v>
      </c>
      <c r="E22">
        <v>1</v>
      </c>
      <c r="F22" s="6">
        <f t="shared" si="0"/>
        <v>151795176.54000002</v>
      </c>
      <c r="G22">
        <f t="shared" si="1"/>
        <v>2</v>
      </c>
    </row>
    <row r="23" spans="1:8">
      <c r="A23" s="38">
        <v>43039</v>
      </c>
      <c r="B23" s="2">
        <v>118384678.3</v>
      </c>
      <c r="C23" s="95">
        <v>1</v>
      </c>
      <c r="D23" s="2">
        <v>35771884.75</v>
      </c>
      <c r="E23">
        <v>1</v>
      </c>
      <c r="F23" s="6">
        <f t="shared" si="0"/>
        <v>154156563.05000001</v>
      </c>
      <c r="G23">
        <f t="shared" si="1"/>
        <v>2</v>
      </c>
    </row>
    <row r="24" spans="1:8">
      <c r="A24" s="38">
        <v>43069</v>
      </c>
      <c r="B24" s="2">
        <v>112348011.72</v>
      </c>
      <c r="C24" s="95">
        <v>1</v>
      </c>
      <c r="D24" s="2">
        <v>36204971.689999998</v>
      </c>
      <c r="E24">
        <v>1</v>
      </c>
      <c r="F24" s="6">
        <f t="shared" si="0"/>
        <v>148552983.41</v>
      </c>
      <c r="G24">
        <f t="shared" si="1"/>
        <v>2</v>
      </c>
      <c r="H24" t="s">
        <v>112</v>
      </c>
    </row>
    <row r="25" spans="1:8">
      <c r="A25" s="38">
        <v>43100</v>
      </c>
      <c r="B25" s="2">
        <v>114181473.84</v>
      </c>
      <c r="C25" s="95">
        <v>1</v>
      </c>
      <c r="D25" s="2">
        <v>35684633.270000003</v>
      </c>
      <c r="E25">
        <v>1</v>
      </c>
      <c r="F25" s="6">
        <f t="shared" si="0"/>
        <v>149866107.11000001</v>
      </c>
      <c r="G25">
        <f t="shared" si="1"/>
        <v>2</v>
      </c>
    </row>
    <row r="26" spans="1:8">
      <c r="A26" s="38">
        <v>43131</v>
      </c>
      <c r="B26" s="2">
        <v>119595749.08</v>
      </c>
      <c r="C26" s="95">
        <v>1</v>
      </c>
      <c r="D26" s="2">
        <v>35935513.880000003</v>
      </c>
      <c r="E26">
        <v>1</v>
      </c>
      <c r="F26" s="6">
        <f t="shared" si="0"/>
        <v>155531262.96000001</v>
      </c>
      <c r="G26">
        <f t="shared" si="1"/>
        <v>2</v>
      </c>
    </row>
    <row r="27" spans="1:8">
      <c r="A27" s="38">
        <v>43159</v>
      </c>
      <c r="B27" s="2">
        <v>115920962.68000001</v>
      </c>
      <c r="C27" s="95">
        <v>1</v>
      </c>
      <c r="D27" s="2">
        <v>34400769.659999996</v>
      </c>
      <c r="E27">
        <v>1</v>
      </c>
      <c r="F27" s="6">
        <f t="shared" si="0"/>
        <v>150321732.34</v>
      </c>
      <c r="G27">
        <f t="shared" si="1"/>
        <v>2</v>
      </c>
    </row>
    <row r="28" spans="1:8">
      <c r="A28" s="38">
        <v>43190</v>
      </c>
      <c r="B28" s="2">
        <v>114933616.52</v>
      </c>
      <c r="C28" s="95">
        <v>1</v>
      </c>
      <c r="D28" s="2">
        <v>35468371.059999995</v>
      </c>
      <c r="E28" s="95">
        <v>1</v>
      </c>
      <c r="F28" s="6">
        <f t="shared" si="0"/>
        <v>150401987.57999998</v>
      </c>
      <c r="G28">
        <f t="shared" si="1"/>
        <v>2</v>
      </c>
    </row>
    <row r="29" spans="1:8">
      <c r="A29" s="38">
        <v>43220</v>
      </c>
      <c r="B29" s="2">
        <v>117311978.22</v>
      </c>
      <c r="C29" s="95">
        <v>1</v>
      </c>
      <c r="D29" s="2">
        <v>35861296.960000001</v>
      </c>
      <c r="E29" s="95">
        <v>1</v>
      </c>
      <c r="F29" s="6">
        <f t="shared" ref="F29:G32" si="2">B29+D29</f>
        <v>153173275.18000001</v>
      </c>
      <c r="G29">
        <f t="shared" si="2"/>
        <v>2</v>
      </c>
    </row>
    <row r="30" spans="1:8">
      <c r="A30" s="38">
        <v>43251</v>
      </c>
      <c r="B30" s="2">
        <v>119598839.23</v>
      </c>
      <c r="C30" s="95">
        <v>1</v>
      </c>
      <c r="D30" s="2">
        <v>37732470.149999999</v>
      </c>
      <c r="E30" s="95">
        <v>1</v>
      </c>
      <c r="F30" s="6">
        <f t="shared" si="2"/>
        <v>157331309.38</v>
      </c>
      <c r="G30">
        <f t="shared" si="2"/>
        <v>2</v>
      </c>
    </row>
    <row r="31" spans="1:8">
      <c r="A31" s="38">
        <v>43281</v>
      </c>
      <c r="B31" s="2">
        <v>122197551.74000001</v>
      </c>
      <c r="C31" s="95">
        <v>1</v>
      </c>
      <c r="D31" s="2">
        <v>38295282.420000002</v>
      </c>
      <c r="E31" s="95">
        <v>1</v>
      </c>
      <c r="F31" s="6">
        <f t="shared" si="2"/>
        <v>160492834.16000003</v>
      </c>
      <c r="G31">
        <f t="shared" si="2"/>
        <v>2</v>
      </c>
    </row>
    <row r="32" spans="1:8">
      <c r="A32" s="38">
        <v>43312</v>
      </c>
      <c r="B32" s="2">
        <v>126612886.84</v>
      </c>
      <c r="C32" s="95">
        <v>1</v>
      </c>
      <c r="D32" s="2">
        <v>39212680.260000005</v>
      </c>
      <c r="E32" s="95">
        <v>1</v>
      </c>
      <c r="F32" s="6">
        <f t="shared" si="2"/>
        <v>165825567.10000002</v>
      </c>
      <c r="G32">
        <f t="shared" si="2"/>
        <v>2</v>
      </c>
    </row>
    <row r="33" spans="1:7">
      <c r="A33" s="38">
        <v>43343</v>
      </c>
      <c r="B33" s="2">
        <v>132031765.25999999</v>
      </c>
      <c r="C33" s="95">
        <v>1</v>
      </c>
      <c r="D33" s="2">
        <v>41527892.689999998</v>
      </c>
      <c r="E33" s="95">
        <v>1</v>
      </c>
      <c r="F33" s="6">
        <f t="shared" ref="F33:F38" si="3">B33+D33</f>
        <v>173559657.94999999</v>
      </c>
      <c r="G33">
        <f t="shared" ref="G33:G38" si="4">C33+E33</f>
        <v>2</v>
      </c>
    </row>
    <row r="34" spans="1:7">
      <c r="A34" s="38">
        <v>43373</v>
      </c>
      <c r="B34" s="2">
        <v>132483455.72</v>
      </c>
      <c r="C34" s="95">
        <v>1</v>
      </c>
      <c r="D34" s="2">
        <v>40549436.809999995</v>
      </c>
      <c r="E34" s="95">
        <v>1</v>
      </c>
      <c r="F34" s="6">
        <f t="shared" si="3"/>
        <v>173032892.53</v>
      </c>
      <c r="G34">
        <f t="shared" si="4"/>
        <v>2</v>
      </c>
    </row>
    <row r="35" spans="1:7">
      <c r="A35" s="38">
        <v>43404</v>
      </c>
      <c r="B35" s="2">
        <v>122689272.23999999</v>
      </c>
      <c r="C35" s="95">
        <v>1</v>
      </c>
      <c r="D35" s="2">
        <v>36075267.230000004</v>
      </c>
      <c r="E35" s="95">
        <v>1</v>
      </c>
      <c r="F35" s="6">
        <f t="shared" si="3"/>
        <v>158764539.47</v>
      </c>
      <c r="G35">
        <f t="shared" si="4"/>
        <v>2</v>
      </c>
    </row>
    <row r="36" spans="1:7">
      <c r="A36" s="38">
        <v>43434</v>
      </c>
      <c r="B36" s="2">
        <v>124864790.5</v>
      </c>
      <c r="C36" s="95">
        <v>1</v>
      </c>
      <c r="D36" s="2">
        <v>36365550.560000002</v>
      </c>
      <c r="E36" s="95">
        <v>1</v>
      </c>
      <c r="F36" s="6">
        <f t="shared" si="3"/>
        <v>161230341.06</v>
      </c>
      <c r="G36">
        <f t="shared" si="4"/>
        <v>2</v>
      </c>
    </row>
    <row r="37" spans="1:7">
      <c r="A37" s="38">
        <v>43465</v>
      </c>
      <c r="B37" s="2">
        <v>115049824.15000001</v>
      </c>
      <c r="C37" s="95">
        <v>1</v>
      </c>
      <c r="D37" s="2">
        <v>32376202.100000001</v>
      </c>
      <c r="E37" s="95">
        <v>1</v>
      </c>
      <c r="F37" s="6">
        <f t="shared" si="3"/>
        <v>147426026.25</v>
      </c>
      <c r="G37">
        <f t="shared" si="4"/>
        <v>2</v>
      </c>
    </row>
    <row r="38" spans="1:7">
      <c r="A38" s="38">
        <v>43496</v>
      </c>
      <c r="B38" s="2">
        <v>123422215.68000001</v>
      </c>
      <c r="C38" s="95">
        <v>1</v>
      </c>
      <c r="D38" s="2">
        <v>35241050.609999999</v>
      </c>
      <c r="E38" s="95">
        <v>1</v>
      </c>
      <c r="F38" s="6">
        <f t="shared" si="3"/>
        <v>158663266.29000002</v>
      </c>
      <c r="G38">
        <f t="shared" si="4"/>
        <v>2</v>
      </c>
    </row>
    <row r="39" spans="1:7">
      <c r="A39" s="38">
        <v>43524</v>
      </c>
      <c r="B39" s="2">
        <v>128586034.03</v>
      </c>
      <c r="C39" s="95">
        <v>1</v>
      </c>
      <c r="D39" s="2">
        <v>36814630.879999995</v>
      </c>
      <c r="E39" s="95">
        <v>1</v>
      </c>
      <c r="F39" s="6">
        <f t="shared" ref="F39:F44" si="5">B39+D39</f>
        <v>165400664.91</v>
      </c>
      <c r="G39">
        <f t="shared" ref="G39:G44" si="6">C39+E39</f>
        <v>2</v>
      </c>
    </row>
    <row r="40" spans="1:7">
      <c r="A40" s="38">
        <v>43555</v>
      </c>
      <c r="B40" s="2">
        <v>130779172.3</v>
      </c>
      <c r="C40" s="95">
        <v>1</v>
      </c>
      <c r="D40" s="2">
        <v>36065903.580000006</v>
      </c>
      <c r="E40" s="95">
        <v>1</v>
      </c>
      <c r="F40" s="6">
        <f t="shared" si="5"/>
        <v>166845075.88</v>
      </c>
      <c r="G40">
        <f t="shared" si="6"/>
        <v>2</v>
      </c>
    </row>
    <row r="41" spans="1:7">
      <c r="A41" s="38">
        <v>43585</v>
      </c>
      <c r="B41" s="2">
        <v>135504430.34</v>
      </c>
      <c r="C41" s="95">
        <v>1</v>
      </c>
      <c r="D41" s="2">
        <v>37213447.589999996</v>
      </c>
      <c r="E41" s="95">
        <v>1</v>
      </c>
      <c r="F41" s="6">
        <f t="shared" si="5"/>
        <v>172717877.93000001</v>
      </c>
      <c r="G41">
        <f t="shared" si="6"/>
        <v>2</v>
      </c>
    </row>
    <row r="42" spans="1:7">
      <c r="A42" s="38">
        <v>43616</v>
      </c>
      <c r="B42" s="2">
        <v>128894347.47999999</v>
      </c>
      <c r="C42" s="95">
        <v>1</v>
      </c>
      <c r="D42" s="2">
        <v>35047966.960000008</v>
      </c>
      <c r="E42" s="95">
        <v>1</v>
      </c>
      <c r="F42" s="6">
        <f t="shared" si="5"/>
        <v>163942314.44</v>
      </c>
      <c r="G42">
        <f t="shared" si="6"/>
        <v>2</v>
      </c>
    </row>
    <row r="43" spans="1:7">
      <c r="A43" s="38">
        <v>43646</v>
      </c>
      <c r="B43" s="2">
        <v>136357412.25</v>
      </c>
      <c r="C43" s="95">
        <v>1</v>
      </c>
      <c r="D43" s="2">
        <v>36845922.810000002</v>
      </c>
      <c r="E43" s="95">
        <v>1</v>
      </c>
      <c r="F43" s="6">
        <f t="shared" si="5"/>
        <v>173203335.06</v>
      </c>
      <c r="G43">
        <f t="shared" si="6"/>
        <v>2</v>
      </c>
    </row>
    <row r="44" spans="1:7">
      <c r="A44" s="38">
        <v>43677</v>
      </c>
      <c r="B44" s="2">
        <v>139180415.34</v>
      </c>
      <c r="C44" s="95">
        <v>1</v>
      </c>
      <c r="D44" s="2">
        <v>37585797.079999998</v>
      </c>
      <c r="E44" s="95">
        <v>1</v>
      </c>
      <c r="F44" s="6">
        <f t="shared" si="5"/>
        <v>176766212.42000002</v>
      </c>
      <c r="G44">
        <f t="shared" si="6"/>
        <v>2</v>
      </c>
    </row>
    <row r="45" spans="1:7">
      <c r="A45" s="38">
        <v>43708</v>
      </c>
      <c r="B45" s="2">
        <v>140436604.28999999</v>
      </c>
      <c r="C45" s="95">
        <v>1</v>
      </c>
      <c r="D45" s="2">
        <v>36318789.799999997</v>
      </c>
      <c r="E45" s="95">
        <v>1</v>
      </c>
      <c r="F45" s="6">
        <f t="shared" ref="F45:F52" si="7">B45+D45</f>
        <v>176755394.08999997</v>
      </c>
      <c r="G45">
        <f t="shared" ref="G45:G52" si="8">C45+E45</f>
        <v>2</v>
      </c>
    </row>
    <row r="46" spans="1:7">
      <c r="A46" s="38">
        <v>43738</v>
      </c>
      <c r="B46" s="2">
        <v>141944468.33999997</v>
      </c>
      <c r="C46" s="95">
        <v>1</v>
      </c>
      <c r="D46" s="2">
        <v>37833782.740000002</v>
      </c>
      <c r="E46" s="95">
        <v>1</v>
      </c>
      <c r="F46" s="6">
        <f t="shared" si="7"/>
        <v>179778251.07999998</v>
      </c>
      <c r="G46">
        <f t="shared" si="8"/>
        <v>2</v>
      </c>
    </row>
    <row r="47" spans="1:7">
      <c r="A47" s="38">
        <v>43769</v>
      </c>
      <c r="B47" s="2">
        <v>141483860.78</v>
      </c>
      <c r="C47" s="95">
        <v>1</v>
      </c>
      <c r="D47" s="2">
        <v>38491622.799999997</v>
      </c>
      <c r="E47" s="95">
        <v>1</v>
      </c>
      <c r="F47" s="6">
        <f t="shared" si="7"/>
        <v>179975483.57999998</v>
      </c>
      <c r="G47">
        <f t="shared" si="8"/>
        <v>2</v>
      </c>
    </row>
    <row r="48" spans="1:7">
      <c r="A48" s="38">
        <v>43799</v>
      </c>
      <c r="B48" s="2">
        <v>144123331</v>
      </c>
      <c r="C48" s="95">
        <v>1</v>
      </c>
      <c r="D48" s="2">
        <v>38934057.420000002</v>
      </c>
      <c r="E48" s="95">
        <v>1</v>
      </c>
      <c r="F48" s="6">
        <f t="shared" si="7"/>
        <v>183057388.42000002</v>
      </c>
      <c r="G48">
        <f t="shared" si="8"/>
        <v>2</v>
      </c>
    </row>
    <row r="49" spans="1:7">
      <c r="A49" s="38">
        <v>43830</v>
      </c>
      <c r="B49" s="2">
        <v>147040048.00999999</v>
      </c>
      <c r="C49" s="95">
        <v>1</v>
      </c>
      <c r="D49" s="2">
        <v>39522080.510000005</v>
      </c>
      <c r="E49" s="95">
        <v>1</v>
      </c>
      <c r="F49" s="6">
        <f t="shared" si="7"/>
        <v>186562128.51999998</v>
      </c>
      <c r="G49">
        <f t="shared" si="8"/>
        <v>2</v>
      </c>
    </row>
    <row r="50" spans="1:7">
      <c r="A50" s="38">
        <v>43861</v>
      </c>
      <c r="B50" s="2">
        <v>149683309.78999999</v>
      </c>
      <c r="C50" s="95">
        <v>1</v>
      </c>
      <c r="D50" s="2">
        <v>38384529.159999996</v>
      </c>
      <c r="E50" s="95">
        <v>1</v>
      </c>
      <c r="F50" s="6">
        <f t="shared" si="7"/>
        <v>188067838.94999999</v>
      </c>
      <c r="G50">
        <f t="shared" si="8"/>
        <v>2</v>
      </c>
    </row>
    <row r="51" spans="1:7">
      <c r="A51" s="38">
        <v>43890</v>
      </c>
      <c r="B51" s="2">
        <v>137903675.37</v>
      </c>
      <c r="C51" s="95">
        <v>1</v>
      </c>
      <c r="D51" s="2">
        <v>34647497.219999999</v>
      </c>
      <c r="E51" s="95">
        <v>1</v>
      </c>
      <c r="F51" s="6">
        <f t="shared" si="7"/>
        <v>172551172.59</v>
      </c>
      <c r="G51">
        <f t="shared" si="8"/>
        <v>2</v>
      </c>
    </row>
    <row r="52" spans="1:7">
      <c r="A52" s="38">
        <v>43921</v>
      </c>
      <c r="B52" s="2">
        <v>121142644.56999999</v>
      </c>
      <c r="C52" s="95">
        <v>1</v>
      </c>
      <c r="D52" s="2">
        <v>27259879.199999999</v>
      </c>
      <c r="E52" s="95">
        <v>1</v>
      </c>
      <c r="F52" s="6">
        <f t="shared" si="7"/>
        <v>148402523.76999998</v>
      </c>
      <c r="G52">
        <f t="shared" si="8"/>
        <v>2</v>
      </c>
    </row>
    <row r="53" spans="1:7">
      <c r="A53" s="38">
        <v>43951</v>
      </c>
      <c r="B53" s="2">
        <v>131781467.56999999</v>
      </c>
      <c r="C53" s="95">
        <v>1</v>
      </c>
      <c r="D53" s="2">
        <v>28793197.400000002</v>
      </c>
      <c r="E53" s="95">
        <v>1</v>
      </c>
      <c r="F53" s="6">
        <f t="shared" ref="F53:F58" si="9">B53+D53</f>
        <v>160574664.97</v>
      </c>
      <c r="G53">
        <f t="shared" ref="G53:G58" si="10">C53+E53</f>
        <v>2</v>
      </c>
    </row>
    <row r="54" spans="1:7">
      <c r="A54" s="38">
        <v>43982</v>
      </c>
      <c r="B54" s="2">
        <v>139176717.51999998</v>
      </c>
      <c r="C54">
        <v>1</v>
      </c>
      <c r="D54" s="2">
        <v>30315837.530000001</v>
      </c>
      <c r="E54">
        <v>1</v>
      </c>
      <c r="F54" s="6">
        <f t="shared" si="9"/>
        <v>169492555.04999998</v>
      </c>
      <c r="G54">
        <f t="shared" si="10"/>
        <v>2</v>
      </c>
    </row>
    <row r="55" spans="1:7">
      <c r="A55" s="38">
        <v>44012</v>
      </c>
      <c r="B55" s="2">
        <v>140030770.25</v>
      </c>
      <c r="C55">
        <v>1</v>
      </c>
      <c r="D55" s="2">
        <v>30464718.829999998</v>
      </c>
      <c r="E55">
        <v>1</v>
      </c>
      <c r="F55" s="6">
        <f t="shared" si="9"/>
        <v>170495489.07999998</v>
      </c>
      <c r="G55">
        <f t="shared" si="10"/>
        <v>2</v>
      </c>
    </row>
    <row r="56" spans="1:7">
      <c r="A56" s="38">
        <v>44043</v>
      </c>
      <c r="B56" s="2">
        <v>148767444.25999999</v>
      </c>
      <c r="C56">
        <v>1</v>
      </c>
      <c r="D56" s="2">
        <v>32127006.960000001</v>
      </c>
      <c r="E56">
        <v>1</v>
      </c>
      <c r="F56" s="6">
        <f t="shared" si="9"/>
        <v>180894451.22</v>
      </c>
      <c r="G56">
        <f t="shared" si="10"/>
        <v>2</v>
      </c>
    </row>
    <row r="57" spans="1:7">
      <c r="A57" s="38">
        <v>44074</v>
      </c>
      <c r="B57" s="2">
        <v>155562619.90000001</v>
      </c>
      <c r="C57">
        <v>1</v>
      </c>
      <c r="D57" s="2">
        <v>32373650.619999997</v>
      </c>
      <c r="E57">
        <v>1</v>
      </c>
      <c r="F57" s="6">
        <f t="shared" si="9"/>
        <v>187936270.52000001</v>
      </c>
      <c r="G57">
        <f t="shared" si="10"/>
        <v>2</v>
      </c>
    </row>
    <row r="58" spans="1:7">
      <c r="A58" s="38">
        <v>44104</v>
      </c>
      <c r="B58" s="2">
        <v>151481378.78999999</v>
      </c>
      <c r="C58">
        <v>1</v>
      </c>
      <c r="D58" s="2">
        <v>31223382.810000002</v>
      </c>
      <c r="E58">
        <v>1</v>
      </c>
      <c r="F58" s="6">
        <f t="shared" si="9"/>
        <v>182704761.59999999</v>
      </c>
      <c r="G58">
        <f t="shared" si="10"/>
        <v>2</v>
      </c>
    </row>
    <row r="59" spans="1:7">
      <c r="A59" s="38">
        <v>44135</v>
      </c>
      <c r="B59" s="2">
        <v>148385256.91</v>
      </c>
      <c r="C59">
        <v>1</v>
      </c>
      <c r="D59" s="2">
        <v>31743337.889999997</v>
      </c>
      <c r="E59">
        <v>1</v>
      </c>
      <c r="F59" s="6">
        <f t="shared" ref="F59:F65" si="11">B59+D59</f>
        <v>180128594.79999998</v>
      </c>
      <c r="G59">
        <f t="shared" ref="G59:G65" si="12">C59+E59</f>
        <v>2</v>
      </c>
    </row>
    <row r="60" spans="1:7">
      <c r="A60" s="38">
        <v>44165</v>
      </c>
      <c r="B60" s="2">
        <v>158752624.56</v>
      </c>
      <c r="C60">
        <v>1</v>
      </c>
      <c r="D60" s="2">
        <v>33295628.050000001</v>
      </c>
      <c r="E60">
        <v>1</v>
      </c>
      <c r="F60" s="6">
        <f t="shared" si="11"/>
        <v>192048252.61000001</v>
      </c>
      <c r="G60">
        <f t="shared" si="12"/>
        <v>2</v>
      </c>
    </row>
    <row r="61" spans="1:7">
      <c r="A61" s="38">
        <v>44196</v>
      </c>
      <c r="B61" s="2">
        <v>164824298.63</v>
      </c>
      <c r="C61">
        <v>1</v>
      </c>
      <c r="D61" s="2">
        <v>35344272.600000001</v>
      </c>
      <c r="E61">
        <v>1</v>
      </c>
      <c r="F61" s="6">
        <f t="shared" si="11"/>
        <v>200168571.22999999</v>
      </c>
      <c r="G61">
        <f t="shared" si="12"/>
        <v>2</v>
      </c>
    </row>
    <row r="62" spans="1:7">
      <c r="A62" s="38">
        <v>44227</v>
      </c>
      <c r="B62" s="2">
        <v>159916551.59999999</v>
      </c>
      <c r="C62">
        <v>1</v>
      </c>
      <c r="D62" s="2">
        <v>36156148.749999993</v>
      </c>
      <c r="E62">
        <v>1</v>
      </c>
      <c r="F62" s="6">
        <f t="shared" si="11"/>
        <v>196072700.34999999</v>
      </c>
      <c r="G62">
        <f t="shared" si="12"/>
        <v>2</v>
      </c>
    </row>
    <row r="63" spans="1:7">
      <c r="A63" s="38">
        <v>44255</v>
      </c>
      <c r="B63" s="2">
        <v>160087476.15000001</v>
      </c>
      <c r="C63">
        <v>1</v>
      </c>
      <c r="D63" s="2">
        <v>36704613.840000004</v>
      </c>
      <c r="E63">
        <v>1</v>
      </c>
      <c r="F63" s="6">
        <f t="shared" si="11"/>
        <v>196792089.99000001</v>
      </c>
      <c r="G63">
        <f t="shared" si="12"/>
        <v>2</v>
      </c>
    </row>
    <row r="64" spans="1:7">
      <c r="A64" s="38">
        <v>44286</v>
      </c>
      <c r="B64" s="2">
        <v>163969941.91</v>
      </c>
      <c r="C64">
        <v>1</v>
      </c>
      <c r="D64" s="2">
        <v>37104554.060000002</v>
      </c>
      <c r="E64">
        <v>1</v>
      </c>
      <c r="F64" s="6">
        <f t="shared" si="11"/>
        <v>201074495.97</v>
      </c>
      <c r="G64">
        <f t="shared" si="12"/>
        <v>2</v>
      </c>
    </row>
    <row r="65" spans="1:7">
      <c r="A65" s="38">
        <v>44316</v>
      </c>
      <c r="B65" s="2">
        <v>171924909.57999998</v>
      </c>
      <c r="C65">
        <v>1</v>
      </c>
      <c r="D65" s="2">
        <v>38038439.909999996</v>
      </c>
      <c r="E65">
        <v>1</v>
      </c>
      <c r="F65" s="6">
        <f t="shared" si="11"/>
        <v>209963349.48999998</v>
      </c>
      <c r="G65">
        <f t="shared" si="12"/>
        <v>2</v>
      </c>
    </row>
    <row r="66" spans="1:7">
      <c r="A66" s="38">
        <v>44347</v>
      </c>
      <c r="B66" s="2">
        <v>172014864.26999998</v>
      </c>
      <c r="C66">
        <v>1</v>
      </c>
      <c r="D66" s="2">
        <v>37836633.870000005</v>
      </c>
      <c r="E66">
        <v>1</v>
      </c>
      <c r="F66" s="6">
        <f t="shared" ref="F66:G70" si="13">B66+D66</f>
        <v>209851498.13999999</v>
      </c>
      <c r="G66">
        <f t="shared" si="13"/>
        <v>2</v>
      </c>
    </row>
    <row r="67" spans="1:7">
      <c r="A67" s="38">
        <v>44377</v>
      </c>
      <c r="B67" s="2">
        <v>177725201.11000001</v>
      </c>
      <c r="C67">
        <v>1</v>
      </c>
      <c r="D67" s="2">
        <v>37946964.829999998</v>
      </c>
      <c r="E67">
        <v>1</v>
      </c>
      <c r="F67" s="6">
        <f t="shared" si="13"/>
        <v>215672165.94</v>
      </c>
      <c r="G67">
        <f t="shared" si="13"/>
        <v>2</v>
      </c>
    </row>
    <row r="68" spans="1:7">
      <c r="A68" s="38">
        <v>44408</v>
      </c>
      <c r="B68" s="2">
        <v>182672469.06</v>
      </c>
      <c r="C68">
        <v>1</v>
      </c>
      <c r="D68" s="2">
        <v>38627241.560000002</v>
      </c>
      <c r="E68">
        <v>1</v>
      </c>
      <c r="F68" s="6">
        <f t="shared" si="13"/>
        <v>221299710.62</v>
      </c>
      <c r="G68">
        <f t="shared" si="13"/>
        <v>2</v>
      </c>
    </row>
    <row r="69" spans="1:7">
      <c r="A69" s="38">
        <v>44439</v>
      </c>
      <c r="B69" s="2">
        <v>186597931.86000001</v>
      </c>
      <c r="C69">
        <v>1</v>
      </c>
      <c r="D69" s="2">
        <v>38909490.170000002</v>
      </c>
      <c r="E69">
        <v>1</v>
      </c>
      <c r="F69" s="6">
        <f t="shared" si="13"/>
        <v>225507422.03000003</v>
      </c>
      <c r="G69">
        <f t="shared" si="13"/>
        <v>2</v>
      </c>
    </row>
    <row r="70" spans="1:7">
      <c r="A70" s="38">
        <v>44469</v>
      </c>
      <c r="B70" s="2">
        <v>175909776.83000001</v>
      </c>
      <c r="C70">
        <v>1</v>
      </c>
      <c r="D70" s="2">
        <v>37688128.07</v>
      </c>
      <c r="E70">
        <v>1</v>
      </c>
      <c r="F70" s="6">
        <f t="shared" si="13"/>
        <v>213597904.90000001</v>
      </c>
      <c r="G70">
        <f t="shared" si="13"/>
        <v>2</v>
      </c>
    </row>
    <row r="71" spans="1:7">
      <c r="A71" s="38">
        <v>44500</v>
      </c>
      <c r="B71" s="2">
        <v>190211378.42000002</v>
      </c>
      <c r="C71">
        <v>1</v>
      </c>
      <c r="D71" s="2">
        <v>39450738.38000001</v>
      </c>
      <c r="E71">
        <v>1</v>
      </c>
      <c r="F71" s="6">
        <f t="shared" ref="F71:F81" si="14">B71+D71</f>
        <v>229662116.80000001</v>
      </c>
      <c r="G71">
        <f t="shared" ref="G71:G100" si="15">C71+E71</f>
        <v>2</v>
      </c>
    </row>
    <row r="72" spans="1:7">
      <c r="A72" s="38">
        <v>44530</v>
      </c>
      <c r="B72" s="2">
        <v>186980850.75</v>
      </c>
      <c r="C72">
        <v>1</v>
      </c>
      <c r="D72" s="2">
        <v>39259772.950000003</v>
      </c>
      <c r="E72">
        <v>1</v>
      </c>
      <c r="F72" s="6">
        <f t="shared" si="14"/>
        <v>226240623.69999999</v>
      </c>
      <c r="G72">
        <f t="shared" si="15"/>
        <v>2</v>
      </c>
    </row>
    <row r="73" spans="1:7">
      <c r="A73" s="38">
        <v>44561</v>
      </c>
      <c r="B73" s="2">
        <v>194549549.22</v>
      </c>
      <c r="C73">
        <v>1</v>
      </c>
      <c r="D73" s="2">
        <v>41993794.699999996</v>
      </c>
      <c r="E73">
        <v>1</v>
      </c>
      <c r="F73" s="6">
        <f t="shared" si="14"/>
        <v>236543343.91999999</v>
      </c>
      <c r="G73">
        <f t="shared" si="15"/>
        <v>2</v>
      </c>
    </row>
    <row r="74" spans="1:7">
      <c r="A74" s="38">
        <v>44592</v>
      </c>
      <c r="B74" s="2">
        <v>180555230.53999999</v>
      </c>
      <c r="C74">
        <v>1</v>
      </c>
      <c r="D74" s="2">
        <v>39115724.100000001</v>
      </c>
      <c r="E74">
        <v>1</v>
      </c>
      <c r="F74" s="6">
        <f t="shared" si="14"/>
        <v>219670954.63999999</v>
      </c>
      <c r="G74">
        <f t="shared" si="15"/>
        <v>2</v>
      </c>
    </row>
    <row r="75" spans="1:7">
      <c r="A75" s="38">
        <v>44620</v>
      </c>
      <c r="B75" s="2">
        <v>172851987.71000001</v>
      </c>
      <c r="C75">
        <v>1</v>
      </c>
      <c r="D75" s="2">
        <v>38566805.660000004</v>
      </c>
      <c r="E75">
        <v>1</v>
      </c>
      <c r="F75" s="6">
        <f t="shared" si="14"/>
        <v>211418793.37</v>
      </c>
      <c r="G75">
        <f t="shared" si="15"/>
        <v>2</v>
      </c>
    </row>
    <row r="76" spans="1:7">
      <c r="A76" s="38">
        <v>44651</v>
      </c>
      <c r="B76" s="2">
        <v>181497007.62</v>
      </c>
      <c r="C76">
        <v>1</v>
      </c>
      <c r="D76" s="2">
        <v>39112864.640000001</v>
      </c>
      <c r="E76">
        <v>1</v>
      </c>
      <c r="F76" s="6">
        <f t="shared" si="14"/>
        <v>220609872.25999999</v>
      </c>
      <c r="G76">
        <f t="shared" si="15"/>
        <v>2</v>
      </c>
    </row>
    <row r="77" spans="1:7">
      <c r="A77" s="38">
        <v>44681</v>
      </c>
      <c r="B77" s="2">
        <v>174861390.73000002</v>
      </c>
      <c r="C77">
        <v>1</v>
      </c>
      <c r="D77" s="2">
        <v>36964324.990000002</v>
      </c>
      <c r="E77">
        <v>1</v>
      </c>
      <c r="F77" s="6">
        <f t="shared" si="14"/>
        <v>211825715.72000003</v>
      </c>
      <c r="G77">
        <f t="shared" si="15"/>
        <v>2</v>
      </c>
    </row>
    <row r="78" spans="1:7">
      <c r="A78" s="38">
        <v>44712</v>
      </c>
      <c r="B78" s="2">
        <v>175467202.98000002</v>
      </c>
      <c r="C78">
        <v>1</v>
      </c>
      <c r="D78" s="2">
        <v>37620764.549999997</v>
      </c>
      <c r="E78">
        <v>1</v>
      </c>
      <c r="F78" s="6">
        <f t="shared" si="14"/>
        <v>213087967.53000003</v>
      </c>
      <c r="G78">
        <f t="shared" si="15"/>
        <v>2</v>
      </c>
    </row>
    <row r="79" spans="1:7">
      <c r="A79" s="38">
        <v>44742</v>
      </c>
      <c r="B79" s="2">
        <v>164199231.21000001</v>
      </c>
      <c r="C79">
        <v>1</v>
      </c>
      <c r="D79" s="2">
        <v>36748758.560000002</v>
      </c>
      <c r="E79">
        <v>1</v>
      </c>
      <c r="F79" s="6">
        <f t="shared" si="14"/>
        <v>200947989.77000001</v>
      </c>
      <c r="G79">
        <f t="shared" si="15"/>
        <v>2</v>
      </c>
    </row>
    <row r="80" spans="1:7">
      <c r="A80" s="38">
        <v>44773</v>
      </c>
      <c r="B80" s="2">
        <v>171205903.32999998</v>
      </c>
      <c r="C80">
        <v>1</v>
      </c>
      <c r="D80" s="2">
        <v>38889110.259999998</v>
      </c>
      <c r="E80">
        <v>1</v>
      </c>
      <c r="F80" s="6">
        <f t="shared" si="14"/>
        <v>210095013.58999997</v>
      </c>
      <c r="G80">
        <f t="shared" si="15"/>
        <v>2</v>
      </c>
    </row>
    <row r="81" spans="1:8">
      <c r="A81" s="38">
        <v>44804</v>
      </c>
      <c r="B81" s="2">
        <v>166952394.06</v>
      </c>
      <c r="C81">
        <v>1</v>
      </c>
      <c r="D81" s="2">
        <v>37284670.869999997</v>
      </c>
      <c r="E81">
        <v>1</v>
      </c>
      <c r="F81" s="6">
        <f t="shared" si="14"/>
        <v>204237064.93000001</v>
      </c>
      <c r="G81">
        <f t="shared" si="15"/>
        <v>2</v>
      </c>
    </row>
    <row r="82" spans="1:8">
      <c r="A82" s="38">
        <v>44834</v>
      </c>
      <c r="B82" s="2">
        <v>154362754.69999999</v>
      </c>
      <c r="C82">
        <v>1</v>
      </c>
      <c r="D82" s="2">
        <v>34732608.079999998</v>
      </c>
      <c r="E82">
        <v>1</v>
      </c>
      <c r="F82" s="6">
        <f t="shared" ref="F82:F90" si="16">B82+D82</f>
        <v>189095362.77999997</v>
      </c>
      <c r="G82">
        <f t="shared" si="15"/>
        <v>2</v>
      </c>
    </row>
    <row r="83" spans="1:8">
      <c r="A83" s="38">
        <v>44865</v>
      </c>
      <c r="B83" s="2">
        <v>170388121.40000001</v>
      </c>
      <c r="C83">
        <v>1</v>
      </c>
      <c r="D83" s="2">
        <v>38337148.82</v>
      </c>
      <c r="E83">
        <v>1</v>
      </c>
      <c r="F83" s="6">
        <f t="shared" si="16"/>
        <v>208725270.22</v>
      </c>
      <c r="G83">
        <f t="shared" si="15"/>
        <v>2</v>
      </c>
    </row>
    <row r="84" spans="1:8">
      <c r="A84" s="38">
        <v>44895</v>
      </c>
      <c r="B84" s="2">
        <v>178517990.17000002</v>
      </c>
      <c r="C84">
        <v>1</v>
      </c>
      <c r="D84" s="2">
        <v>39526457.399999991</v>
      </c>
      <c r="E84">
        <v>1</v>
      </c>
      <c r="F84" s="6">
        <f t="shared" si="16"/>
        <v>218044447.56999999</v>
      </c>
      <c r="G84">
        <f t="shared" si="15"/>
        <v>2</v>
      </c>
    </row>
    <row r="85" spans="1:8">
      <c r="A85" s="38">
        <v>44926</v>
      </c>
      <c r="B85" s="2">
        <v>171868644.75</v>
      </c>
      <c r="C85">
        <v>1</v>
      </c>
      <c r="D85" s="2">
        <v>37297660.940000005</v>
      </c>
      <c r="E85">
        <v>1</v>
      </c>
      <c r="F85" s="6">
        <f t="shared" si="16"/>
        <v>209166305.69</v>
      </c>
      <c r="G85">
        <f t="shared" si="15"/>
        <v>2</v>
      </c>
    </row>
    <row r="86" spans="1:8">
      <c r="A86" s="38">
        <v>44957</v>
      </c>
      <c r="B86" s="2">
        <v>176808977.86000001</v>
      </c>
      <c r="C86">
        <v>1</v>
      </c>
      <c r="D86" s="2">
        <v>39209266.619999997</v>
      </c>
      <c r="E86">
        <v>1</v>
      </c>
      <c r="F86" s="6">
        <f t="shared" si="16"/>
        <v>216018244.48000002</v>
      </c>
      <c r="G86">
        <f t="shared" si="15"/>
        <v>2</v>
      </c>
    </row>
    <row r="87" spans="1:8">
      <c r="A87" s="38">
        <v>44985</v>
      </c>
      <c r="B87" s="2">
        <v>171640998.62</v>
      </c>
      <c r="C87">
        <v>1</v>
      </c>
      <c r="D87" s="2">
        <v>38493024.359999999</v>
      </c>
      <c r="E87">
        <v>1</v>
      </c>
      <c r="F87" s="6">
        <f t="shared" si="16"/>
        <v>210134022.98000002</v>
      </c>
      <c r="G87">
        <f t="shared" si="15"/>
        <v>2</v>
      </c>
    </row>
    <row r="88" spans="1:8">
      <c r="A88" s="38">
        <v>45016</v>
      </c>
      <c r="B88" s="2">
        <v>173887082.82999998</v>
      </c>
      <c r="C88">
        <v>1</v>
      </c>
      <c r="D88" s="2">
        <v>37639892.099999994</v>
      </c>
      <c r="E88">
        <v>1</v>
      </c>
      <c r="F88" s="6">
        <f t="shared" si="16"/>
        <v>211526974.92999998</v>
      </c>
      <c r="G88">
        <f t="shared" si="15"/>
        <v>2</v>
      </c>
    </row>
    <row r="89" spans="1:8">
      <c r="A89" s="38">
        <v>45046</v>
      </c>
      <c r="B89" s="2">
        <v>175880726.05000001</v>
      </c>
      <c r="C89">
        <v>1</v>
      </c>
      <c r="D89" s="2">
        <v>37282286.149999999</v>
      </c>
      <c r="E89">
        <v>1</v>
      </c>
      <c r="F89" s="6">
        <f t="shared" si="16"/>
        <v>213163012.20000002</v>
      </c>
      <c r="G89">
        <f t="shared" si="15"/>
        <v>2</v>
      </c>
    </row>
    <row r="90" spans="1:8">
      <c r="A90" s="38">
        <v>45077</v>
      </c>
      <c r="B90" s="2">
        <v>170854871.34000003</v>
      </c>
      <c r="C90">
        <v>1</v>
      </c>
      <c r="D90" s="2">
        <v>36217301.409999989</v>
      </c>
      <c r="E90">
        <v>1</v>
      </c>
      <c r="F90" s="6">
        <f t="shared" si="16"/>
        <v>207072172.75000003</v>
      </c>
      <c r="G90">
        <f t="shared" si="15"/>
        <v>2</v>
      </c>
    </row>
    <row r="91" spans="1:8">
      <c r="A91" s="38">
        <v>45107</v>
      </c>
      <c r="B91" s="2">
        <v>153614478.26999998</v>
      </c>
      <c r="C91">
        <v>1</v>
      </c>
      <c r="D91" s="2">
        <v>0</v>
      </c>
      <c r="E91">
        <v>0</v>
      </c>
      <c r="F91" s="6">
        <f t="shared" ref="F91:F100" si="17">B91+D91</f>
        <v>153614478.26999998</v>
      </c>
      <c r="G91">
        <f t="shared" si="15"/>
        <v>1</v>
      </c>
      <c r="H91" t="s">
        <v>192</v>
      </c>
    </row>
    <row r="92" spans="1:8">
      <c r="A92" s="38">
        <v>45138</v>
      </c>
      <c r="B92" s="2">
        <v>156277801.01000002</v>
      </c>
      <c r="C92">
        <v>1</v>
      </c>
      <c r="D92" s="2">
        <v>0</v>
      </c>
      <c r="E92">
        <v>0</v>
      </c>
      <c r="F92" s="6">
        <f t="shared" si="17"/>
        <v>156277801.01000002</v>
      </c>
      <c r="G92">
        <f t="shared" si="15"/>
        <v>1</v>
      </c>
    </row>
    <row r="93" spans="1:8">
      <c r="A93" s="38">
        <v>45169</v>
      </c>
      <c r="B93" s="2">
        <v>152792347.07999998</v>
      </c>
      <c r="C93">
        <v>1</v>
      </c>
      <c r="D93" s="2">
        <v>0</v>
      </c>
      <c r="E93">
        <v>0</v>
      </c>
      <c r="F93" s="6">
        <f t="shared" si="17"/>
        <v>152792347.07999998</v>
      </c>
      <c r="G93">
        <f t="shared" si="15"/>
        <v>1</v>
      </c>
    </row>
    <row r="94" spans="1:8">
      <c r="A94" s="38">
        <v>45199</v>
      </c>
      <c r="B94" s="2">
        <v>149385450.06</v>
      </c>
      <c r="C94">
        <v>1</v>
      </c>
      <c r="D94" s="2">
        <v>0</v>
      </c>
      <c r="E94">
        <v>0</v>
      </c>
      <c r="F94" s="6">
        <f t="shared" si="17"/>
        <v>149385450.06</v>
      </c>
      <c r="G94">
        <f t="shared" si="15"/>
        <v>1</v>
      </c>
    </row>
    <row r="95" spans="1:8">
      <c r="A95" s="38">
        <v>45230</v>
      </c>
      <c r="B95" s="2">
        <v>148165256.89000005</v>
      </c>
      <c r="C95">
        <v>1</v>
      </c>
      <c r="D95" s="2">
        <v>0</v>
      </c>
      <c r="E95">
        <v>0</v>
      </c>
      <c r="F95" s="6">
        <f t="shared" si="17"/>
        <v>148165256.89000005</v>
      </c>
      <c r="G95">
        <f t="shared" si="15"/>
        <v>1</v>
      </c>
    </row>
    <row r="96" spans="1:8">
      <c r="A96" s="38">
        <v>45260</v>
      </c>
      <c r="B96" s="2">
        <v>157525154.66000003</v>
      </c>
      <c r="C96">
        <v>1</v>
      </c>
      <c r="D96" s="2">
        <v>0</v>
      </c>
      <c r="E96">
        <v>0</v>
      </c>
      <c r="F96" s="6">
        <f t="shared" si="17"/>
        <v>157525154.66000003</v>
      </c>
      <c r="G96">
        <f t="shared" si="15"/>
        <v>1</v>
      </c>
    </row>
    <row r="97" spans="1:12">
      <c r="A97" s="38">
        <v>45291</v>
      </c>
      <c r="B97" s="2">
        <v>163492385.37999991</v>
      </c>
      <c r="C97">
        <v>1</v>
      </c>
      <c r="D97" s="2">
        <v>0</v>
      </c>
      <c r="E97">
        <v>0</v>
      </c>
      <c r="F97" s="6">
        <f t="shared" si="17"/>
        <v>163492385.37999991</v>
      </c>
      <c r="G97">
        <f t="shared" si="15"/>
        <v>1</v>
      </c>
      <c r="H97" s="6"/>
      <c r="I97" s="191"/>
      <c r="J97" s="204"/>
      <c r="K97" s="204"/>
    </row>
    <row r="98" spans="1:12">
      <c r="A98" s="38">
        <v>45322</v>
      </c>
      <c r="B98" s="2">
        <v>167762430.38</v>
      </c>
      <c r="C98">
        <v>1</v>
      </c>
      <c r="D98" s="2">
        <v>0</v>
      </c>
      <c r="E98">
        <v>0</v>
      </c>
      <c r="F98" s="6">
        <f t="shared" si="17"/>
        <v>167762430.38</v>
      </c>
      <c r="G98">
        <f t="shared" si="15"/>
        <v>1</v>
      </c>
      <c r="H98" s="6"/>
      <c r="I98" s="191"/>
      <c r="J98" s="204"/>
      <c r="K98" s="11"/>
      <c r="L98" s="11"/>
    </row>
    <row r="99" spans="1:12">
      <c r="A99" s="38">
        <v>45351</v>
      </c>
      <c r="B99" s="2">
        <v>173317135.44999999</v>
      </c>
      <c r="C99">
        <v>1</v>
      </c>
      <c r="D99" s="2">
        <v>0</v>
      </c>
      <c r="E99">
        <v>0</v>
      </c>
      <c r="F99" s="6">
        <f t="shared" si="17"/>
        <v>173317135.44999999</v>
      </c>
      <c r="G99">
        <f t="shared" si="15"/>
        <v>1</v>
      </c>
      <c r="H99" s="6"/>
      <c r="I99" s="191"/>
      <c r="J99" s="204"/>
      <c r="K99" s="11"/>
      <c r="L99" s="11"/>
    </row>
    <row r="100" spans="1:12">
      <c r="A100" s="38">
        <v>45382</v>
      </c>
      <c r="B100" s="2">
        <v>179413873.68999994</v>
      </c>
      <c r="C100">
        <v>1</v>
      </c>
      <c r="D100" s="2">
        <v>0</v>
      </c>
      <c r="E100">
        <v>0</v>
      </c>
      <c r="F100" s="6">
        <f t="shared" si="17"/>
        <v>179413873.68999994</v>
      </c>
      <c r="G100">
        <f t="shared" si="15"/>
        <v>1</v>
      </c>
      <c r="H100" s="6"/>
      <c r="I100" s="191"/>
      <c r="J100" s="204"/>
      <c r="K100" s="11"/>
      <c r="L100" s="11"/>
    </row>
    <row r="101" spans="1:12">
      <c r="A101" s="38">
        <v>45412</v>
      </c>
      <c r="B101" s="2">
        <v>172318953.14999995</v>
      </c>
      <c r="C101">
        <v>1</v>
      </c>
      <c r="D101" s="2">
        <v>0</v>
      </c>
      <c r="E101">
        <v>0</v>
      </c>
      <c r="F101" s="6">
        <f t="shared" ref="F101:F109" si="18">B101+D101</f>
        <v>172318953.14999995</v>
      </c>
      <c r="G101">
        <f t="shared" ref="G101:G109" si="19">C101+E101</f>
        <v>1</v>
      </c>
      <c r="H101" s="6"/>
      <c r="I101" s="191"/>
      <c r="J101" s="204"/>
      <c r="K101" s="11"/>
      <c r="L101" s="11"/>
    </row>
    <row r="102" spans="1:12">
      <c r="A102" s="38">
        <v>45443</v>
      </c>
      <c r="B102" s="2">
        <v>178505014.97</v>
      </c>
      <c r="C102">
        <v>1</v>
      </c>
      <c r="D102" s="2">
        <v>0</v>
      </c>
      <c r="E102">
        <v>0</v>
      </c>
      <c r="F102" s="6">
        <f t="shared" si="18"/>
        <v>178505014.97</v>
      </c>
      <c r="G102">
        <f t="shared" si="19"/>
        <v>1</v>
      </c>
      <c r="H102" s="6"/>
      <c r="I102" s="191"/>
      <c r="J102" s="204"/>
      <c r="K102" s="11"/>
      <c r="L102" s="11"/>
    </row>
    <row r="103" spans="1:12">
      <c r="A103" s="38">
        <v>45473</v>
      </c>
      <c r="B103" s="2">
        <v>121146111.05</v>
      </c>
      <c r="C103">
        <v>1</v>
      </c>
      <c r="D103" s="2">
        <v>0</v>
      </c>
      <c r="E103">
        <v>0</v>
      </c>
      <c r="F103" s="6">
        <f t="shared" si="18"/>
        <v>121146111.05</v>
      </c>
      <c r="G103">
        <f t="shared" si="19"/>
        <v>1</v>
      </c>
      <c r="H103" s="6" t="s">
        <v>190</v>
      </c>
      <c r="I103" s="191"/>
      <c r="J103" s="204"/>
      <c r="K103" s="11"/>
      <c r="L103" s="11"/>
    </row>
    <row r="104" spans="1:12">
      <c r="A104" s="38">
        <v>45504</v>
      </c>
      <c r="B104" s="2">
        <v>124623379.80999999</v>
      </c>
      <c r="C104">
        <v>1</v>
      </c>
      <c r="D104" s="2">
        <v>0</v>
      </c>
      <c r="E104">
        <v>0</v>
      </c>
      <c r="F104" s="6">
        <f t="shared" si="18"/>
        <v>124623379.80999999</v>
      </c>
      <c r="G104">
        <f t="shared" si="19"/>
        <v>1</v>
      </c>
      <c r="H104" s="206" t="s">
        <v>191</v>
      </c>
      <c r="I104" s="191"/>
      <c r="J104" s="204"/>
      <c r="K104" s="11"/>
      <c r="L104" s="11"/>
    </row>
    <row r="105" spans="1:12">
      <c r="A105" s="38">
        <v>45535</v>
      </c>
      <c r="B105" s="2">
        <v>130759595.06000005</v>
      </c>
      <c r="C105">
        <v>1</v>
      </c>
      <c r="D105" s="2">
        <v>0</v>
      </c>
      <c r="E105">
        <v>0</v>
      </c>
      <c r="F105" s="6">
        <f t="shared" si="18"/>
        <v>130759595.06000005</v>
      </c>
      <c r="G105">
        <f t="shared" si="19"/>
        <v>1</v>
      </c>
      <c r="H105" s="6"/>
      <c r="I105" s="191"/>
      <c r="J105" s="204"/>
      <c r="K105" s="11"/>
      <c r="L105" s="11"/>
    </row>
    <row r="106" spans="1:12">
      <c r="A106" s="38">
        <v>45565</v>
      </c>
      <c r="B106" s="2">
        <v>131342775.61999996</v>
      </c>
      <c r="C106">
        <v>1</v>
      </c>
      <c r="D106" s="2">
        <v>0</v>
      </c>
      <c r="E106">
        <v>0</v>
      </c>
      <c r="F106" s="6">
        <f t="shared" si="18"/>
        <v>131342775.61999996</v>
      </c>
      <c r="G106">
        <f t="shared" si="19"/>
        <v>1</v>
      </c>
      <c r="H106" s="6"/>
      <c r="I106" s="191"/>
      <c r="J106" s="204"/>
      <c r="K106" s="11"/>
      <c r="L106" s="11"/>
    </row>
    <row r="107" spans="1:12">
      <c r="A107" s="38">
        <v>45596</v>
      </c>
      <c r="B107" s="2">
        <v>127550011.19</v>
      </c>
      <c r="C107">
        <v>1</v>
      </c>
      <c r="D107" s="2">
        <v>0</v>
      </c>
      <c r="E107">
        <v>0</v>
      </c>
      <c r="F107" s="6">
        <f t="shared" si="18"/>
        <v>127550011.19</v>
      </c>
      <c r="G107">
        <f t="shared" si="19"/>
        <v>1</v>
      </c>
      <c r="H107" s="6"/>
      <c r="I107" s="191"/>
      <c r="J107" s="204"/>
      <c r="K107" s="11"/>
      <c r="L107" s="11"/>
    </row>
    <row r="108" spans="1:12">
      <c r="A108" s="38">
        <v>45626</v>
      </c>
      <c r="B108" s="2">
        <v>136563843.64999998</v>
      </c>
      <c r="C108">
        <v>1</v>
      </c>
      <c r="D108" s="2">
        <v>0</v>
      </c>
      <c r="E108">
        <v>0</v>
      </c>
      <c r="F108" s="6">
        <f t="shared" si="18"/>
        <v>136563843.64999998</v>
      </c>
      <c r="G108">
        <f t="shared" si="19"/>
        <v>1</v>
      </c>
      <c r="H108" s="6"/>
      <c r="I108" s="191"/>
      <c r="J108" s="204"/>
      <c r="K108" s="11"/>
      <c r="L108" s="11"/>
    </row>
    <row r="109" spans="1:12">
      <c r="A109" s="38">
        <v>45657</v>
      </c>
      <c r="B109" s="2">
        <v>130198016.45</v>
      </c>
      <c r="C109">
        <v>1</v>
      </c>
      <c r="D109" s="2">
        <v>0</v>
      </c>
      <c r="E109">
        <v>0</v>
      </c>
      <c r="F109" s="6">
        <f t="shared" si="18"/>
        <v>130198016.45</v>
      </c>
      <c r="G109">
        <f t="shared" si="19"/>
        <v>1</v>
      </c>
      <c r="H109" s="6"/>
      <c r="I109" s="191"/>
      <c r="J109" s="204"/>
      <c r="K109" s="11"/>
      <c r="L109" s="11"/>
    </row>
    <row r="110" spans="1:12">
      <c r="A110" s="38">
        <v>45688</v>
      </c>
      <c r="B110" s="2">
        <v>135860299.88</v>
      </c>
      <c r="C110">
        <v>1</v>
      </c>
      <c r="D110" s="2">
        <v>0</v>
      </c>
      <c r="E110">
        <v>0</v>
      </c>
      <c r="F110" s="6">
        <f t="shared" ref="F110:F112" si="20">B110+D110</f>
        <v>135860299.88</v>
      </c>
      <c r="G110">
        <f t="shared" ref="G110:G112" si="21">C110+E110</f>
        <v>1</v>
      </c>
    </row>
    <row r="111" spans="1:12">
      <c r="A111" s="38">
        <v>45716</v>
      </c>
      <c r="B111" s="2">
        <v>134586070.07999995</v>
      </c>
      <c r="C111">
        <v>1</v>
      </c>
      <c r="D111" s="2">
        <v>0</v>
      </c>
      <c r="E111">
        <v>0</v>
      </c>
      <c r="F111" s="6">
        <f t="shared" si="20"/>
        <v>134586070.07999995</v>
      </c>
      <c r="G111">
        <f t="shared" si="21"/>
        <v>1</v>
      </c>
    </row>
    <row r="112" spans="1:12">
      <c r="A112" s="38">
        <v>45747</v>
      </c>
      <c r="B112" s="2">
        <v>132327130.79999998</v>
      </c>
      <c r="C112">
        <v>1</v>
      </c>
      <c r="D112" s="2">
        <v>0</v>
      </c>
      <c r="E112">
        <v>0</v>
      </c>
      <c r="F112" s="6">
        <f t="shared" si="20"/>
        <v>132327130.79999998</v>
      </c>
      <c r="G112">
        <f t="shared" si="21"/>
        <v>1</v>
      </c>
    </row>
    <row r="113" spans="1:7">
      <c r="A113" s="38">
        <v>45777</v>
      </c>
      <c r="B113" s="2">
        <v>129999649.18000001</v>
      </c>
      <c r="C113">
        <v>1</v>
      </c>
      <c r="D113" s="2">
        <v>0</v>
      </c>
      <c r="E113">
        <v>0</v>
      </c>
      <c r="F113" s="6">
        <f t="shared" ref="F113" si="22">B113+D113</f>
        <v>129999649.18000001</v>
      </c>
      <c r="G113">
        <f t="shared" ref="G113" si="23">C113+E113</f>
        <v>1</v>
      </c>
    </row>
    <row r="114" spans="1:7">
      <c r="A114" s="38">
        <v>45808</v>
      </c>
      <c r="B114" s="2">
        <v>132118121.58000001</v>
      </c>
      <c r="C114">
        <v>1</v>
      </c>
      <c r="D114" s="2">
        <v>0</v>
      </c>
      <c r="E114">
        <v>0</v>
      </c>
      <c r="F114" s="6">
        <f t="shared" ref="F114" si="24">B114+D114</f>
        <v>132118121.58000001</v>
      </c>
      <c r="G114">
        <f t="shared" ref="G114" si="25">C114+E114</f>
        <v>1</v>
      </c>
    </row>
    <row r="115" spans="1:7">
      <c r="A115" s="38">
        <v>45838</v>
      </c>
      <c r="B115" s="2">
        <v>132772789.34</v>
      </c>
      <c r="C115">
        <v>1</v>
      </c>
      <c r="D115" s="2">
        <v>0</v>
      </c>
      <c r="E115">
        <v>0</v>
      </c>
      <c r="F115" s="6">
        <f t="shared" ref="F115" si="26">B115+D115</f>
        <v>132772789.34</v>
      </c>
      <c r="G115">
        <f t="shared" ref="G115" si="27">C115+E115</f>
        <v>1</v>
      </c>
    </row>
    <row r="116" spans="1:7">
      <c r="A116" s="38"/>
      <c r="B116" s="2"/>
    </row>
  </sheetData>
  <pageMargins left="0.7" right="0.7" top="0.75" bottom="0.75" header="0.3" footer="0.3"/>
  <pageSetup orientation="portrait" horizontalDpi="0" verticalDpi="0"/>
  <ignoredErrors>
    <ignoredError sqref="L6:L7" formulaRange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85948-23A5-4D51-A8C8-174805381DAD}">
  <sheetPr>
    <tabColor theme="5" tint="0.59999389629810485"/>
  </sheetPr>
  <dimension ref="A1:F119"/>
  <sheetViews>
    <sheetView workbookViewId="0">
      <pane ySplit="1" topLeftCell="A94" activePane="bottomLeft" state="frozen"/>
      <selection pane="bottomLeft" activeCell="A112" sqref="A112"/>
    </sheetView>
  </sheetViews>
  <sheetFormatPr baseColWidth="10" defaultColWidth="8.83203125" defaultRowHeight="16"/>
  <cols>
    <col min="1" max="1" width="9.83203125" bestFit="1" customWidth="1"/>
    <col min="2" max="2" width="16.6640625" bestFit="1" customWidth="1"/>
    <col min="3" max="3" width="15" bestFit="1" customWidth="1"/>
    <col min="4" max="4" width="14" bestFit="1" customWidth="1"/>
    <col min="5" max="5" width="5.33203125" bestFit="1" customWidth="1"/>
    <col min="6" max="6" width="15.6640625" customWidth="1"/>
  </cols>
  <sheetData>
    <row r="1" spans="1:5">
      <c r="A1" s="3" t="s">
        <v>0</v>
      </c>
      <c r="B1" s="90" t="s">
        <v>76</v>
      </c>
      <c r="C1" s="90" t="s">
        <v>77</v>
      </c>
      <c r="D1" s="3" t="s">
        <v>10</v>
      </c>
      <c r="E1" s="9" t="s">
        <v>69</v>
      </c>
    </row>
    <row r="2" spans="1:5">
      <c r="A2" s="38">
        <v>42490</v>
      </c>
      <c r="B2" s="25">
        <v>983504.05</v>
      </c>
      <c r="C2" s="25"/>
      <c r="D2" s="25">
        <f>B2+C2</f>
        <v>983504.05</v>
      </c>
      <c r="E2">
        <f>COUNT(B2:C2)</f>
        <v>1</v>
      </c>
    </row>
    <row r="3" spans="1:5">
      <c r="A3" s="38">
        <v>42521</v>
      </c>
      <c r="B3" s="25">
        <v>1002039.74</v>
      </c>
      <c r="C3" s="25">
        <v>503096.18</v>
      </c>
      <c r="D3" s="25">
        <f>B3+C3</f>
        <v>1505135.92</v>
      </c>
      <c r="E3">
        <f t="shared" ref="E3:E28" si="0">COUNT(B3:C3)</f>
        <v>2</v>
      </c>
    </row>
    <row r="4" spans="1:5">
      <c r="A4" s="38">
        <v>42551</v>
      </c>
      <c r="B4" s="25">
        <v>1044267.77</v>
      </c>
      <c r="C4" s="25">
        <v>523075.64</v>
      </c>
      <c r="D4" s="25">
        <f t="shared" ref="D4:D67" si="1">B4+C4</f>
        <v>1567343.4100000001</v>
      </c>
      <c r="E4">
        <f t="shared" si="0"/>
        <v>2</v>
      </c>
    </row>
    <row r="5" spans="1:5">
      <c r="A5" s="38">
        <v>42582</v>
      </c>
      <c r="B5" s="25">
        <v>1058137.8600000001</v>
      </c>
      <c r="C5" s="25">
        <v>531926.28</v>
      </c>
      <c r="D5" s="25">
        <f t="shared" si="1"/>
        <v>1590064.1400000001</v>
      </c>
      <c r="E5">
        <f t="shared" si="0"/>
        <v>2</v>
      </c>
    </row>
    <row r="6" spans="1:5">
      <c r="A6" s="38">
        <v>42613</v>
      </c>
      <c r="B6" s="25">
        <v>1041055.2</v>
      </c>
      <c r="C6" s="25">
        <v>523497.44</v>
      </c>
      <c r="D6" s="25">
        <f t="shared" si="1"/>
        <v>1564552.64</v>
      </c>
      <c r="E6">
        <f t="shared" si="0"/>
        <v>2</v>
      </c>
    </row>
    <row r="7" spans="1:5">
      <c r="A7" s="38">
        <v>42643</v>
      </c>
      <c r="B7" s="25">
        <v>1039684.18</v>
      </c>
      <c r="C7" s="25">
        <v>523973.09</v>
      </c>
      <c r="D7" s="25">
        <f t="shared" si="1"/>
        <v>1563657.27</v>
      </c>
      <c r="E7">
        <f t="shared" si="0"/>
        <v>2</v>
      </c>
    </row>
    <row r="8" spans="1:5">
      <c r="A8" s="38">
        <v>42674</v>
      </c>
      <c r="B8" s="25">
        <v>1004997.82</v>
      </c>
      <c r="C8" s="25">
        <v>508738.29</v>
      </c>
      <c r="D8" s="25">
        <f t="shared" si="1"/>
        <v>1513736.1099999999</v>
      </c>
      <c r="E8">
        <f t="shared" si="0"/>
        <v>2</v>
      </c>
    </row>
    <row r="9" spans="1:5">
      <c r="A9" s="38">
        <v>42704</v>
      </c>
      <c r="B9" s="25">
        <v>1010143.48</v>
      </c>
      <c r="C9" s="25">
        <v>513213.32</v>
      </c>
      <c r="D9" s="25">
        <f t="shared" si="1"/>
        <v>1523356.8</v>
      </c>
      <c r="E9">
        <f t="shared" si="0"/>
        <v>2</v>
      </c>
    </row>
    <row r="10" spans="1:5">
      <c r="A10" s="38">
        <v>42735</v>
      </c>
      <c r="B10" s="25">
        <v>1022726.25</v>
      </c>
      <c r="C10" s="25">
        <v>521438.86</v>
      </c>
      <c r="D10" s="25">
        <f t="shared" si="1"/>
        <v>1544165.1099999999</v>
      </c>
      <c r="E10">
        <f t="shared" si="0"/>
        <v>2</v>
      </c>
    </row>
    <row r="11" spans="1:5">
      <c r="A11" s="38">
        <v>42766</v>
      </c>
      <c r="B11" s="25">
        <v>1025324.02</v>
      </c>
      <c r="C11" s="25">
        <v>522066.5</v>
      </c>
      <c r="D11" s="25">
        <f t="shared" si="1"/>
        <v>1547390.52</v>
      </c>
      <c r="E11">
        <f t="shared" si="0"/>
        <v>2</v>
      </c>
    </row>
    <row r="12" spans="1:5">
      <c r="A12" s="38">
        <v>42794</v>
      </c>
      <c r="B12" s="25">
        <v>1059827.03</v>
      </c>
      <c r="C12" s="25">
        <v>536097.78</v>
      </c>
      <c r="D12" s="25">
        <f t="shared" si="1"/>
        <v>1595924.81</v>
      </c>
      <c r="E12">
        <f t="shared" si="0"/>
        <v>2</v>
      </c>
    </row>
    <row r="13" spans="1:5">
      <c r="A13" s="38">
        <v>42825</v>
      </c>
      <c r="B13" s="25">
        <v>1054124.1299999999</v>
      </c>
      <c r="C13" s="25">
        <v>534645.93999999994</v>
      </c>
      <c r="D13" s="25">
        <f t="shared" si="1"/>
        <v>1588770.0699999998</v>
      </c>
      <c r="E13">
        <f t="shared" si="0"/>
        <v>2</v>
      </c>
    </row>
    <row r="14" spans="1:5">
      <c r="A14" s="38">
        <v>42855</v>
      </c>
      <c r="B14" s="25">
        <v>1058350.6100000001</v>
      </c>
      <c r="C14" s="25">
        <v>538063.89</v>
      </c>
      <c r="D14" s="25">
        <f t="shared" si="1"/>
        <v>1596414.5</v>
      </c>
      <c r="E14">
        <f t="shared" si="0"/>
        <v>2</v>
      </c>
    </row>
    <row r="15" spans="1:5">
      <c r="A15" s="38">
        <v>42886</v>
      </c>
      <c r="B15" s="25">
        <v>1068813.81</v>
      </c>
      <c r="C15" s="25">
        <v>544269.4</v>
      </c>
      <c r="D15" s="25">
        <f t="shared" si="1"/>
        <v>1613083.21</v>
      </c>
      <c r="E15">
        <f t="shared" si="0"/>
        <v>2</v>
      </c>
    </row>
    <row r="16" spans="1:5">
      <c r="A16" s="38">
        <v>42916</v>
      </c>
      <c r="B16" s="25">
        <v>1068891.02</v>
      </c>
      <c r="C16" s="25">
        <v>545285.25</v>
      </c>
      <c r="D16" s="25">
        <f t="shared" si="1"/>
        <v>1614176.27</v>
      </c>
      <c r="E16">
        <f t="shared" si="0"/>
        <v>2</v>
      </c>
    </row>
    <row r="17" spans="1:5">
      <c r="A17" s="38">
        <v>42947</v>
      </c>
      <c r="B17" s="25">
        <v>1083401.5900000001</v>
      </c>
      <c r="C17" s="25">
        <v>553755.80000000005</v>
      </c>
      <c r="D17" s="25">
        <f t="shared" si="1"/>
        <v>1637157.3900000001</v>
      </c>
      <c r="E17">
        <f t="shared" si="0"/>
        <v>2</v>
      </c>
    </row>
    <row r="18" spans="1:5">
      <c r="A18" s="38">
        <v>42978</v>
      </c>
      <c r="B18" s="25">
        <v>1079865.31</v>
      </c>
      <c r="C18" s="25">
        <v>553019.56999999995</v>
      </c>
      <c r="D18" s="25">
        <f t="shared" si="1"/>
        <v>1632884.88</v>
      </c>
      <c r="E18">
        <f t="shared" si="0"/>
        <v>2</v>
      </c>
    </row>
    <row r="19" spans="1:5">
      <c r="A19" s="38">
        <v>43008</v>
      </c>
      <c r="B19" s="25">
        <v>1093782.93</v>
      </c>
      <c r="C19" s="25">
        <v>560799.18999999994</v>
      </c>
      <c r="D19" s="25">
        <f t="shared" si="1"/>
        <v>1654582.1199999999</v>
      </c>
      <c r="E19">
        <f t="shared" si="0"/>
        <v>2</v>
      </c>
    </row>
    <row r="20" spans="1:5">
      <c r="A20" s="38">
        <v>43039</v>
      </c>
      <c r="B20" s="25">
        <v>1098160.78</v>
      </c>
      <c r="C20" s="25">
        <v>563755.38</v>
      </c>
      <c r="D20" s="25">
        <f t="shared" si="1"/>
        <v>1661916.1600000001</v>
      </c>
      <c r="E20">
        <f t="shared" si="0"/>
        <v>2</v>
      </c>
    </row>
    <row r="21" spans="1:5">
      <c r="A21" s="38">
        <v>43069</v>
      </c>
      <c r="B21" s="25">
        <v>1145470.31</v>
      </c>
      <c r="C21" s="25">
        <v>588921.56000000006</v>
      </c>
      <c r="D21" s="25">
        <f t="shared" si="1"/>
        <v>1734391.87</v>
      </c>
      <c r="E21">
        <f t="shared" si="0"/>
        <v>2</v>
      </c>
    </row>
    <row r="22" spans="1:5">
      <c r="A22" s="38">
        <v>43100</v>
      </c>
      <c r="B22" s="25">
        <v>1159352.29</v>
      </c>
      <c r="C22" s="25">
        <v>597800.99</v>
      </c>
      <c r="D22" s="25">
        <f t="shared" si="1"/>
        <v>1757153.28</v>
      </c>
      <c r="E22">
        <f t="shared" si="0"/>
        <v>2</v>
      </c>
    </row>
    <row r="23" spans="1:5">
      <c r="A23" s="38">
        <v>43131</v>
      </c>
      <c r="B23" s="25">
        <v>1206681.77</v>
      </c>
      <c r="C23" s="25">
        <v>621733.6</v>
      </c>
      <c r="D23" s="25">
        <f t="shared" si="1"/>
        <v>1828415.37</v>
      </c>
      <c r="E23">
        <f t="shared" si="0"/>
        <v>2</v>
      </c>
    </row>
    <row r="24" spans="1:5">
      <c r="A24" s="38">
        <v>43159</v>
      </c>
      <c r="B24" s="25">
        <v>1169339.31</v>
      </c>
      <c r="C24" s="25">
        <v>603100.91</v>
      </c>
      <c r="D24" s="25">
        <f t="shared" si="1"/>
        <v>1772440.2200000002</v>
      </c>
      <c r="E24">
        <f t="shared" si="0"/>
        <v>2</v>
      </c>
    </row>
    <row r="25" spans="1:5">
      <c r="A25" s="38">
        <v>43190</v>
      </c>
      <c r="B25" s="25">
        <v>1840104.29</v>
      </c>
      <c r="C25" s="25">
        <v>597888.56000000006</v>
      </c>
      <c r="D25" s="25">
        <f t="shared" si="1"/>
        <v>2437992.85</v>
      </c>
      <c r="E25">
        <f t="shared" si="0"/>
        <v>2</v>
      </c>
    </row>
    <row r="26" spans="1:5">
      <c r="A26" s="38">
        <v>43220</v>
      </c>
      <c r="B26" s="25">
        <v>1867312.7699999998</v>
      </c>
      <c r="C26" s="25">
        <v>607160.66000000015</v>
      </c>
      <c r="D26" s="25">
        <f t="shared" si="1"/>
        <v>2474473.4299999997</v>
      </c>
      <c r="E26">
        <f t="shared" si="0"/>
        <v>2</v>
      </c>
    </row>
    <row r="27" spans="1:5">
      <c r="A27" s="38">
        <v>43251</v>
      </c>
      <c r="B27" s="25">
        <v>1902954.8700000006</v>
      </c>
      <c r="C27" s="25">
        <v>619069.85999999987</v>
      </c>
      <c r="D27" s="25">
        <f t="shared" si="1"/>
        <v>2522024.7300000004</v>
      </c>
      <c r="E27">
        <f t="shared" si="0"/>
        <v>2</v>
      </c>
    </row>
    <row r="28" spans="1:5">
      <c r="A28" s="38">
        <v>43281</v>
      </c>
      <c r="B28" s="25">
        <v>1939346.21</v>
      </c>
      <c r="C28" s="25">
        <v>631501.28999999992</v>
      </c>
      <c r="D28" s="25">
        <f t="shared" si="1"/>
        <v>2570847.5</v>
      </c>
      <c r="E28">
        <f t="shared" si="0"/>
        <v>2</v>
      </c>
    </row>
    <row r="29" spans="1:5">
      <c r="A29" s="38">
        <v>43312</v>
      </c>
      <c r="B29" s="25">
        <v>2007889.7000000004</v>
      </c>
      <c r="C29" s="25">
        <v>654899.36999999988</v>
      </c>
      <c r="D29" s="25">
        <f t="shared" si="1"/>
        <v>2662789.0700000003</v>
      </c>
      <c r="E29">
        <f t="shared" ref="E29:E44" si="2">COUNT(B29:C29)</f>
        <v>2</v>
      </c>
    </row>
    <row r="30" spans="1:5">
      <c r="A30" s="38">
        <v>43343</v>
      </c>
      <c r="B30" s="25">
        <v>2088490.1200000006</v>
      </c>
      <c r="C30" s="25">
        <v>681780.94999999972</v>
      </c>
      <c r="D30" s="25">
        <f t="shared" si="1"/>
        <v>2770271.0700000003</v>
      </c>
      <c r="E30">
        <f t="shared" si="2"/>
        <v>2</v>
      </c>
    </row>
    <row r="31" spans="1:5">
      <c r="A31" s="38">
        <v>43373</v>
      </c>
      <c r="B31" s="25">
        <v>2095350.82</v>
      </c>
      <c r="C31" s="25">
        <v>684745.24</v>
      </c>
      <c r="D31" s="25">
        <f t="shared" si="1"/>
        <v>2780096.06</v>
      </c>
      <c r="E31">
        <f t="shared" si="2"/>
        <v>2</v>
      </c>
    </row>
    <row r="32" spans="1:5">
      <c r="A32" s="38">
        <v>43404</v>
      </c>
      <c r="B32" s="25">
        <v>1933754.38</v>
      </c>
      <c r="C32" s="25">
        <v>705250.89</v>
      </c>
      <c r="D32" s="25">
        <f t="shared" si="1"/>
        <v>2639005.27</v>
      </c>
      <c r="E32">
        <f t="shared" si="2"/>
        <v>2</v>
      </c>
    </row>
    <row r="33" spans="1:5">
      <c r="A33" s="38">
        <v>43434</v>
      </c>
      <c r="B33" s="25">
        <v>1960677.6400000004</v>
      </c>
      <c r="C33" s="25">
        <v>715876.91000000027</v>
      </c>
      <c r="D33" s="25">
        <f t="shared" si="1"/>
        <v>2676554.5500000007</v>
      </c>
      <c r="E33">
        <f t="shared" si="2"/>
        <v>2</v>
      </c>
    </row>
    <row r="34" spans="1:5">
      <c r="A34" s="38">
        <v>43465</v>
      </c>
      <c r="B34" s="25">
        <v>1804327.44</v>
      </c>
      <c r="C34" s="25">
        <v>661118.31000000006</v>
      </c>
      <c r="D34" s="25">
        <f t="shared" si="1"/>
        <v>2465445.75</v>
      </c>
      <c r="E34">
        <f t="shared" si="2"/>
        <v>2</v>
      </c>
    </row>
    <row r="35" spans="1:5">
      <c r="A35" s="38">
        <v>43496</v>
      </c>
      <c r="B35" s="25">
        <v>1931806.0799999998</v>
      </c>
      <c r="C35" s="25">
        <v>707436.75000000012</v>
      </c>
      <c r="D35" s="25">
        <f t="shared" si="1"/>
        <v>2639242.83</v>
      </c>
      <c r="E35">
        <f t="shared" si="2"/>
        <v>2</v>
      </c>
    </row>
    <row r="36" spans="1:5">
      <c r="A36" s="38">
        <v>43524</v>
      </c>
      <c r="B36" s="25">
        <v>2010415.1099999999</v>
      </c>
      <c r="C36" s="25">
        <v>737596.68</v>
      </c>
      <c r="D36" s="25">
        <f t="shared" si="1"/>
        <v>2748011.79</v>
      </c>
      <c r="E36">
        <f t="shared" si="2"/>
        <v>2</v>
      </c>
    </row>
    <row r="37" spans="1:5">
      <c r="A37" s="38">
        <v>43555</v>
      </c>
      <c r="B37" s="25">
        <v>2554199.7799999984</v>
      </c>
      <c r="C37" s="25">
        <v>750192.77</v>
      </c>
      <c r="D37" s="25">
        <f t="shared" si="1"/>
        <v>3304392.5499999984</v>
      </c>
      <c r="E37">
        <f t="shared" si="2"/>
        <v>2</v>
      </c>
    </row>
    <row r="38" spans="1:5">
      <c r="A38" s="38">
        <v>43585</v>
      </c>
      <c r="B38" s="25">
        <v>2636148.7800000007</v>
      </c>
      <c r="C38" s="25">
        <v>775687.24</v>
      </c>
      <c r="D38" s="25">
        <f t="shared" si="1"/>
        <v>3411836.0200000005</v>
      </c>
      <c r="E38">
        <f t="shared" si="2"/>
        <v>2</v>
      </c>
    </row>
    <row r="39" spans="1:5">
      <c r="A39" s="38">
        <v>43616</v>
      </c>
      <c r="B39" s="25">
        <v>2502802.4899999998</v>
      </c>
      <c r="C39" s="25">
        <v>663763.65999999992</v>
      </c>
      <c r="D39" s="25">
        <f t="shared" si="1"/>
        <v>3166566.1499999994</v>
      </c>
      <c r="E39">
        <f t="shared" si="2"/>
        <v>2</v>
      </c>
    </row>
    <row r="40" spans="1:5">
      <c r="A40" s="38">
        <v>43646</v>
      </c>
      <c r="B40" s="25">
        <v>2644962.73</v>
      </c>
      <c r="C40" s="25">
        <v>702681.4</v>
      </c>
      <c r="D40" s="25">
        <f t="shared" si="1"/>
        <v>3347644.13</v>
      </c>
      <c r="E40">
        <f t="shared" si="2"/>
        <v>2</v>
      </c>
    </row>
    <row r="41" spans="1:5">
      <c r="A41" s="38">
        <v>43677</v>
      </c>
      <c r="B41" s="25">
        <v>2691569.2400000007</v>
      </c>
      <c r="C41" s="25">
        <v>716422.24999999988</v>
      </c>
      <c r="D41" s="25">
        <f t="shared" si="1"/>
        <v>3407991.4900000007</v>
      </c>
      <c r="E41">
        <f t="shared" si="2"/>
        <v>2</v>
      </c>
    </row>
    <row r="42" spans="1:5">
      <c r="A42" s="38">
        <v>43708</v>
      </c>
      <c r="B42" s="25">
        <v>2709279.6000000006</v>
      </c>
      <c r="C42" s="25">
        <v>721885.08</v>
      </c>
      <c r="D42" s="25">
        <f t="shared" si="1"/>
        <v>3431164.6800000006</v>
      </c>
      <c r="E42">
        <f t="shared" si="2"/>
        <v>2</v>
      </c>
    </row>
    <row r="43" spans="1:5">
      <c r="A43" s="38">
        <v>43738</v>
      </c>
      <c r="B43" s="25">
        <v>2734661.76</v>
      </c>
      <c r="C43" s="25">
        <v>729546.70499999996</v>
      </c>
      <c r="D43" s="25">
        <f t="shared" si="1"/>
        <v>3464208.4649999999</v>
      </c>
      <c r="E43">
        <f t="shared" si="2"/>
        <v>2</v>
      </c>
    </row>
    <row r="44" spans="1:5">
      <c r="A44" s="38">
        <v>43769</v>
      </c>
      <c r="B44" s="25">
        <v>2714159.2800000007</v>
      </c>
      <c r="C44" s="25">
        <v>725886.7099999995</v>
      </c>
      <c r="D44" s="25">
        <f t="shared" si="1"/>
        <v>3440045.99</v>
      </c>
      <c r="E44">
        <f t="shared" si="2"/>
        <v>2</v>
      </c>
    </row>
    <row r="45" spans="1:5">
      <c r="A45" s="38">
        <v>43799</v>
      </c>
      <c r="B45" s="25">
        <v>2764035.9600000004</v>
      </c>
      <c r="C45" s="25">
        <v>740291.22999999975</v>
      </c>
      <c r="D45" s="25">
        <f t="shared" si="1"/>
        <v>3504327.1900000004</v>
      </c>
      <c r="E45">
        <f t="shared" ref="E45:E50" si="3">COUNT(B45:C45)</f>
        <v>2</v>
      </c>
    </row>
    <row r="46" spans="1:5">
      <c r="A46" s="38">
        <v>43830</v>
      </c>
      <c r="B46" s="25">
        <v>2811350.94</v>
      </c>
      <c r="C46" s="25">
        <v>755247.83</v>
      </c>
      <c r="D46" s="25">
        <f t="shared" si="1"/>
        <v>3566598.77</v>
      </c>
      <c r="E46">
        <f t="shared" si="3"/>
        <v>2</v>
      </c>
    </row>
    <row r="47" spans="1:5">
      <c r="A47" s="38">
        <v>43861</v>
      </c>
      <c r="B47" s="25">
        <v>2862572.73</v>
      </c>
      <c r="C47" s="25">
        <v>769138.69</v>
      </c>
      <c r="D47" s="25">
        <f t="shared" si="1"/>
        <v>3631711.42</v>
      </c>
      <c r="E47">
        <f t="shared" si="3"/>
        <v>2</v>
      </c>
    </row>
    <row r="48" spans="1:5">
      <c r="A48" s="38">
        <v>43890</v>
      </c>
      <c r="B48" s="25">
        <v>2632314.6200000006</v>
      </c>
      <c r="C48" s="25">
        <v>663195.16000000015</v>
      </c>
      <c r="D48" s="25">
        <f t="shared" si="1"/>
        <v>3295509.7800000007</v>
      </c>
      <c r="E48">
        <f t="shared" si="3"/>
        <v>2</v>
      </c>
    </row>
    <row r="49" spans="1:6">
      <c r="A49" s="38">
        <v>43921</v>
      </c>
      <c r="B49" s="25">
        <v>2309484.54</v>
      </c>
      <c r="C49" s="25">
        <v>588052.96</v>
      </c>
      <c r="D49" s="25">
        <f t="shared" si="1"/>
        <v>2897537.5</v>
      </c>
      <c r="E49">
        <f t="shared" si="3"/>
        <v>2</v>
      </c>
    </row>
    <row r="50" spans="1:6">
      <c r="A50" s="38">
        <v>43951</v>
      </c>
      <c r="B50" s="25">
        <v>2497734.7999999998</v>
      </c>
      <c r="C50" s="25">
        <v>636965.00000000035</v>
      </c>
      <c r="D50" s="25">
        <f t="shared" si="1"/>
        <v>3134699.8000000003</v>
      </c>
      <c r="E50">
        <f t="shared" si="3"/>
        <v>2</v>
      </c>
    </row>
    <row r="51" spans="1:6">
      <c r="A51" s="38">
        <v>43982</v>
      </c>
      <c r="B51" s="25">
        <v>2622416.64</v>
      </c>
      <c r="C51" s="25">
        <v>673124.59</v>
      </c>
      <c r="D51" s="25">
        <f t="shared" si="1"/>
        <v>3295541.23</v>
      </c>
      <c r="E51">
        <f t="shared" ref="E51:E64" si="4">COUNT(B51:C51)</f>
        <v>2</v>
      </c>
    </row>
    <row r="52" spans="1:6">
      <c r="A52" s="38">
        <v>44012</v>
      </c>
      <c r="B52" s="2">
        <v>2636001.5779999997</v>
      </c>
      <c r="C52" s="2">
        <v>677314.40200000035</v>
      </c>
      <c r="D52" s="25">
        <f t="shared" si="1"/>
        <v>3313315.98</v>
      </c>
      <c r="E52">
        <f t="shared" si="4"/>
        <v>2</v>
      </c>
    </row>
    <row r="53" spans="1:6">
      <c r="A53" s="38">
        <v>44043</v>
      </c>
      <c r="B53" s="2">
        <v>2791365.5300000012</v>
      </c>
      <c r="C53" s="2">
        <v>718074.13000000024</v>
      </c>
      <c r="D53" s="25">
        <f t="shared" si="1"/>
        <v>3509439.6600000015</v>
      </c>
      <c r="E53">
        <f t="shared" si="4"/>
        <v>2</v>
      </c>
    </row>
    <row r="54" spans="1:6">
      <c r="A54" s="38">
        <v>44074</v>
      </c>
      <c r="B54" s="2">
        <v>2901618.4400000018</v>
      </c>
      <c r="C54" s="2">
        <v>673213.73499999987</v>
      </c>
      <c r="D54" s="25">
        <f t="shared" si="1"/>
        <v>3574832.1750000017</v>
      </c>
      <c r="E54">
        <f t="shared" si="4"/>
        <v>2</v>
      </c>
      <c r="F54" t="s">
        <v>130</v>
      </c>
    </row>
    <row r="55" spans="1:6">
      <c r="A55" s="38">
        <v>44104</v>
      </c>
      <c r="B55" s="2">
        <v>2826392.7899999996</v>
      </c>
      <c r="C55" s="2">
        <v>655989.58000000019</v>
      </c>
      <c r="D55" s="25">
        <f t="shared" si="1"/>
        <v>3482382.3699999996</v>
      </c>
      <c r="E55">
        <f t="shared" si="4"/>
        <v>2</v>
      </c>
    </row>
    <row r="56" spans="1:6">
      <c r="A56" s="38">
        <v>44135</v>
      </c>
      <c r="B56" s="2">
        <v>2761669.1599999997</v>
      </c>
      <c r="C56" s="2">
        <v>641577.63000000024</v>
      </c>
      <c r="D56" s="25">
        <f t="shared" si="1"/>
        <v>3403246.79</v>
      </c>
      <c r="E56">
        <f t="shared" si="4"/>
        <v>2</v>
      </c>
    </row>
    <row r="57" spans="1:6">
      <c r="A57" s="38">
        <v>44165</v>
      </c>
      <c r="B57" s="2">
        <v>2953970.7</v>
      </c>
      <c r="C57" s="2">
        <v>686636.24000000011</v>
      </c>
      <c r="D57" s="25">
        <f t="shared" si="1"/>
        <v>3640606.9400000004</v>
      </c>
      <c r="E57">
        <f t="shared" si="4"/>
        <v>2</v>
      </c>
    </row>
    <row r="58" spans="1:6">
      <c r="A58" s="38">
        <v>44196</v>
      </c>
      <c r="B58" s="2">
        <v>3065065.34</v>
      </c>
      <c r="C58" s="2">
        <v>712887.56</v>
      </c>
      <c r="D58" s="25">
        <f t="shared" si="1"/>
        <v>3777952.9</v>
      </c>
      <c r="E58">
        <f t="shared" si="4"/>
        <v>2</v>
      </c>
    </row>
    <row r="59" spans="1:6">
      <c r="A59" s="38">
        <v>44227</v>
      </c>
      <c r="B59" s="2">
        <v>2960126.2699999991</v>
      </c>
      <c r="C59" s="2">
        <v>689414.90000000026</v>
      </c>
      <c r="D59" s="25">
        <f t="shared" si="1"/>
        <v>3649541.1699999995</v>
      </c>
      <c r="E59">
        <f t="shared" si="4"/>
        <v>2</v>
      </c>
    </row>
    <row r="60" spans="1:6">
      <c r="A60" s="38">
        <v>44255</v>
      </c>
      <c r="B60" s="2">
        <v>2962188.3199999994</v>
      </c>
      <c r="C60" s="2">
        <v>690615.22499999998</v>
      </c>
      <c r="D60" s="25">
        <f t="shared" si="1"/>
        <v>3652803.5449999995</v>
      </c>
      <c r="E60">
        <f t="shared" si="4"/>
        <v>2</v>
      </c>
    </row>
    <row r="61" spans="1:6">
      <c r="A61" s="38">
        <v>44286</v>
      </c>
      <c r="B61" s="2">
        <v>3031720.4899999993</v>
      </c>
      <c r="C61" s="2">
        <v>707234.19000000006</v>
      </c>
      <c r="D61" s="25">
        <f t="shared" si="1"/>
        <v>3738954.6799999992</v>
      </c>
      <c r="E61">
        <f t="shared" si="4"/>
        <v>2</v>
      </c>
    </row>
    <row r="62" spans="1:6">
      <c r="A62" s="38">
        <v>44316</v>
      </c>
      <c r="B62" s="2">
        <v>3169251.1800000006</v>
      </c>
      <c r="C62" s="2">
        <v>740051.85000000056</v>
      </c>
      <c r="D62" s="25">
        <f t="shared" si="1"/>
        <v>3909303.0300000012</v>
      </c>
      <c r="E62">
        <f t="shared" si="4"/>
        <v>2</v>
      </c>
    </row>
    <row r="63" spans="1:6">
      <c r="A63" s="38">
        <v>44347</v>
      </c>
      <c r="B63" s="2">
        <v>3172277.44</v>
      </c>
      <c r="C63" s="2">
        <v>741341.4099999998</v>
      </c>
      <c r="D63" s="25">
        <f t="shared" si="1"/>
        <v>3913618.8499999996</v>
      </c>
      <c r="E63">
        <f t="shared" si="4"/>
        <v>2</v>
      </c>
    </row>
    <row r="64" spans="1:6">
      <c r="A64" s="38">
        <v>44377</v>
      </c>
      <c r="B64" s="2">
        <v>3276139.7800000003</v>
      </c>
      <c r="C64" s="2">
        <v>766209.87999999977</v>
      </c>
      <c r="D64" s="25">
        <f t="shared" si="1"/>
        <v>4042349.66</v>
      </c>
      <c r="E64">
        <f t="shared" si="4"/>
        <v>2</v>
      </c>
    </row>
    <row r="65" spans="1:6">
      <c r="A65" s="38">
        <v>44408</v>
      </c>
      <c r="B65" s="2">
        <v>3362093.48</v>
      </c>
      <c r="C65" s="2">
        <v>787236.74999999965</v>
      </c>
      <c r="D65" s="25">
        <f t="shared" si="1"/>
        <v>4149330.2299999995</v>
      </c>
      <c r="E65">
        <f t="shared" ref="E65:E70" si="5">COUNT(B65:C65)</f>
        <v>2</v>
      </c>
    </row>
    <row r="66" spans="1:6">
      <c r="A66" s="38">
        <v>44439</v>
      </c>
      <c r="B66" s="2">
        <v>3433400.3300000024</v>
      </c>
      <c r="C66" s="2">
        <v>804742.48999999976</v>
      </c>
      <c r="D66" s="25">
        <f t="shared" si="1"/>
        <v>4238142.8200000022</v>
      </c>
      <c r="E66">
        <f t="shared" si="5"/>
        <v>2</v>
      </c>
    </row>
    <row r="67" spans="1:6">
      <c r="A67" s="38">
        <v>44469</v>
      </c>
      <c r="B67" s="2">
        <v>3237212.0399999991</v>
      </c>
      <c r="C67" s="2">
        <v>759128.14999999991</v>
      </c>
      <c r="D67" s="25">
        <f t="shared" si="1"/>
        <v>3996340.189999999</v>
      </c>
      <c r="E67">
        <f t="shared" si="5"/>
        <v>2</v>
      </c>
    </row>
    <row r="68" spans="1:6">
      <c r="A68" s="38">
        <v>44500</v>
      </c>
      <c r="B68" s="2">
        <v>3491982.5199999996</v>
      </c>
      <c r="C68" s="2">
        <v>820285.61999999976</v>
      </c>
      <c r="D68" s="25">
        <f t="shared" ref="D68:D111" si="6">B68+C68</f>
        <v>4312268.1399999997</v>
      </c>
      <c r="E68">
        <f t="shared" si="5"/>
        <v>2</v>
      </c>
    </row>
    <row r="69" spans="1:6">
      <c r="A69" s="38">
        <v>44530</v>
      </c>
      <c r="B69" s="2">
        <v>3431422.4099999992</v>
      </c>
      <c r="C69" s="2">
        <v>710750.38000000012</v>
      </c>
      <c r="D69" s="25">
        <f t="shared" si="6"/>
        <v>4142172.7899999991</v>
      </c>
      <c r="E69">
        <f t="shared" si="5"/>
        <v>2</v>
      </c>
      <c r="F69" t="s">
        <v>150</v>
      </c>
    </row>
    <row r="70" spans="1:6">
      <c r="A70" s="38">
        <v>44561</v>
      </c>
      <c r="B70" s="2">
        <v>3569094.0199999982</v>
      </c>
      <c r="C70" s="2">
        <v>740035.1399999999</v>
      </c>
      <c r="D70" s="25">
        <f t="shared" si="6"/>
        <v>4309129.1599999983</v>
      </c>
      <c r="E70">
        <f t="shared" si="5"/>
        <v>2</v>
      </c>
    </row>
    <row r="71" spans="1:6">
      <c r="A71" s="38">
        <v>44592</v>
      </c>
      <c r="B71" s="2">
        <v>3303055.9287999989</v>
      </c>
      <c r="C71" s="2">
        <v>686110.51749999984</v>
      </c>
      <c r="D71" s="25">
        <f t="shared" si="6"/>
        <v>3989166.446299999</v>
      </c>
      <c r="E71">
        <v>2</v>
      </c>
    </row>
    <row r="72" spans="1:6">
      <c r="A72" s="38">
        <v>44620</v>
      </c>
      <c r="B72" s="2">
        <v>3155612.6159999999</v>
      </c>
      <c r="C72" s="2">
        <v>656051.7677999998</v>
      </c>
      <c r="D72" s="25">
        <f t="shared" si="6"/>
        <v>3811664.3838</v>
      </c>
      <c r="E72">
        <v>2</v>
      </c>
    </row>
    <row r="73" spans="1:6">
      <c r="A73" s="38">
        <v>44651</v>
      </c>
      <c r="B73" s="2">
        <v>3311105.8542999993</v>
      </c>
      <c r="C73" s="2">
        <v>688878.2845000003</v>
      </c>
      <c r="D73" s="25">
        <f t="shared" si="6"/>
        <v>3999984.1387999998</v>
      </c>
      <c r="E73">
        <v>2</v>
      </c>
    </row>
    <row r="74" spans="1:6">
      <c r="A74" s="38">
        <v>44681</v>
      </c>
      <c r="B74" s="2">
        <v>3186001.9023999996</v>
      </c>
      <c r="C74" s="2">
        <v>663183.26410000015</v>
      </c>
      <c r="D74" s="25">
        <f t="shared" si="6"/>
        <v>3849185.1664999998</v>
      </c>
      <c r="E74">
        <v>2</v>
      </c>
    </row>
    <row r="75" spans="1:6">
      <c r="A75" s="38">
        <v>44712</v>
      </c>
      <c r="B75" s="2">
        <v>3195930.6625999995</v>
      </c>
      <c r="C75" s="2">
        <v>665465.78849999979</v>
      </c>
      <c r="D75" s="25">
        <f t="shared" si="6"/>
        <v>3861396.4510999992</v>
      </c>
      <c r="E75">
        <v>2</v>
      </c>
    </row>
    <row r="76" spans="1:6">
      <c r="A76" s="38">
        <v>44742</v>
      </c>
      <c r="B76" s="2">
        <v>2989147.4404999986</v>
      </c>
      <c r="C76" s="2">
        <v>622740.11650000012</v>
      </c>
      <c r="D76" s="25">
        <f t="shared" si="6"/>
        <v>3611887.5569999986</v>
      </c>
      <c r="E76">
        <v>2</v>
      </c>
    </row>
    <row r="77" spans="1:6">
      <c r="A77" s="38">
        <v>44773</v>
      </c>
      <c r="B77" s="2">
        <v>3115530.1168000004</v>
      </c>
      <c r="C77" s="2">
        <v>649293.15130000003</v>
      </c>
      <c r="D77" s="25">
        <f t="shared" si="6"/>
        <v>3764823.2681000005</v>
      </c>
      <c r="E77">
        <v>2</v>
      </c>
    </row>
    <row r="78" spans="1:6">
      <c r="A78" s="38">
        <v>44804</v>
      </c>
      <c r="B78" s="2">
        <v>3039367.0687000002</v>
      </c>
      <c r="C78" s="2">
        <v>633505.76449999993</v>
      </c>
      <c r="D78" s="25">
        <f t="shared" si="6"/>
        <v>3672872.8332000002</v>
      </c>
      <c r="E78">
        <v>2</v>
      </c>
    </row>
    <row r="79" spans="1:6">
      <c r="A79" s="38">
        <v>44834</v>
      </c>
      <c r="B79" s="2">
        <v>2809766.9441</v>
      </c>
      <c r="C79" s="2">
        <v>585938.45910000009</v>
      </c>
      <c r="D79" s="25">
        <f t="shared" si="6"/>
        <v>3395705.4032000001</v>
      </c>
      <c r="E79">
        <v>2</v>
      </c>
    </row>
    <row r="80" spans="1:6">
      <c r="A80" s="38">
        <v>44865</v>
      </c>
      <c r="B80" s="2">
        <v>3099023.7908999999</v>
      </c>
      <c r="C80" s="2">
        <v>646348.55559999985</v>
      </c>
      <c r="D80" s="25">
        <f t="shared" si="6"/>
        <v>3745372.3465</v>
      </c>
      <c r="E80">
        <v>2</v>
      </c>
    </row>
    <row r="81" spans="1:5">
      <c r="A81" s="38">
        <v>44895</v>
      </c>
      <c r="B81" s="2">
        <v>3241560.5096</v>
      </c>
      <c r="C81" s="2">
        <v>677507.87799999991</v>
      </c>
      <c r="D81" s="25">
        <f t="shared" si="6"/>
        <v>3919068.3876</v>
      </c>
      <c r="E81">
        <v>2</v>
      </c>
    </row>
    <row r="82" spans="1:5">
      <c r="A82" s="38">
        <v>44926</v>
      </c>
      <c r="B82" s="2">
        <v>3119937.3152999999</v>
      </c>
      <c r="C82" s="2">
        <v>652080.26790000021</v>
      </c>
      <c r="D82" s="25">
        <f t="shared" si="6"/>
        <v>3772017.5832000002</v>
      </c>
      <c r="E82">
        <v>2</v>
      </c>
    </row>
    <row r="83" spans="1:5">
      <c r="A83" s="38">
        <v>44957</v>
      </c>
      <c r="B83" s="2">
        <v>3203878.158499999</v>
      </c>
      <c r="C83" s="2">
        <v>669677.05179999978</v>
      </c>
      <c r="D83" s="25">
        <f t="shared" si="6"/>
        <v>3873555.2102999985</v>
      </c>
      <c r="E83">
        <v>2</v>
      </c>
    </row>
    <row r="84" spans="1:5">
      <c r="A84" s="38">
        <v>44985</v>
      </c>
      <c r="B84" s="2">
        <v>3112406.8870999999</v>
      </c>
      <c r="C84" s="2">
        <v>650576.14989999984</v>
      </c>
      <c r="D84" s="25">
        <f t="shared" si="6"/>
        <v>3762983.0369999995</v>
      </c>
      <c r="E84">
        <v>2</v>
      </c>
    </row>
    <row r="85" spans="1:5">
      <c r="A85" s="38">
        <v>45016</v>
      </c>
      <c r="B85" s="2">
        <v>3153252.0346000018</v>
      </c>
      <c r="C85" s="2">
        <v>659188.97939999995</v>
      </c>
      <c r="D85" s="25">
        <f t="shared" si="6"/>
        <v>3812441.0140000018</v>
      </c>
      <c r="E85">
        <v>2</v>
      </c>
    </row>
    <row r="86" spans="1:5">
      <c r="A86" s="38">
        <v>45046</v>
      </c>
      <c r="B86" s="2">
        <v>3185942.6349000018</v>
      </c>
      <c r="C86" s="2">
        <v>666037.9608</v>
      </c>
      <c r="D86" s="25">
        <f t="shared" si="6"/>
        <v>3851980.5957000018</v>
      </c>
      <c r="E86">
        <v>2</v>
      </c>
    </row>
    <row r="87" spans="1:5">
      <c r="A87" s="38">
        <v>45077</v>
      </c>
      <c r="B87" s="2">
        <v>3095890.61</v>
      </c>
      <c r="C87" s="2">
        <v>647238.63000000012</v>
      </c>
      <c r="D87" s="25">
        <f t="shared" si="6"/>
        <v>3743129.24</v>
      </c>
      <c r="E87">
        <v>2</v>
      </c>
    </row>
    <row r="88" spans="1:5">
      <c r="A88" s="38">
        <v>45107</v>
      </c>
      <c r="B88" s="2">
        <v>3250649.3300000024</v>
      </c>
      <c r="C88" s="2">
        <v>679732.10000000009</v>
      </c>
      <c r="D88" s="25">
        <f t="shared" si="6"/>
        <v>3930381.4300000025</v>
      </c>
      <c r="E88">
        <v>2</v>
      </c>
    </row>
    <row r="89" spans="1:5">
      <c r="A89" s="38">
        <v>45138</v>
      </c>
      <c r="B89" s="2">
        <v>3301477.6599999997</v>
      </c>
      <c r="C89" s="2">
        <v>690418.91999999993</v>
      </c>
      <c r="D89" s="25">
        <f t="shared" si="6"/>
        <v>3991896.5799999996</v>
      </c>
      <c r="E89">
        <v>2</v>
      </c>
    </row>
    <row r="90" spans="1:5">
      <c r="A90" s="38">
        <v>45169</v>
      </c>
      <c r="B90" s="2">
        <v>3230328.9099999992</v>
      </c>
      <c r="C90" s="2">
        <v>675614.91999999981</v>
      </c>
      <c r="D90" s="25">
        <f t="shared" si="6"/>
        <v>3905943.8299999991</v>
      </c>
      <c r="E90">
        <v>2</v>
      </c>
    </row>
    <row r="91" spans="1:5">
      <c r="A91" s="38">
        <v>45199</v>
      </c>
      <c r="B91" s="2">
        <v>3157105.6700000004</v>
      </c>
      <c r="C91" s="2">
        <v>660335.86999999988</v>
      </c>
      <c r="D91" s="25">
        <f t="shared" si="6"/>
        <v>3817441.54</v>
      </c>
      <c r="E91">
        <v>2</v>
      </c>
    </row>
    <row r="92" spans="1:5">
      <c r="A92" s="38">
        <v>45230</v>
      </c>
      <c r="B92" s="2">
        <v>3124765.09</v>
      </c>
      <c r="C92" s="2">
        <v>653534.25999999978</v>
      </c>
      <c r="D92" s="25">
        <f t="shared" si="6"/>
        <v>3778299.3499999996</v>
      </c>
      <c r="E92">
        <v>2</v>
      </c>
    </row>
    <row r="93" spans="1:5">
      <c r="A93" s="38">
        <v>45260</v>
      </c>
      <c r="B93" s="2">
        <v>3331141.7899999986</v>
      </c>
      <c r="C93" s="2">
        <v>696846.18</v>
      </c>
      <c r="D93" s="25">
        <f t="shared" si="6"/>
        <v>4027987.9699999988</v>
      </c>
      <c r="E93">
        <v>2</v>
      </c>
    </row>
    <row r="94" spans="1:5">
      <c r="A94" s="38">
        <v>45291</v>
      </c>
      <c r="B94" s="2">
        <v>3457374.1700000013</v>
      </c>
      <c r="C94" s="2">
        <v>703176.08000000007</v>
      </c>
      <c r="D94" s="25">
        <f t="shared" si="6"/>
        <v>4160550.2500000014</v>
      </c>
      <c r="E94">
        <v>2</v>
      </c>
    </row>
    <row r="95" spans="1:5">
      <c r="A95" s="38">
        <v>45322</v>
      </c>
      <c r="B95" s="2">
        <v>3541499.2199999993</v>
      </c>
      <c r="C95" s="2">
        <v>720298.94</v>
      </c>
      <c r="D95" s="25">
        <f t="shared" si="6"/>
        <v>4261798.1599999992</v>
      </c>
      <c r="E95">
        <v>2</v>
      </c>
    </row>
    <row r="96" spans="1:5">
      <c r="A96" s="38">
        <v>45351</v>
      </c>
      <c r="B96" s="2">
        <v>3665530.05</v>
      </c>
      <c r="C96" s="2">
        <v>745588.31</v>
      </c>
      <c r="D96" s="25">
        <f t="shared" si="6"/>
        <v>4411118.3599999994</v>
      </c>
      <c r="E96">
        <v>2</v>
      </c>
    </row>
    <row r="97" spans="1:6">
      <c r="A97" s="38">
        <v>45382</v>
      </c>
      <c r="B97" s="2">
        <v>3794156.6399999997</v>
      </c>
      <c r="C97" s="2">
        <v>771945.48999999987</v>
      </c>
      <c r="D97" s="25">
        <f t="shared" si="6"/>
        <v>4566102.13</v>
      </c>
      <c r="E97">
        <v>2</v>
      </c>
    </row>
    <row r="98" spans="1:6">
      <c r="A98" s="38">
        <v>45412</v>
      </c>
      <c r="B98" s="2">
        <v>3633465.1399999987</v>
      </c>
      <c r="C98" s="2">
        <v>740111.42000000016</v>
      </c>
      <c r="D98" s="25">
        <f t="shared" si="6"/>
        <v>4373576.5599999987</v>
      </c>
      <c r="E98">
        <v>2</v>
      </c>
    </row>
    <row r="99" spans="1:6">
      <c r="A99" s="38">
        <v>45443</v>
      </c>
      <c r="B99" s="2">
        <v>3768016.43</v>
      </c>
      <c r="C99" s="2">
        <v>767492.54999999981</v>
      </c>
      <c r="D99" s="25">
        <f t="shared" si="6"/>
        <v>4535508.9800000004</v>
      </c>
      <c r="E99">
        <v>2</v>
      </c>
    </row>
    <row r="100" spans="1:6">
      <c r="A100" s="38">
        <v>45473</v>
      </c>
      <c r="B100" s="2">
        <v>3841816.5900000003</v>
      </c>
      <c r="C100" s="2">
        <v>782631.81000000052</v>
      </c>
      <c r="D100" s="25">
        <f t="shared" si="6"/>
        <v>4624448.4000000004</v>
      </c>
      <c r="E100">
        <v>2</v>
      </c>
    </row>
    <row r="101" spans="1:6">
      <c r="A101" s="38">
        <v>45504</v>
      </c>
      <c r="B101" s="2">
        <v>3952981.41</v>
      </c>
      <c r="C101" s="2">
        <v>803140.50999999989</v>
      </c>
      <c r="D101" s="25">
        <f t="shared" si="6"/>
        <v>4756121.92</v>
      </c>
      <c r="E101">
        <v>2</v>
      </c>
      <c r="F101" t="s">
        <v>178</v>
      </c>
    </row>
    <row r="102" spans="1:6">
      <c r="A102" s="38">
        <v>45535</v>
      </c>
      <c r="B102" s="2">
        <v>4101173.73</v>
      </c>
      <c r="C102" s="2">
        <v>843787.36999999988</v>
      </c>
      <c r="D102" s="25">
        <f t="shared" si="6"/>
        <v>4944961.0999999996</v>
      </c>
      <c r="E102">
        <v>2</v>
      </c>
      <c r="F102" s="2"/>
    </row>
    <row r="103" spans="1:6">
      <c r="A103" s="38">
        <v>45565</v>
      </c>
      <c r="B103" s="2">
        <v>4100676.76</v>
      </c>
      <c r="C103" s="2">
        <v>846875.95000000007</v>
      </c>
      <c r="D103" s="25">
        <f t="shared" si="6"/>
        <v>4947552.71</v>
      </c>
      <c r="E103">
        <v>2</v>
      </c>
      <c r="F103" s="2"/>
    </row>
    <row r="104" spans="1:6">
      <c r="A104" s="38">
        <v>45596</v>
      </c>
      <c r="B104" s="2">
        <v>3974696.21</v>
      </c>
      <c r="C104" s="2">
        <v>724643.53</v>
      </c>
      <c r="D104" s="25">
        <f t="shared" si="6"/>
        <v>4699339.74</v>
      </c>
      <c r="E104">
        <v>2</v>
      </c>
      <c r="F104" s="2"/>
    </row>
    <row r="105" spans="1:6">
      <c r="A105" s="38">
        <v>45626</v>
      </c>
      <c r="B105" s="2">
        <v>4243509.55</v>
      </c>
      <c r="C105" s="2">
        <v>774056.97</v>
      </c>
      <c r="D105" s="25">
        <f t="shared" si="6"/>
        <v>5017566.5199999996</v>
      </c>
      <c r="E105">
        <v>2</v>
      </c>
      <c r="F105" s="2"/>
    </row>
    <row r="106" spans="1:6">
      <c r="A106" s="38">
        <v>45657</v>
      </c>
      <c r="B106" s="2">
        <v>0</v>
      </c>
      <c r="C106" s="2">
        <v>627358.47000000009</v>
      </c>
      <c r="D106" s="25">
        <f t="shared" si="6"/>
        <v>627358.47000000009</v>
      </c>
      <c r="E106">
        <v>1</v>
      </c>
      <c r="F106" s="2"/>
    </row>
    <row r="107" spans="1:6">
      <c r="A107" s="38">
        <v>45688</v>
      </c>
      <c r="B107" s="2">
        <v>0</v>
      </c>
      <c r="C107" s="2">
        <v>654343.27</v>
      </c>
      <c r="D107" s="25">
        <f t="shared" si="6"/>
        <v>654343.27</v>
      </c>
      <c r="E107">
        <v>1</v>
      </c>
      <c r="F107" s="2"/>
    </row>
    <row r="108" spans="1:6">
      <c r="A108" s="38">
        <v>45716</v>
      </c>
      <c r="B108" s="2">
        <v>0</v>
      </c>
      <c r="C108" s="2">
        <v>648071.77</v>
      </c>
      <c r="D108" s="25">
        <f t="shared" si="6"/>
        <v>648071.77</v>
      </c>
      <c r="E108">
        <v>1</v>
      </c>
      <c r="F108" s="2"/>
    </row>
    <row r="109" spans="1:6">
      <c r="A109" s="38">
        <v>45747</v>
      </c>
      <c r="B109" s="2">
        <v>0</v>
      </c>
      <c r="C109" s="2">
        <v>637684.03</v>
      </c>
      <c r="D109" s="25">
        <f t="shared" si="6"/>
        <v>637684.03</v>
      </c>
      <c r="E109">
        <v>1</v>
      </c>
      <c r="F109" s="2"/>
    </row>
    <row r="110" spans="1:6">
      <c r="A110" s="38">
        <v>45777</v>
      </c>
      <c r="B110" s="2">
        <v>0</v>
      </c>
      <c r="C110" s="2">
        <v>626397.81000000006</v>
      </c>
      <c r="D110" s="25">
        <f t="shared" si="6"/>
        <v>626397.81000000006</v>
      </c>
      <c r="E110">
        <v>1</v>
      </c>
      <c r="F110" s="2"/>
    </row>
    <row r="111" spans="1:6">
      <c r="A111" s="38">
        <v>45808</v>
      </c>
      <c r="B111" s="2">
        <v>4095061.2200000007</v>
      </c>
      <c r="C111" s="2">
        <v>636557.16000000038</v>
      </c>
      <c r="D111" s="25">
        <f t="shared" si="6"/>
        <v>4731618.3800000008</v>
      </c>
      <c r="E111">
        <v>2</v>
      </c>
      <c r="F111" s="2"/>
    </row>
    <row r="112" spans="1:6">
      <c r="A112" s="38">
        <v>45838</v>
      </c>
      <c r="B112" s="2">
        <v>4117655.5900000008</v>
      </c>
      <c r="C112" s="2">
        <v>639885.4800000001</v>
      </c>
      <c r="D112" s="25">
        <f t="shared" ref="D112" si="7">B112+C112</f>
        <v>4757541.0700000012</v>
      </c>
      <c r="E112">
        <v>2</v>
      </c>
      <c r="F112" s="2"/>
    </row>
    <row r="113" spans="1:6">
      <c r="A113" s="38"/>
      <c r="B113" s="2"/>
      <c r="C113" s="2"/>
      <c r="F113" s="2"/>
    </row>
    <row r="114" spans="1:6">
      <c r="B114" s="2"/>
      <c r="C114" s="2"/>
      <c r="F114" s="2"/>
    </row>
    <row r="115" spans="1:6">
      <c r="F115" s="2"/>
    </row>
    <row r="116" spans="1:6">
      <c r="F116" s="2"/>
    </row>
    <row r="117" spans="1:6">
      <c r="F117" s="2"/>
    </row>
    <row r="118" spans="1:6">
      <c r="F118" s="2"/>
    </row>
    <row r="119" spans="1:6">
      <c r="F119" s="2"/>
    </row>
  </sheetData>
  <pageMargins left="0.7" right="0.7" top="0.75" bottom="0.75" header="0.3" footer="0.3"/>
  <ignoredErrors>
    <ignoredError sqref="E2:E24 E25 E26 E28 E27 E29:E32 E33:E34 E35 E36:E37 E38 E39 E40:E41 E42 E43 E44 E45 E46:E47 E48:E49 E50 E51 E52 E53 E54 E55 E56 E57 E58 E59 E60 E61:F61 E62 E63:E65 E66 E67 E68 E69 E70 E79 E80 E83 E84 E85 E86 E90 E9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3214F-34B8-FC47-999F-C4625F58E4CB}">
  <dimension ref="A1:X44"/>
  <sheetViews>
    <sheetView workbookViewId="0">
      <selection activeCell="B33" sqref="B33"/>
    </sheetView>
  </sheetViews>
  <sheetFormatPr baseColWidth="10" defaultRowHeight="16"/>
  <cols>
    <col min="1" max="1" width="10.1640625" bestFit="1" customWidth="1"/>
    <col min="2" max="2" width="15.33203125" customWidth="1"/>
    <col min="3" max="3" width="15" bestFit="1" customWidth="1"/>
    <col min="4" max="4" width="15.6640625" bestFit="1" customWidth="1"/>
    <col min="5" max="5" width="2.5" style="140" customWidth="1"/>
    <col min="6" max="6" width="16" bestFit="1" customWidth="1"/>
    <col min="7" max="8" width="15" bestFit="1" customWidth="1"/>
    <col min="9" max="9" width="2.5" style="140" customWidth="1"/>
    <col min="10" max="12" width="15" bestFit="1" customWidth="1"/>
    <col min="13" max="13" width="2.5" style="140" customWidth="1"/>
    <col min="14" max="16" width="15" bestFit="1" customWidth="1"/>
    <col min="17" max="17" width="2.5" style="140" customWidth="1"/>
    <col min="18" max="20" width="14" bestFit="1" customWidth="1"/>
    <col min="21" max="21" width="2.5" style="140" customWidth="1"/>
    <col min="22" max="24" width="14" bestFit="1" customWidth="1"/>
  </cols>
  <sheetData>
    <row r="1" spans="1:24">
      <c r="B1" s="210" t="s">
        <v>142</v>
      </c>
      <c r="C1" s="210"/>
      <c r="D1" s="210"/>
      <c r="E1" s="171"/>
      <c r="F1" s="210" t="s">
        <v>143</v>
      </c>
      <c r="G1" s="210"/>
      <c r="H1" s="210"/>
      <c r="I1" s="171"/>
      <c r="J1" s="210" t="s">
        <v>145</v>
      </c>
      <c r="K1" s="210"/>
      <c r="L1" s="210"/>
      <c r="M1" s="171"/>
      <c r="N1" s="210" t="s">
        <v>146</v>
      </c>
      <c r="O1" s="210"/>
      <c r="P1" s="210"/>
      <c r="Q1" s="171"/>
      <c r="R1" s="210" t="s">
        <v>147</v>
      </c>
      <c r="S1" s="210"/>
      <c r="T1" s="210"/>
      <c r="U1" s="171"/>
      <c r="V1" s="210" t="s">
        <v>148</v>
      </c>
      <c r="W1" s="210"/>
      <c r="X1" s="210"/>
    </row>
    <row r="2" spans="1:24">
      <c r="B2" t="s">
        <v>5</v>
      </c>
      <c r="C2" t="s">
        <v>144</v>
      </c>
      <c r="D2" t="s">
        <v>149</v>
      </c>
      <c r="F2" t="s">
        <v>5</v>
      </c>
      <c r="G2" t="s">
        <v>144</v>
      </c>
      <c r="H2" t="s">
        <v>149</v>
      </c>
      <c r="J2" t="s">
        <v>5</v>
      </c>
      <c r="K2" t="s">
        <v>144</v>
      </c>
      <c r="L2" t="s">
        <v>149</v>
      </c>
      <c r="N2" t="s">
        <v>5</v>
      </c>
      <c r="O2" t="s">
        <v>144</v>
      </c>
      <c r="P2" t="s">
        <v>149</v>
      </c>
      <c r="R2" t="s">
        <v>5</v>
      </c>
      <c r="S2" t="s">
        <v>144</v>
      </c>
      <c r="T2" t="s">
        <v>149</v>
      </c>
      <c r="V2" t="s">
        <v>5</v>
      </c>
      <c r="W2" t="s">
        <v>144</v>
      </c>
      <c r="X2" t="s">
        <v>149</v>
      </c>
    </row>
    <row r="3" spans="1:24">
      <c r="A3" s="38">
        <v>44377</v>
      </c>
      <c r="B3" s="2">
        <v>54711376.600539982</v>
      </c>
      <c r="C3" s="2">
        <v>40839490.600260027</v>
      </c>
      <c r="D3" s="2">
        <f>B3-C3</f>
        <v>13871886.000279956</v>
      </c>
      <c r="F3" s="2">
        <v>64078339.605452977</v>
      </c>
      <c r="G3" s="2">
        <v>43734694.386430003</v>
      </c>
      <c r="H3" s="2">
        <f>F3-G3</f>
        <v>20343645.219022974</v>
      </c>
      <c r="J3" s="2">
        <v>51507391.316779986</v>
      </c>
      <c r="K3" s="2">
        <v>25313938.63738</v>
      </c>
      <c r="L3" s="2">
        <f>J3-K3</f>
        <v>26193452.679399986</v>
      </c>
      <c r="N3" s="2">
        <v>17627109.564830001</v>
      </c>
      <c r="O3" s="2">
        <v>5827092.5079899989</v>
      </c>
      <c r="P3" s="2">
        <f>N3-O3</f>
        <v>11800017.056840003</v>
      </c>
      <c r="R3" s="2">
        <v>2620019.2199100005</v>
      </c>
      <c r="S3" s="2">
        <v>490100.97978999995</v>
      </c>
      <c r="T3" s="2">
        <f>R3-S3</f>
        <v>2129918.2401200007</v>
      </c>
      <c r="V3" s="2">
        <v>4394135.6260700002</v>
      </c>
      <c r="W3" s="2">
        <v>426366.03606999997</v>
      </c>
      <c r="X3" s="2">
        <f>V3-W3</f>
        <v>3967769.5900000003</v>
      </c>
    </row>
    <row r="4" spans="1:24">
      <c r="A4" s="38">
        <v>44408</v>
      </c>
      <c r="B4" s="2">
        <v>55515157.62442001</v>
      </c>
      <c r="C4" s="2">
        <v>41767458.214419976</v>
      </c>
      <c r="D4" s="2">
        <f>B4-C4</f>
        <v>13747699.410000034</v>
      </c>
      <c r="F4" s="2">
        <v>65979629.241910033</v>
      </c>
      <c r="G4" s="2">
        <v>44682232.205430023</v>
      </c>
      <c r="H4" s="2">
        <f>F4-G4</f>
        <v>21297397.03648001</v>
      </c>
      <c r="J4" s="2">
        <v>54739645.806939997</v>
      </c>
      <c r="K4" s="2">
        <v>26383913.166940015</v>
      </c>
      <c r="L4" s="2">
        <f>J4-K4</f>
        <v>28355732.639999982</v>
      </c>
      <c r="N4" s="2">
        <v>18870001.618950006</v>
      </c>
      <c r="O4" s="2">
        <v>6800292.9965100009</v>
      </c>
      <c r="P4" s="2">
        <f>N4-O4</f>
        <v>12069708.622440005</v>
      </c>
      <c r="R4" s="2">
        <v>2642398.4243900003</v>
      </c>
      <c r="S4" s="2">
        <v>495959.84438999998</v>
      </c>
      <c r="T4" s="2">
        <f>R4-S4</f>
        <v>2146438.58</v>
      </c>
      <c r="V4" s="2">
        <v>4375890.7535399999</v>
      </c>
      <c r="W4" s="2">
        <v>423148.49354000005</v>
      </c>
      <c r="X4" s="2">
        <f>V4-W4</f>
        <v>3952742.26</v>
      </c>
    </row>
    <row r="5" spans="1:24">
      <c r="A5" s="38">
        <v>44439</v>
      </c>
      <c r="B5" s="2"/>
      <c r="C5" s="2"/>
      <c r="D5" s="2"/>
      <c r="F5" s="2"/>
      <c r="G5" s="2"/>
      <c r="H5" s="2"/>
      <c r="J5" s="2"/>
      <c r="K5" s="2"/>
      <c r="L5" s="2"/>
      <c r="N5" s="2"/>
      <c r="O5" s="2"/>
      <c r="P5" s="2"/>
      <c r="R5" s="2"/>
      <c r="S5" s="2"/>
      <c r="T5" s="2"/>
      <c r="V5" s="2"/>
      <c r="W5" s="2"/>
      <c r="X5" s="2"/>
    </row>
    <row r="6" spans="1:24">
      <c r="A6" s="38">
        <v>44469</v>
      </c>
      <c r="B6" s="2">
        <v>56430713.879700027</v>
      </c>
      <c r="C6" s="2">
        <v>42391452.294499949</v>
      </c>
      <c r="D6" s="2">
        <f>B6-C6</f>
        <v>14039261.585200079</v>
      </c>
      <c r="F6" s="2">
        <v>68646973.950880006</v>
      </c>
      <c r="G6" s="2">
        <v>46320721.966620035</v>
      </c>
      <c r="H6" s="2">
        <f>F6-G6</f>
        <v>22326251.98425997</v>
      </c>
      <c r="J6" s="2">
        <v>54762705.768680014</v>
      </c>
      <c r="K6" s="2">
        <v>26259828.858680006</v>
      </c>
      <c r="L6" s="2">
        <f>J6-K6</f>
        <v>28502876.910000008</v>
      </c>
      <c r="N6" s="2">
        <v>19926391.690049995</v>
      </c>
      <c r="O6" s="2">
        <v>7117286.9833200006</v>
      </c>
      <c r="P6" s="2">
        <f>N6-O6</f>
        <v>12809104.706729993</v>
      </c>
      <c r="R6" s="2">
        <v>2798138.8741599992</v>
      </c>
      <c r="S6" s="2">
        <v>518393.90415999998</v>
      </c>
      <c r="T6" s="2">
        <f>R6-S6</f>
        <v>2279744.9699999993</v>
      </c>
      <c r="V6" s="2">
        <v>4358337.2971599987</v>
      </c>
      <c r="W6" s="2">
        <v>414310.28715999995</v>
      </c>
      <c r="X6" s="2">
        <f>V6-W6</f>
        <v>3944027.0099999988</v>
      </c>
    </row>
    <row r="7" spans="1:24">
      <c r="A7" s="38">
        <v>44500</v>
      </c>
      <c r="B7" s="2"/>
      <c r="C7" s="2"/>
      <c r="D7" s="2"/>
      <c r="F7" s="2"/>
      <c r="G7" s="2"/>
      <c r="H7" s="2"/>
      <c r="J7" s="2"/>
      <c r="K7" s="2"/>
      <c r="L7" s="2"/>
      <c r="N7" s="2"/>
      <c r="O7" s="2"/>
      <c r="P7" s="2"/>
      <c r="R7" s="2"/>
      <c r="S7" s="2"/>
      <c r="T7" s="2"/>
      <c r="V7" s="2"/>
      <c r="W7" s="2"/>
      <c r="X7" s="2"/>
    </row>
    <row r="8" spans="1:24">
      <c r="A8" s="38">
        <v>44530</v>
      </c>
      <c r="B8" s="2"/>
      <c r="C8" s="2"/>
      <c r="D8" s="2"/>
      <c r="F8" s="2"/>
      <c r="G8" s="2"/>
      <c r="H8" s="2"/>
      <c r="J8" s="2"/>
      <c r="K8" s="2"/>
      <c r="L8" s="2"/>
      <c r="N8" s="2"/>
      <c r="O8" s="2"/>
      <c r="P8" s="2"/>
      <c r="R8" s="2"/>
      <c r="S8" s="2"/>
      <c r="T8" s="2"/>
      <c r="V8" s="2"/>
      <c r="W8" s="2"/>
      <c r="X8" s="2"/>
    </row>
    <row r="9" spans="1:24">
      <c r="A9" s="38">
        <v>44561</v>
      </c>
      <c r="B9" s="2">
        <v>62619770.781330004</v>
      </c>
      <c r="C9" s="2">
        <v>47336531.521329977</v>
      </c>
      <c r="D9" s="2">
        <f>B9-C9</f>
        <v>15283239.260000028</v>
      </c>
      <c r="F9" s="2">
        <v>77914880.926239908</v>
      </c>
      <c r="G9" s="2">
        <v>53113480.165440015</v>
      </c>
      <c r="H9" s="2">
        <f>F9-G9</f>
        <v>24801400.760799892</v>
      </c>
      <c r="J9" s="2">
        <v>61107756.685239993</v>
      </c>
      <c r="K9" s="2">
        <v>29958393.444940016</v>
      </c>
      <c r="L9" s="2">
        <f>J9-K9</f>
        <v>31149363.240299977</v>
      </c>
      <c r="N9" s="2">
        <v>20650757.629869994</v>
      </c>
      <c r="O9" s="2">
        <v>7564611.4698700048</v>
      </c>
      <c r="P9" s="2">
        <f>N9-O9</f>
        <v>13086146.159999989</v>
      </c>
      <c r="R9" s="2">
        <v>5209088.1884199986</v>
      </c>
      <c r="S9" s="2">
        <v>1003219.7384199998</v>
      </c>
      <c r="T9" s="2">
        <f>R9-S9</f>
        <v>4205868.4499999993</v>
      </c>
      <c r="V9" s="2">
        <v>3174750.4929400003</v>
      </c>
      <c r="W9" s="2">
        <v>324049.94293999998</v>
      </c>
      <c r="X9" s="2">
        <f>V9-W9</f>
        <v>2850700.5500000003</v>
      </c>
    </row>
    <row r="10" spans="1:24">
      <c r="A10" s="38">
        <v>44592</v>
      </c>
      <c r="B10" s="2"/>
      <c r="C10" s="2"/>
      <c r="D10" s="2"/>
      <c r="F10" s="2"/>
      <c r="G10" s="2"/>
      <c r="H10" s="2"/>
      <c r="J10" s="2"/>
      <c r="K10" s="2"/>
      <c r="L10" s="2"/>
      <c r="N10" s="2"/>
      <c r="O10" s="2"/>
      <c r="P10" s="2"/>
      <c r="R10" s="2"/>
      <c r="S10" s="2"/>
      <c r="T10" s="2"/>
      <c r="V10" s="2"/>
      <c r="W10" s="2"/>
      <c r="X10" s="2"/>
    </row>
    <row r="11" spans="1:24">
      <c r="A11" s="38">
        <v>44620</v>
      </c>
      <c r="B11" s="2"/>
      <c r="C11" s="2"/>
      <c r="D11" s="2"/>
      <c r="F11" s="2"/>
      <c r="G11" s="2"/>
      <c r="H11" s="2"/>
      <c r="J11" s="2"/>
      <c r="K11" s="2"/>
      <c r="L11" s="2"/>
      <c r="N11" s="2"/>
      <c r="O11" s="2"/>
      <c r="P11" s="2"/>
      <c r="R11" s="2"/>
      <c r="S11" s="2"/>
      <c r="T11" s="2"/>
      <c r="V11" s="2"/>
      <c r="W11" s="2"/>
      <c r="X11" s="2"/>
    </row>
    <row r="12" spans="1:24">
      <c r="A12" s="38">
        <v>44651</v>
      </c>
      <c r="B12" s="2">
        <v>63737759.367519952</v>
      </c>
      <c r="C12" s="2">
        <v>47974695.818120018</v>
      </c>
      <c r="D12" s="2">
        <f>B12-C12</f>
        <v>15763063.549399935</v>
      </c>
      <c r="F12" s="2">
        <v>80713995.786299914</v>
      </c>
      <c r="G12" s="2">
        <v>55136707.511399999</v>
      </c>
      <c r="H12" s="2">
        <f>F12-G12</f>
        <v>25577288.274899915</v>
      </c>
      <c r="J12" s="2">
        <v>62209974.671309985</v>
      </c>
      <c r="K12" s="2">
        <v>30520489.701109994</v>
      </c>
      <c r="L12" s="2">
        <f>J12-K12</f>
        <v>31689484.970199991</v>
      </c>
      <c r="N12" s="2">
        <v>17663088.062469997</v>
      </c>
      <c r="O12" s="2">
        <v>6546121.7390700011</v>
      </c>
      <c r="P12" s="2">
        <f>N12-O12</f>
        <v>11116966.323399995</v>
      </c>
      <c r="R12" s="2">
        <v>4467403.1668999987</v>
      </c>
      <c r="S12" s="2">
        <v>875207.11580000003</v>
      </c>
      <c r="T12" s="2">
        <f>R12-S12</f>
        <v>3592196.0510999989</v>
      </c>
      <c r="V12" s="2">
        <v>2907898.5364999995</v>
      </c>
      <c r="W12" s="2">
        <v>297765.26569999999</v>
      </c>
      <c r="X12" s="2">
        <f>V12-W12</f>
        <v>2610133.2707999996</v>
      </c>
    </row>
    <row r="13" spans="1:24">
      <c r="A13" s="38">
        <v>44681</v>
      </c>
      <c r="B13" s="2"/>
      <c r="C13" s="2"/>
      <c r="D13" s="2"/>
      <c r="F13" s="2"/>
      <c r="G13" s="2"/>
      <c r="H13" s="2"/>
      <c r="J13" s="2"/>
      <c r="K13" s="2"/>
      <c r="L13" s="2"/>
      <c r="N13" s="2"/>
      <c r="O13" s="2"/>
      <c r="P13" s="2"/>
      <c r="R13" s="2"/>
      <c r="S13" s="2"/>
      <c r="T13" s="2"/>
      <c r="V13" s="2"/>
      <c r="W13" s="2"/>
      <c r="X13" s="2"/>
    </row>
    <row r="14" spans="1:24">
      <c r="A14" s="38">
        <v>44712</v>
      </c>
      <c r="B14" s="2"/>
      <c r="C14" s="2"/>
      <c r="D14" s="2"/>
      <c r="F14" s="2"/>
      <c r="G14" s="2"/>
      <c r="H14" s="2"/>
      <c r="J14" s="2"/>
      <c r="K14" s="2"/>
      <c r="L14" s="2"/>
      <c r="N14" s="2"/>
      <c r="O14" s="2"/>
      <c r="P14" s="2"/>
      <c r="R14" s="2"/>
      <c r="S14" s="2"/>
      <c r="T14" s="2"/>
      <c r="V14" s="2"/>
      <c r="W14" s="2"/>
      <c r="X14" s="2"/>
    </row>
    <row r="15" spans="1:24">
      <c r="A15" s="38">
        <v>44742</v>
      </c>
      <c r="B15" s="2">
        <v>59015290.154676966</v>
      </c>
      <c r="C15" s="2">
        <v>44357455.81319996</v>
      </c>
      <c r="D15" s="2">
        <f>B15-C15</f>
        <v>14657834.341477007</v>
      </c>
      <c r="F15" s="2">
        <v>76522397.56765002</v>
      </c>
      <c r="G15" s="2">
        <v>51736948.260630019</v>
      </c>
      <c r="H15" s="2">
        <f>F15-G15</f>
        <v>24785449.307020001</v>
      </c>
      <c r="J15" s="2">
        <v>63431461.367919974</v>
      </c>
      <c r="K15" s="2">
        <v>30431764.447780021</v>
      </c>
      <c r="L15" s="2">
        <f>J15-K15</f>
        <v>32999696.920139953</v>
      </c>
      <c r="N15" s="2">
        <v>19655548.939558998</v>
      </c>
      <c r="O15" s="2">
        <v>7623608.9570899978</v>
      </c>
      <c r="P15" s="2">
        <f>N15-O15</f>
        <v>12031939.982469</v>
      </c>
      <c r="R15" s="2">
        <v>6139609.4386799997</v>
      </c>
      <c r="S15" s="2">
        <v>1506910.7853199998</v>
      </c>
      <c r="T15" s="2">
        <f>R15-S15</f>
        <v>4632698.6533599999</v>
      </c>
      <c r="V15" s="2">
        <v>2388853.8109830003</v>
      </c>
      <c r="W15" s="2">
        <v>330748.22464000015</v>
      </c>
      <c r="X15" s="2">
        <f>V15-W15</f>
        <v>2058105.5863430002</v>
      </c>
    </row>
    <row r="16" spans="1:24">
      <c r="A16" s="38">
        <v>44773</v>
      </c>
      <c r="B16" s="2"/>
      <c r="C16" s="2"/>
      <c r="D16" s="2"/>
      <c r="F16" s="2"/>
      <c r="G16" s="2"/>
      <c r="H16" s="2"/>
      <c r="J16" s="2"/>
      <c r="K16" s="2"/>
      <c r="L16" s="2"/>
      <c r="N16" s="2"/>
      <c r="O16" s="2"/>
      <c r="P16" s="2"/>
      <c r="R16" s="2"/>
      <c r="S16" s="2"/>
      <c r="T16" s="2"/>
      <c r="V16" s="2"/>
      <c r="W16" s="2"/>
      <c r="X16" s="2"/>
    </row>
    <row r="17" spans="1:24">
      <c r="A17" s="38">
        <v>44804</v>
      </c>
      <c r="B17" s="2"/>
      <c r="C17" s="2"/>
      <c r="D17" s="2"/>
      <c r="F17" s="2"/>
      <c r="G17" s="2"/>
      <c r="H17" s="2"/>
      <c r="J17" s="2"/>
      <c r="K17" s="2"/>
      <c r="L17" s="2"/>
      <c r="N17" s="2"/>
      <c r="O17" s="2"/>
      <c r="P17" s="2"/>
      <c r="R17" s="2"/>
      <c r="S17" s="2"/>
      <c r="T17" s="2"/>
      <c r="V17" s="2"/>
      <c r="W17" s="2"/>
      <c r="X17" s="2"/>
    </row>
    <row r="18" spans="1:24">
      <c r="A18" s="38">
        <v>44834</v>
      </c>
      <c r="B18" s="2">
        <v>57694828.300410017</v>
      </c>
      <c r="C18" s="2">
        <v>43202966.134449996</v>
      </c>
      <c r="D18" s="2">
        <f>B18-C18</f>
        <v>14491862.165960021</v>
      </c>
      <c r="F18" s="2">
        <v>75744821.331710011</v>
      </c>
      <c r="G18" s="2">
        <v>51105984.301699966</v>
      </c>
      <c r="H18" s="2">
        <f>F18-G18</f>
        <v>24638837.030010045</v>
      </c>
      <c r="J18" s="2">
        <v>61573816.302750014</v>
      </c>
      <c r="K18" s="2">
        <v>29208669.397870012</v>
      </c>
      <c r="L18" s="2">
        <f>J18-K18</f>
        <v>32365146.904880002</v>
      </c>
      <c r="N18" s="2">
        <v>20286643.072659999</v>
      </c>
      <c r="O18" s="2">
        <v>7797640.5360999983</v>
      </c>
      <c r="P18" s="2">
        <f>N18-O18</f>
        <v>12489002.536560001</v>
      </c>
      <c r="R18" s="2">
        <v>5635159.6129300008</v>
      </c>
      <c r="S18" s="2">
        <v>1370894.9946300001</v>
      </c>
      <c r="T18" s="2">
        <f>R18-S18</f>
        <v>4264264.6183000002</v>
      </c>
      <c r="V18" s="2">
        <v>2824066.8766300003</v>
      </c>
      <c r="W18" s="2">
        <v>384560.90232999995</v>
      </c>
      <c r="X18" s="2">
        <f>V18-W18</f>
        <v>2439505.9743000004</v>
      </c>
    </row>
    <row r="19" spans="1:24">
      <c r="A19" s="38">
        <v>44865</v>
      </c>
      <c r="B19" s="2"/>
      <c r="C19" s="2"/>
      <c r="D19" s="2"/>
      <c r="F19" s="2"/>
      <c r="G19" s="2"/>
      <c r="H19" s="2"/>
      <c r="J19" s="2"/>
      <c r="K19" s="2"/>
      <c r="L19" s="2"/>
      <c r="N19" s="2"/>
      <c r="O19" s="2"/>
      <c r="P19" s="2"/>
      <c r="R19" s="2"/>
      <c r="S19" s="2"/>
      <c r="T19" s="2"/>
      <c r="V19" s="2"/>
      <c r="W19" s="2"/>
      <c r="X19" s="2"/>
    </row>
    <row r="20" spans="1:24">
      <c r="A20" s="38">
        <v>44895</v>
      </c>
      <c r="B20" s="2"/>
      <c r="C20" s="2"/>
      <c r="D20" s="2"/>
      <c r="F20" s="2"/>
      <c r="G20" s="2"/>
      <c r="H20" s="2"/>
      <c r="J20" s="2"/>
      <c r="K20" s="2"/>
      <c r="L20" s="2"/>
      <c r="N20" s="2"/>
      <c r="O20" s="2"/>
      <c r="P20" s="2"/>
      <c r="R20" s="2"/>
      <c r="S20" s="2"/>
      <c r="T20" s="2"/>
      <c r="V20" s="2"/>
      <c r="W20" s="2"/>
      <c r="X20" s="2"/>
    </row>
    <row r="21" spans="1:24">
      <c r="A21" s="38">
        <v>44926</v>
      </c>
      <c r="B21" s="2">
        <v>66861495.690519951</v>
      </c>
      <c r="C21" s="2">
        <v>50130874.184290059</v>
      </c>
      <c r="D21" s="2">
        <f>B21-C21</f>
        <v>16730621.506229892</v>
      </c>
      <c r="F21" s="2">
        <v>89447463.356760055</v>
      </c>
      <c r="G21" s="2">
        <v>60524581.640480012</v>
      </c>
      <c r="H21" s="2">
        <f>F21-G21</f>
        <v>28922881.716280043</v>
      </c>
      <c r="J21" s="2">
        <v>73617550.732229993</v>
      </c>
      <c r="K21" s="2">
        <v>35437808.581769973</v>
      </c>
      <c r="L21" s="2">
        <f>J21-K21</f>
        <v>38179742.15046002</v>
      </c>
      <c r="N21" s="2">
        <v>22824403.645209994</v>
      </c>
      <c r="O21" s="2">
        <v>9007862.6489899978</v>
      </c>
      <c r="P21" s="2">
        <f>N21-O21</f>
        <v>13816540.996219996</v>
      </c>
      <c r="R21" s="2">
        <v>7079112.6250300026</v>
      </c>
      <c r="S21" s="2">
        <v>1803650.0090299998</v>
      </c>
      <c r="T21" s="2">
        <f>R21-S21</f>
        <v>5275462.6160000023</v>
      </c>
      <c r="V21" s="2">
        <v>3941599.5208200011</v>
      </c>
      <c r="W21" s="2">
        <v>566371.01150999998</v>
      </c>
      <c r="X21" s="2">
        <f>V21-W21</f>
        <v>3375228.509310001</v>
      </c>
    </row>
    <row r="22" spans="1:24">
      <c r="A22" s="38">
        <v>44957</v>
      </c>
      <c r="B22" s="2"/>
      <c r="C22" s="2"/>
      <c r="D22" s="2"/>
      <c r="F22" s="2"/>
      <c r="G22" s="2"/>
      <c r="H22" s="2"/>
      <c r="J22" s="2"/>
      <c r="K22" s="2"/>
      <c r="L22" s="2"/>
      <c r="N22" s="2"/>
      <c r="O22" s="2"/>
      <c r="P22" s="2"/>
      <c r="R22" s="2"/>
      <c r="S22" s="2"/>
      <c r="T22" s="2"/>
      <c r="V22" s="2"/>
      <c r="W22" s="2"/>
      <c r="X22" s="2"/>
    </row>
    <row r="23" spans="1:24">
      <c r="A23" s="38">
        <v>44985</v>
      </c>
      <c r="B23" s="2"/>
      <c r="C23" s="2"/>
      <c r="D23" s="2"/>
      <c r="F23" s="2"/>
      <c r="G23" s="2"/>
      <c r="H23" s="2"/>
      <c r="J23" s="2"/>
      <c r="K23" s="2"/>
      <c r="L23" s="2"/>
      <c r="N23" s="2"/>
      <c r="O23" s="2"/>
      <c r="P23" s="2"/>
      <c r="R23" s="2"/>
      <c r="S23" s="2"/>
      <c r="T23" s="2"/>
      <c r="V23" s="2"/>
      <c r="W23" s="2"/>
      <c r="X23" s="2"/>
    </row>
    <row r="24" spans="1:24">
      <c r="A24" s="38">
        <v>45016</v>
      </c>
      <c r="B24" s="2">
        <v>72833799.959999993</v>
      </c>
      <c r="C24" s="2">
        <v>56092362.159999996</v>
      </c>
      <c r="D24" s="2">
        <f>B24-C24</f>
        <v>16741437.799999997</v>
      </c>
      <c r="F24" s="2">
        <v>96429978.730000004</v>
      </c>
      <c r="G24" s="2">
        <v>67801125.799999997</v>
      </c>
      <c r="H24" s="2">
        <f>F24-G24</f>
        <v>28628852.930000007</v>
      </c>
      <c r="J24" s="2">
        <v>81506481.799999997</v>
      </c>
      <c r="K24" s="2">
        <v>41181073.229999997</v>
      </c>
      <c r="L24" s="2">
        <f>J24-K24</f>
        <v>40325408.57</v>
      </c>
      <c r="N24" s="2">
        <v>25508931.73</v>
      </c>
      <c r="O24" s="2">
        <v>11516403.949999999</v>
      </c>
      <c r="P24" s="2">
        <f>N24-O24</f>
        <v>13992527.780000001</v>
      </c>
      <c r="R24" s="2">
        <v>7655214.79</v>
      </c>
      <c r="S24" s="2">
        <v>2176417.9900000002</v>
      </c>
      <c r="T24" s="2">
        <f>R24-S24</f>
        <v>5478796.7999999998</v>
      </c>
      <c r="V24" s="2">
        <v>4911953.87</v>
      </c>
      <c r="W24" s="2">
        <v>936715.65</v>
      </c>
      <c r="X24" s="2">
        <f>V24-W24</f>
        <v>3975238.22</v>
      </c>
    </row>
    <row r="25" spans="1:24">
      <c r="A25" s="38">
        <v>45046</v>
      </c>
      <c r="F25" s="2"/>
      <c r="G25" s="2"/>
      <c r="H25" s="2"/>
      <c r="J25" s="2"/>
      <c r="K25" s="2"/>
      <c r="L25" s="2"/>
      <c r="N25" s="2"/>
      <c r="O25" s="2"/>
      <c r="P25" s="2"/>
      <c r="R25" s="2"/>
      <c r="S25" s="2"/>
      <c r="T25" s="2"/>
      <c r="V25" s="2"/>
      <c r="W25" s="2"/>
      <c r="X25" s="2"/>
    </row>
    <row r="26" spans="1:24">
      <c r="A26" s="38">
        <v>45077</v>
      </c>
      <c r="F26" s="2"/>
      <c r="G26" s="2"/>
      <c r="H26" s="2"/>
      <c r="J26" s="2"/>
      <c r="K26" s="2"/>
      <c r="L26" s="2"/>
      <c r="N26" s="2"/>
      <c r="O26" s="2"/>
      <c r="P26" s="2"/>
      <c r="R26" s="2"/>
      <c r="S26" s="2"/>
      <c r="T26" s="2"/>
      <c r="V26" s="2"/>
      <c r="W26" s="2"/>
      <c r="X26" s="2"/>
    </row>
    <row r="27" spans="1:24">
      <c r="A27" s="38">
        <v>45107</v>
      </c>
      <c r="B27" s="2">
        <v>79310841.483630046</v>
      </c>
      <c r="C27" s="2">
        <v>73497108.263349965</v>
      </c>
      <c r="D27" s="2">
        <f>B27-C27</f>
        <v>5813733.220280081</v>
      </c>
      <c r="E27" s="192"/>
      <c r="F27" s="2">
        <v>104534584.03881508</v>
      </c>
      <c r="G27" s="2">
        <v>93493987.112630069</v>
      </c>
      <c r="H27" s="2">
        <f>F27-G27</f>
        <v>11040596.926185012</v>
      </c>
      <c r="I27" s="192"/>
      <c r="J27" s="2">
        <v>85345472.591749921</v>
      </c>
      <c r="K27" s="2">
        <v>65167208.385699965</v>
      </c>
      <c r="L27" s="2">
        <f>J27-K27</f>
        <v>20178264.206049956</v>
      </c>
      <c r="M27" s="192"/>
      <c r="N27" s="2">
        <v>28675489.380247988</v>
      </c>
      <c r="O27" s="2">
        <v>18669163.620979998</v>
      </c>
      <c r="P27" s="2">
        <f>N27-O27</f>
        <v>10006325.75926799</v>
      </c>
      <c r="Q27" s="192"/>
      <c r="R27" s="2">
        <v>7103429.7041600021</v>
      </c>
      <c r="S27" s="2">
        <v>3477835.3941600006</v>
      </c>
      <c r="T27" s="2">
        <f>R27-S27</f>
        <v>3625594.3100000015</v>
      </c>
      <c r="U27" s="192"/>
      <c r="V27" s="2">
        <v>7857386.1515499987</v>
      </c>
      <c r="W27" s="2">
        <v>2692365.0490799998</v>
      </c>
      <c r="X27" s="2">
        <f>V27-W27</f>
        <v>5165021.1024699993</v>
      </c>
    </row>
    <row r="28" spans="1:24">
      <c r="A28" s="38">
        <v>45138</v>
      </c>
      <c r="B28" s="2"/>
      <c r="C28" s="2"/>
      <c r="D28" s="2"/>
      <c r="E28" s="192"/>
      <c r="F28" s="2"/>
      <c r="G28" s="2"/>
      <c r="H28" s="2"/>
      <c r="I28" s="192"/>
      <c r="J28" s="2"/>
      <c r="K28" s="2"/>
      <c r="L28" s="2"/>
      <c r="M28" s="192"/>
      <c r="N28" s="2"/>
      <c r="O28" s="2"/>
      <c r="P28" s="2"/>
      <c r="Q28" s="192"/>
      <c r="R28" s="2"/>
      <c r="S28" s="2"/>
      <c r="T28" s="2"/>
      <c r="U28" s="192"/>
      <c r="V28" s="2"/>
      <c r="W28" s="2"/>
      <c r="X28" s="2"/>
    </row>
    <row r="29" spans="1:24">
      <c r="A29" s="38">
        <v>45169</v>
      </c>
      <c r="B29" s="2"/>
      <c r="C29" s="2"/>
      <c r="D29" s="2"/>
      <c r="E29" s="192"/>
      <c r="F29" s="2"/>
      <c r="G29" s="2"/>
      <c r="H29" s="2"/>
      <c r="I29" s="192"/>
      <c r="J29" s="2"/>
      <c r="K29" s="2"/>
      <c r="L29" s="2"/>
      <c r="M29" s="192"/>
      <c r="N29" s="2"/>
      <c r="O29" s="2"/>
      <c r="P29" s="2"/>
      <c r="Q29" s="192"/>
      <c r="R29" s="2"/>
      <c r="S29" s="2"/>
      <c r="T29" s="2"/>
      <c r="U29" s="192"/>
      <c r="V29" s="2"/>
      <c r="W29" s="2"/>
      <c r="X29" s="2"/>
    </row>
    <row r="30" spans="1:24">
      <c r="A30" s="38">
        <v>45199</v>
      </c>
      <c r="B30" s="2">
        <v>80270371.019999996</v>
      </c>
      <c r="C30" s="2">
        <v>74104475.140000001</v>
      </c>
      <c r="D30" s="2">
        <v>6165895.8799999999</v>
      </c>
      <c r="E30" s="192"/>
      <c r="F30" s="2">
        <v>105479384.53577001</v>
      </c>
      <c r="G30" s="2">
        <v>94213631.071590021</v>
      </c>
      <c r="H30" s="2">
        <v>11265753.464179993</v>
      </c>
      <c r="I30" s="192"/>
      <c r="J30" s="2">
        <v>99021910.259830043</v>
      </c>
      <c r="K30" s="2">
        <v>75198654.626599982</v>
      </c>
      <c r="L30" s="2">
        <v>23823255.63323006</v>
      </c>
      <c r="M30" s="192"/>
      <c r="N30" s="2">
        <v>33693085.569489986</v>
      </c>
      <c r="O30" s="2">
        <v>21811688.24169001</v>
      </c>
      <c r="P30" s="2">
        <v>11881397.327799976</v>
      </c>
      <c r="Q30" s="192"/>
      <c r="R30" s="2">
        <v>8271424.1662599985</v>
      </c>
      <c r="S30" s="2">
        <v>4082753.6462599994</v>
      </c>
      <c r="T30" s="2">
        <v>4188670.5199999991</v>
      </c>
      <c r="U30" s="192"/>
      <c r="V30" s="2">
        <v>5861573.8502499983</v>
      </c>
      <c r="W30" s="2">
        <v>1953784.4795600004</v>
      </c>
      <c r="X30" s="2">
        <v>3907789.3706899979</v>
      </c>
    </row>
    <row r="31" spans="1:24">
      <c r="A31" s="38">
        <v>45230</v>
      </c>
      <c r="B31" s="2"/>
      <c r="C31" s="2"/>
      <c r="D31" s="2"/>
      <c r="E31" s="192"/>
      <c r="F31" s="2"/>
      <c r="G31" s="2"/>
      <c r="H31" s="2"/>
      <c r="I31" s="192"/>
      <c r="J31" s="2"/>
      <c r="K31" s="2"/>
      <c r="L31" s="2"/>
      <c r="M31" s="192"/>
      <c r="N31" s="2"/>
      <c r="O31" s="2"/>
      <c r="P31" s="2"/>
      <c r="Q31" s="192"/>
      <c r="R31" s="2"/>
      <c r="S31" s="2"/>
      <c r="T31" s="2"/>
      <c r="U31" s="192"/>
      <c r="V31" s="2"/>
      <c r="W31" s="2"/>
      <c r="X31" s="2"/>
    </row>
    <row r="32" spans="1:24">
      <c r="A32" s="38">
        <v>45260</v>
      </c>
      <c r="B32" s="2"/>
      <c r="C32" s="2"/>
      <c r="D32" s="2"/>
      <c r="E32" s="192"/>
      <c r="F32" s="2"/>
      <c r="G32" s="2"/>
      <c r="H32" s="2"/>
      <c r="I32" s="192"/>
      <c r="J32" s="2"/>
      <c r="K32" s="2"/>
      <c r="L32" s="2"/>
      <c r="M32" s="192"/>
      <c r="N32" s="2"/>
      <c r="O32" s="2"/>
      <c r="P32" s="2"/>
      <c r="Q32" s="192"/>
      <c r="R32" s="2"/>
      <c r="S32" s="2"/>
      <c r="T32" s="2"/>
      <c r="U32" s="192"/>
      <c r="V32" s="2"/>
      <c r="W32" s="2"/>
      <c r="X32" s="2"/>
    </row>
    <row r="33" spans="1:24">
      <c r="A33" s="38">
        <v>45291</v>
      </c>
      <c r="B33" s="2"/>
      <c r="C33" s="2"/>
      <c r="D33" s="2"/>
      <c r="E33" s="192"/>
      <c r="F33" s="2"/>
      <c r="G33" s="2"/>
      <c r="H33" s="2"/>
      <c r="I33" s="192"/>
      <c r="J33" s="2"/>
      <c r="K33" s="2"/>
      <c r="L33" s="2"/>
      <c r="M33" s="192"/>
      <c r="N33" s="2"/>
      <c r="O33" s="2"/>
      <c r="P33" s="2"/>
      <c r="Q33" s="192"/>
      <c r="R33" s="2"/>
      <c r="S33" s="2"/>
      <c r="T33" s="2"/>
      <c r="U33" s="192"/>
      <c r="V33" s="2"/>
      <c r="W33" s="2"/>
      <c r="X33" s="2"/>
    </row>
    <row r="34" spans="1:24">
      <c r="B34" s="2"/>
      <c r="C34" s="2"/>
      <c r="D34" s="2"/>
      <c r="E34" s="192"/>
      <c r="F34" s="2"/>
      <c r="G34" s="2"/>
      <c r="H34" s="2"/>
      <c r="I34" s="192"/>
      <c r="J34" s="2"/>
      <c r="K34" s="2"/>
      <c r="L34" s="2"/>
      <c r="M34" s="192"/>
      <c r="N34" s="2"/>
      <c r="O34" s="2"/>
      <c r="P34" s="2"/>
      <c r="Q34" s="192"/>
      <c r="R34" s="2"/>
      <c r="S34" s="2"/>
      <c r="T34" s="2"/>
      <c r="U34" s="192"/>
      <c r="V34" s="2"/>
      <c r="W34" s="2"/>
      <c r="X34" s="2"/>
    </row>
    <row r="35" spans="1:24">
      <c r="B35" s="2"/>
      <c r="C35" s="2"/>
      <c r="D35" s="2"/>
      <c r="E35" s="192"/>
      <c r="F35" s="2"/>
      <c r="G35" s="2"/>
      <c r="H35" s="2"/>
      <c r="I35" s="192"/>
      <c r="J35" s="2"/>
      <c r="K35" s="2"/>
      <c r="L35" s="2"/>
      <c r="M35" s="192"/>
      <c r="N35" s="2"/>
      <c r="O35" s="2"/>
      <c r="P35" s="2"/>
      <c r="Q35" s="192"/>
      <c r="R35" s="2"/>
      <c r="S35" s="2"/>
      <c r="T35" s="2"/>
      <c r="U35" s="192"/>
      <c r="V35" s="2"/>
      <c r="W35" s="2"/>
      <c r="X35" s="2"/>
    </row>
    <row r="36" spans="1:24">
      <c r="B36" s="2"/>
      <c r="C36" s="2"/>
      <c r="D36" s="2"/>
      <c r="E36" s="192"/>
      <c r="F36" s="2"/>
      <c r="G36" s="2"/>
      <c r="H36" s="2"/>
      <c r="I36" s="192"/>
      <c r="J36" s="2"/>
      <c r="K36" s="2"/>
      <c r="L36" s="2"/>
      <c r="M36" s="192"/>
      <c r="N36" s="2"/>
      <c r="O36" s="2"/>
      <c r="P36" s="2"/>
      <c r="Q36" s="192"/>
      <c r="R36" s="2"/>
      <c r="S36" s="2"/>
      <c r="T36" s="2"/>
      <c r="U36" s="192"/>
      <c r="V36" s="2"/>
      <c r="W36" s="2"/>
      <c r="X36" s="2"/>
    </row>
    <row r="37" spans="1:24">
      <c r="B37" s="2"/>
      <c r="C37" s="2"/>
      <c r="D37" s="2"/>
      <c r="E37" s="192"/>
      <c r="F37" s="2"/>
      <c r="G37" s="2"/>
      <c r="H37" s="2"/>
      <c r="I37" s="192"/>
      <c r="J37" s="2"/>
      <c r="K37" s="2"/>
      <c r="L37" s="2"/>
      <c r="M37" s="192"/>
      <c r="N37" s="2"/>
      <c r="O37" s="2"/>
      <c r="P37" s="2"/>
      <c r="Q37" s="192"/>
      <c r="R37" s="2"/>
      <c r="S37" s="2"/>
      <c r="T37" s="2"/>
      <c r="U37" s="192"/>
      <c r="V37" s="2"/>
      <c r="W37" s="2"/>
      <c r="X37" s="2"/>
    </row>
    <row r="38" spans="1:24">
      <c r="B38" s="2"/>
      <c r="C38" s="2"/>
      <c r="D38" s="2"/>
      <c r="E38" s="192"/>
      <c r="F38" s="2"/>
      <c r="G38" s="2"/>
      <c r="H38" s="2"/>
      <c r="I38" s="192"/>
      <c r="J38" s="2"/>
      <c r="K38" s="2"/>
      <c r="L38" s="2"/>
      <c r="M38" s="192"/>
      <c r="N38" s="2"/>
      <c r="O38" s="2"/>
      <c r="P38" s="2"/>
      <c r="Q38" s="192"/>
      <c r="R38" s="2"/>
      <c r="S38" s="2"/>
      <c r="T38" s="2"/>
      <c r="U38" s="192"/>
      <c r="V38" s="2"/>
      <c r="W38" s="2"/>
      <c r="X38" s="2"/>
    </row>
    <row r="39" spans="1:24">
      <c r="B39" s="2"/>
      <c r="C39" s="2"/>
      <c r="D39" s="2"/>
      <c r="E39" s="192"/>
      <c r="F39" s="2"/>
      <c r="G39" s="2"/>
      <c r="H39" s="2"/>
      <c r="I39" s="192"/>
      <c r="J39" s="2"/>
      <c r="K39" s="2"/>
      <c r="L39" s="2"/>
      <c r="M39" s="192"/>
      <c r="N39" s="2"/>
      <c r="O39" s="2"/>
      <c r="P39" s="2"/>
      <c r="Q39" s="192"/>
      <c r="R39" s="2"/>
      <c r="S39" s="2"/>
      <c r="T39" s="2"/>
      <c r="U39" s="192"/>
      <c r="V39" s="2"/>
      <c r="W39" s="2"/>
      <c r="X39" s="2"/>
    </row>
    <row r="40" spans="1:24">
      <c r="F40" s="2"/>
      <c r="G40" s="2"/>
      <c r="H40" s="2"/>
      <c r="J40" s="2"/>
      <c r="K40" s="2"/>
      <c r="L40" s="2"/>
      <c r="N40" s="2"/>
      <c r="O40" s="2"/>
      <c r="P40" s="2"/>
      <c r="R40" s="2"/>
      <c r="S40" s="2"/>
      <c r="T40" s="2"/>
      <c r="V40" s="2"/>
      <c r="W40" s="2"/>
      <c r="X40" s="2"/>
    </row>
    <row r="41" spans="1:24">
      <c r="F41" s="2"/>
      <c r="G41" s="2"/>
      <c r="H41" s="2"/>
      <c r="J41" s="2"/>
      <c r="K41" s="2"/>
      <c r="L41" s="2"/>
      <c r="N41" s="2"/>
      <c r="O41" s="2"/>
      <c r="P41" s="2"/>
      <c r="R41" s="2"/>
      <c r="S41" s="2"/>
      <c r="T41" s="2"/>
      <c r="V41" s="2"/>
      <c r="W41" s="2"/>
      <c r="X41" s="2"/>
    </row>
    <row r="42" spans="1:24">
      <c r="N42" s="2"/>
      <c r="O42" s="2"/>
      <c r="P42" s="2"/>
      <c r="R42" s="2"/>
      <c r="S42" s="2"/>
      <c r="T42" s="2"/>
      <c r="V42" s="2"/>
      <c r="W42" s="2"/>
      <c r="X42" s="2"/>
    </row>
    <row r="43" spans="1:24">
      <c r="N43" s="2"/>
      <c r="O43" s="2"/>
      <c r="P43" s="2"/>
      <c r="R43" s="2"/>
      <c r="S43" s="2"/>
      <c r="T43" s="2"/>
      <c r="V43" s="2"/>
      <c r="W43" s="2"/>
      <c r="X43" s="2"/>
    </row>
    <row r="44" spans="1:24">
      <c r="N44" s="2"/>
      <c r="O44" s="2"/>
      <c r="P44" s="2"/>
      <c r="R44" s="2"/>
      <c r="S44" s="2"/>
      <c r="T44" s="2"/>
      <c r="V44" s="2"/>
      <c r="W44" s="2"/>
      <c r="X44" s="2"/>
    </row>
  </sheetData>
  <mergeCells count="6">
    <mergeCell ref="V1:X1"/>
    <mergeCell ref="B1:D1"/>
    <mergeCell ref="F1:H1"/>
    <mergeCell ref="J1:L1"/>
    <mergeCell ref="N1:P1"/>
    <mergeCell ref="R1:T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6E9AA-36D3-4C35-BEAF-A5E64FFCF376}">
  <dimension ref="A1:C91"/>
  <sheetViews>
    <sheetView workbookViewId="0">
      <pane ySplit="1" topLeftCell="A53" activePane="bottomLeft" state="frozen"/>
      <selection pane="bottomLeft" activeCell="B75" sqref="B75"/>
    </sheetView>
  </sheetViews>
  <sheetFormatPr baseColWidth="10" defaultColWidth="8.83203125" defaultRowHeight="16"/>
  <cols>
    <col min="1" max="1" width="9.83203125" bestFit="1" customWidth="1"/>
    <col min="2" max="2" width="14.6640625" bestFit="1" customWidth="1"/>
    <col min="3" max="3" width="5.5" bestFit="1" customWidth="1"/>
  </cols>
  <sheetData>
    <row r="1" spans="1:3">
      <c r="A1" s="3" t="s">
        <v>0</v>
      </c>
      <c r="B1" s="3" t="s">
        <v>1</v>
      </c>
      <c r="C1" s="9" t="s">
        <v>69</v>
      </c>
    </row>
    <row r="2" spans="1:3">
      <c r="A2" s="38">
        <v>43312</v>
      </c>
      <c r="B2" s="2">
        <v>6091934.9700000007</v>
      </c>
      <c r="C2">
        <v>1</v>
      </c>
    </row>
    <row r="3" spans="1:3">
      <c r="A3" s="38">
        <v>43343</v>
      </c>
      <c r="B3" s="2">
        <v>6177187.1300000008</v>
      </c>
      <c r="C3">
        <v>1</v>
      </c>
    </row>
    <row r="4" spans="1:3">
      <c r="A4" s="38">
        <v>43373</v>
      </c>
      <c r="B4" s="2">
        <v>6271226.3000000017</v>
      </c>
      <c r="C4">
        <v>1</v>
      </c>
    </row>
    <row r="5" spans="1:3">
      <c r="A5" s="38">
        <v>43404</v>
      </c>
      <c r="B5" s="2">
        <v>5916871.4100000001</v>
      </c>
      <c r="C5">
        <v>1</v>
      </c>
    </row>
    <row r="6" spans="1:3">
      <c r="A6" s="38">
        <v>43434</v>
      </c>
      <c r="B6" s="2">
        <v>6143310.2299999995</v>
      </c>
      <c r="C6">
        <v>1</v>
      </c>
    </row>
    <row r="7" spans="1:3">
      <c r="A7" s="38">
        <v>43465</v>
      </c>
      <c r="B7" s="2">
        <v>5726375.5700000003</v>
      </c>
      <c r="C7">
        <v>1</v>
      </c>
    </row>
    <row r="8" spans="1:3">
      <c r="A8" s="38">
        <v>43496</v>
      </c>
      <c r="B8" s="2">
        <v>6042987.5099999998</v>
      </c>
      <c r="C8">
        <v>1</v>
      </c>
    </row>
    <row r="9" spans="1:3">
      <c r="A9" s="38">
        <v>43524</v>
      </c>
      <c r="B9" s="2">
        <v>6280615.709999999</v>
      </c>
      <c r="C9">
        <v>1</v>
      </c>
    </row>
    <row r="10" spans="1:3">
      <c r="A10" s="38">
        <v>43555</v>
      </c>
      <c r="B10" s="2">
        <v>6398349.0000000009</v>
      </c>
      <c r="C10">
        <v>1</v>
      </c>
    </row>
    <row r="11" spans="1:3">
      <c r="A11" s="38">
        <v>43585</v>
      </c>
      <c r="B11" s="2">
        <v>6586840.1180000007</v>
      </c>
      <c r="C11">
        <v>1</v>
      </c>
    </row>
    <row r="12" spans="1:3">
      <c r="A12" s="38">
        <v>43616</v>
      </c>
      <c r="B12" s="2">
        <v>6453582.1100000003</v>
      </c>
      <c r="C12">
        <v>1</v>
      </c>
    </row>
    <row r="13" spans="1:3">
      <c r="A13" s="38">
        <v>43646</v>
      </c>
      <c r="B13" s="2">
        <v>6750065.845999999</v>
      </c>
      <c r="C13">
        <v>1</v>
      </c>
    </row>
    <row r="14" spans="1:3">
      <c r="A14" s="38">
        <v>43677</v>
      </c>
      <c r="B14" s="2">
        <v>6744852.6449999996</v>
      </c>
      <c r="C14">
        <v>1</v>
      </c>
    </row>
    <row r="15" spans="1:3">
      <c r="A15" s="38">
        <v>43708</v>
      </c>
      <c r="B15" s="2">
        <v>6763276.2900000028</v>
      </c>
      <c r="C15">
        <v>1</v>
      </c>
    </row>
    <row r="16" spans="1:3">
      <c r="A16" s="38">
        <v>43738</v>
      </c>
      <c r="B16" s="2">
        <v>6872756.0400000019</v>
      </c>
      <c r="C16">
        <v>1</v>
      </c>
    </row>
    <row r="17" spans="1:3">
      <c r="A17" s="38">
        <v>43769</v>
      </c>
      <c r="B17" s="2">
        <v>6869168.2299999986</v>
      </c>
      <c r="C17">
        <v>1</v>
      </c>
    </row>
    <row r="18" spans="1:3">
      <c r="A18" s="38">
        <v>43799</v>
      </c>
      <c r="B18" s="2">
        <v>6977337.3999999994</v>
      </c>
      <c r="C18">
        <v>1</v>
      </c>
    </row>
    <row r="19" spans="1:3">
      <c r="A19" s="38">
        <v>43830</v>
      </c>
      <c r="B19" s="2">
        <v>7132270.3399999999</v>
      </c>
      <c r="C19">
        <v>1</v>
      </c>
    </row>
    <row r="20" spans="1:3">
      <c r="A20" s="38">
        <v>43861</v>
      </c>
      <c r="B20" s="2">
        <v>7203667.9470000006</v>
      </c>
      <c r="C20">
        <v>1</v>
      </c>
    </row>
    <row r="21" spans="1:3">
      <c r="A21" s="38">
        <v>43890</v>
      </c>
      <c r="B21" s="2">
        <v>6647942.8714999985</v>
      </c>
      <c r="C21">
        <v>1</v>
      </c>
    </row>
    <row r="22" spans="1:3">
      <c r="A22" s="38">
        <v>43921</v>
      </c>
      <c r="B22" s="2">
        <v>5715754.5431999993</v>
      </c>
      <c r="C22">
        <v>1</v>
      </c>
    </row>
    <row r="23" spans="1:3">
      <c r="A23" s="38">
        <v>43951</v>
      </c>
      <c r="B23" s="2">
        <v>6155638.4400000023</v>
      </c>
      <c r="C23">
        <v>1</v>
      </c>
    </row>
    <row r="24" spans="1:3">
      <c r="A24" s="38">
        <v>43982</v>
      </c>
      <c r="B24" s="2">
        <v>6386784.0600000005</v>
      </c>
      <c r="C24">
        <v>1</v>
      </c>
    </row>
    <row r="25" spans="1:3">
      <c r="A25" s="38">
        <v>44012</v>
      </c>
      <c r="B25" s="2">
        <v>6433354.1900000004</v>
      </c>
      <c r="C25">
        <v>1</v>
      </c>
    </row>
    <row r="26" spans="1:3">
      <c r="A26" s="38">
        <v>44043</v>
      </c>
      <c r="B26" s="2">
        <v>6719765.4999999981</v>
      </c>
      <c r="C26">
        <v>1</v>
      </c>
    </row>
    <row r="27" spans="1:3">
      <c r="A27" s="38">
        <v>44074</v>
      </c>
      <c r="B27" s="2">
        <v>7064875.7100000009</v>
      </c>
      <c r="C27">
        <v>1</v>
      </c>
    </row>
    <row r="28" spans="1:3">
      <c r="A28" s="38">
        <v>44104</v>
      </c>
      <c r="B28" s="2">
        <v>6883381.8299999954</v>
      </c>
      <c r="C28">
        <v>1</v>
      </c>
    </row>
    <row r="29" spans="1:3">
      <c r="A29" s="38">
        <v>44135</v>
      </c>
      <c r="B29" s="2">
        <v>6659315.4599999981</v>
      </c>
      <c r="C29">
        <v>1</v>
      </c>
    </row>
    <row r="30" spans="1:3">
      <c r="A30" s="38">
        <v>44165</v>
      </c>
      <c r="B30" s="2">
        <v>7196380.0689999992</v>
      </c>
      <c r="C30">
        <v>1</v>
      </c>
    </row>
    <row r="31" spans="1:3">
      <c r="A31" s="38">
        <v>44196</v>
      </c>
      <c r="B31" s="2">
        <v>7428529.5609999988</v>
      </c>
      <c r="C31">
        <v>1</v>
      </c>
    </row>
    <row r="32" spans="1:3">
      <c r="A32" s="38">
        <v>44227</v>
      </c>
      <c r="B32" s="2">
        <v>7270684.1200000001</v>
      </c>
      <c r="C32">
        <v>1</v>
      </c>
    </row>
    <row r="33" spans="1:3">
      <c r="A33" s="38">
        <v>44255</v>
      </c>
      <c r="B33" s="2">
        <v>7286401.415</v>
      </c>
      <c r="C33">
        <v>1</v>
      </c>
    </row>
    <row r="34" spans="1:3">
      <c r="A34" s="38">
        <v>44286</v>
      </c>
      <c r="B34" s="2">
        <v>7483153.7599999988</v>
      </c>
      <c r="C34">
        <v>1</v>
      </c>
    </row>
    <row r="35" spans="1:3">
      <c r="A35" s="38">
        <v>44316</v>
      </c>
      <c r="B35" s="2">
        <v>7782996.5300000003</v>
      </c>
      <c r="C35">
        <v>1</v>
      </c>
    </row>
    <row r="36" spans="1:3">
      <c r="A36" s="38">
        <v>44347</v>
      </c>
      <c r="B36" s="2">
        <v>7869532.9199999981</v>
      </c>
      <c r="C36">
        <v>1</v>
      </c>
    </row>
    <row r="37" spans="1:3">
      <c r="A37" s="38">
        <v>44377</v>
      </c>
      <c r="B37" s="2">
        <v>8008169.9500000011</v>
      </c>
      <c r="C37">
        <v>1</v>
      </c>
    </row>
    <row r="38" spans="1:3">
      <c r="A38" s="38">
        <v>44408</v>
      </c>
      <c r="B38" s="2">
        <v>8114177.1100000013</v>
      </c>
      <c r="C38">
        <v>1</v>
      </c>
    </row>
    <row r="39" spans="1:3">
      <c r="A39" s="38">
        <v>44439</v>
      </c>
      <c r="B39" s="2">
        <v>8316730.370000001</v>
      </c>
      <c r="C39">
        <v>1</v>
      </c>
    </row>
    <row r="40" spans="1:3">
      <c r="A40" s="38">
        <v>44469</v>
      </c>
      <c r="B40" s="2">
        <v>8001921.8399999971</v>
      </c>
      <c r="C40">
        <v>1</v>
      </c>
    </row>
    <row r="41" spans="1:3">
      <c r="A41" s="38">
        <v>44500</v>
      </c>
      <c r="B41" s="2">
        <v>8477785.3599999957</v>
      </c>
      <c r="C41">
        <v>1</v>
      </c>
    </row>
    <row r="42" spans="1:3">
      <c r="A42" s="38">
        <v>44530</v>
      </c>
      <c r="B42" s="2">
        <v>8305144.4399999976</v>
      </c>
      <c r="C42">
        <v>1</v>
      </c>
    </row>
    <row r="43" spans="1:3">
      <c r="A43" s="38">
        <v>44561</v>
      </c>
      <c r="B43" s="2">
        <v>8641333.6599999983</v>
      </c>
      <c r="C43">
        <v>1</v>
      </c>
    </row>
    <row r="44" spans="1:3">
      <c r="A44" s="38">
        <v>44592</v>
      </c>
      <c r="B44" s="2">
        <v>8434409.6400000025</v>
      </c>
      <c r="C44">
        <v>1</v>
      </c>
    </row>
    <row r="45" spans="1:3">
      <c r="A45" s="38">
        <v>44620</v>
      </c>
      <c r="B45" s="2">
        <v>8194075.0628000004</v>
      </c>
      <c r="C45">
        <v>1</v>
      </c>
    </row>
    <row r="46" spans="1:3">
      <c r="A46" s="38">
        <v>44651</v>
      </c>
      <c r="B46" s="2">
        <v>8412963.0574999973</v>
      </c>
      <c r="C46">
        <v>1</v>
      </c>
    </row>
    <row r="47" spans="1:3">
      <c r="A47" s="38">
        <v>44681</v>
      </c>
      <c r="B47" s="2">
        <v>7884271.6586999986</v>
      </c>
      <c r="C47">
        <v>1</v>
      </c>
    </row>
    <row r="48" spans="1:3">
      <c r="A48" s="38">
        <v>44712</v>
      </c>
      <c r="B48" s="2">
        <v>7956491.5554999989</v>
      </c>
      <c r="C48">
        <v>1</v>
      </c>
    </row>
    <row r="49" spans="1:3">
      <c r="A49" s="38">
        <v>44742</v>
      </c>
      <c r="B49" s="2">
        <v>7497462.3211000003</v>
      </c>
      <c r="C49">
        <v>1</v>
      </c>
    </row>
    <row r="50" spans="1:3">
      <c r="A50" s="38">
        <v>44773</v>
      </c>
      <c r="B50" s="2">
        <v>7874494.4044999992</v>
      </c>
      <c r="C50">
        <v>1</v>
      </c>
    </row>
    <row r="51" spans="1:3">
      <c r="A51" s="38">
        <v>44804</v>
      </c>
      <c r="B51" s="2">
        <v>7555185.6868000003</v>
      </c>
      <c r="C51">
        <v>1</v>
      </c>
    </row>
    <row r="52" spans="1:3">
      <c r="A52" s="38">
        <v>44834</v>
      </c>
      <c r="B52" s="2">
        <v>6970898.1515000006</v>
      </c>
      <c r="C52">
        <v>1</v>
      </c>
    </row>
    <row r="53" spans="1:3">
      <c r="A53" s="38">
        <v>44865</v>
      </c>
      <c r="B53" s="2">
        <v>7445155.7397999978</v>
      </c>
      <c r="C53">
        <v>1</v>
      </c>
    </row>
    <row r="54" spans="1:3">
      <c r="A54" s="38">
        <v>44895</v>
      </c>
      <c r="B54" s="2">
        <v>7905796.7212999975</v>
      </c>
      <c r="C54">
        <v>1</v>
      </c>
    </row>
    <row r="55" spans="1:3">
      <c r="A55" s="38">
        <v>44926</v>
      </c>
      <c r="B55" s="2">
        <v>7512182.8149000015</v>
      </c>
      <c r="C55">
        <v>1</v>
      </c>
    </row>
    <row r="56" spans="1:3">
      <c r="A56" s="38">
        <v>44957</v>
      </c>
      <c r="B56" s="2">
        <v>7999821.3359999983</v>
      </c>
      <c r="C56">
        <v>1</v>
      </c>
    </row>
    <row r="57" spans="1:3">
      <c r="A57" s="38">
        <v>44985</v>
      </c>
      <c r="B57" s="2">
        <v>7749667.7367000002</v>
      </c>
      <c r="C57">
        <v>1</v>
      </c>
    </row>
    <row r="58" spans="1:3">
      <c r="A58" s="38">
        <v>45016</v>
      </c>
      <c r="B58" s="2">
        <v>7900162.4802999981</v>
      </c>
      <c r="C58">
        <v>1</v>
      </c>
    </row>
    <row r="59" spans="1:3">
      <c r="A59" s="38">
        <v>45046</v>
      </c>
      <c r="B59" s="2">
        <v>8020430.8253999995</v>
      </c>
      <c r="C59">
        <v>1</v>
      </c>
    </row>
    <row r="60" spans="1:3">
      <c r="A60" s="38">
        <v>45077</v>
      </c>
      <c r="B60" s="2">
        <v>7785314.3199999984</v>
      </c>
      <c r="C60">
        <v>1</v>
      </c>
    </row>
    <row r="61" spans="1:3">
      <c r="A61" s="38">
        <v>45107</v>
      </c>
      <c r="B61" s="2">
        <v>7146629.879999999</v>
      </c>
      <c r="C61">
        <v>1</v>
      </c>
    </row>
    <row r="62" spans="1:3">
      <c r="A62" s="38">
        <v>45138</v>
      </c>
      <c r="B62" s="2">
        <v>7220761.7800000012</v>
      </c>
      <c r="C62">
        <v>1</v>
      </c>
    </row>
    <row r="63" spans="1:3">
      <c r="A63" s="38">
        <v>45169</v>
      </c>
      <c r="B63" s="2">
        <v>7071197.5900000008</v>
      </c>
      <c r="C63">
        <v>1</v>
      </c>
    </row>
    <row r="64" spans="1:3">
      <c r="A64" s="38">
        <v>45199</v>
      </c>
      <c r="B64" s="2">
        <v>6914826.8500000015</v>
      </c>
      <c r="C64">
        <v>1</v>
      </c>
    </row>
    <row r="65" spans="1:3">
      <c r="A65" s="38">
        <v>45230</v>
      </c>
      <c r="B65" s="2">
        <v>6824618.7700000023</v>
      </c>
      <c r="C65">
        <v>1</v>
      </c>
    </row>
    <row r="66" spans="1:3">
      <c r="A66" s="38">
        <v>45260</v>
      </c>
      <c r="B66" s="2">
        <v>7216048.5099999988</v>
      </c>
      <c r="C66">
        <v>1</v>
      </c>
    </row>
    <row r="67" spans="1:3">
      <c r="A67" s="38">
        <v>45291</v>
      </c>
      <c r="B67" s="2">
        <v>7497912.5799999963</v>
      </c>
      <c r="C67">
        <v>1</v>
      </c>
    </row>
    <row r="68" spans="1:3">
      <c r="A68" s="38">
        <v>45322</v>
      </c>
      <c r="B68" s="2">
        <v>7562294.4300000006</v>
      </c>
      <c r="C68">
        <v>1</v>
      </c>
    </row>
    <row r="69" spans="1:3">
      <c r="A69" s="38">
        <v>45351</v>
      </c>
      <c r="B69" s="2">
        <v>7767032.1100000003</v>
      </c>
      <c r="C69">
        <v>1</v>
      </c>
    </row>
    <row r="70" spans="1:3">
      <c r="A70" s="38">
        <v>45382</v>
      </c>
      <c r="B70" s="2">
        <v>8006975.3100000015</v>
      </c>
      <c r="C70">
        <v>1</v>
      </c>
    </row>
    <row r="71" spans="1:3">
      <c r="A71" s="38">
        <v>45412</v>
      </c>
      <c r="B71" s="2">
        <v>7799001.1300000008</v>
      </c>
      <c r="C71">
        <v>1</v>
      </c>
    </row>
    <row r="72" spans="1:3">
      <c r="A72" s="38">
        <v>45443</v>
      </c>
      <c r="B72" s="2">
        <v>5573111.0199999996</v>
      </c>
      <c r="C72">
        <v>1</v>
      </c>
    </row>
    <row r="73" spans="1:3">
      <c r="A73" s="38">
        <v>45473</v>
      </c>
      <c r="B73" s="2">
        <v>5602109.5399999982</v>
      </c>
      <c r="C73">
        <v>1</v>
      </c>
    </row>
    <row r="74" spans="1:3">
      <c r="A74" s="38">
        <v>45504</v>
      </c>
      <c r="B74" s="2">
        <v>5746129.1200000001</v>
      </c>
      <c r="C74">
        <v>1</v>
      </c>
    </row>
    <row r="75" spans="1:3">
      <c r="A75" s="38">
        <v>45535</v>
      </c>
      <c r="B75" s="2">
        <v>5956792.5</v>
      </c>
      <c r="C75">
        <v>1</v>
      </c>
    </row>
    <row r="76" spans="1:3">
      <c r="A76" s="38"/>
      <c r="B76" s="2"/>
    </row>
    <row r="77" spans="1:3">
      <c r="B77" s="2"/>
    </row>
    <row r="78" spans="1:3">
      <c r="B78" s="2"/>
    </row>
    <row r="79" spans="1:3">
      <c r="B79" s="2"/>
    </row>
    <row r="80" spans="1:3">
      <c r="B80" s="2"/>
    </row>
    <row r="81" spans="2:2">
      <c r="B81" s="2"/>
    </row>
    <row r="82" spans="2:2">
      <c r="B82" s="2"/>
    </row>
    <row r="83" spans="2:2">
      <c r="B83" s="2"/>
    </row>
    <row r="84" spans="2:2">
      <c r="B84" s="2"/>
    </row>
    <row r="85" spans="2:2">
      <c r="B85" s="2"/>
    </row>
    <row r="86" spans="2:2">
      <c r="B86" s="2"/>
    </row>
    <row r="87" spans="2:2">
      <c r="B87" s="2"/>
    </row>
    <row r="88" spans="2:2">
      <c r="B88" s="2"/>
    </row>
    <row r="89" spans="2:2">
      <c r="B89" s="2"/>
    </row>
    <row r="90" spans="2:2">
      <c r="B90" s="2"/>
    </row>
    <row r="91" spans="2:2">
      <c r="B91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EEA93-E7F0-4418-B041-4DD96D705100}">
  <dimension ref="A1:J87"/>
  <sheetViews>
    <sheetView workbookViewId="0">
      <pane ySplit="1" topLeftCell="A72" activePane="bottomLeft" state="frozen"/>
      <selection pane="bottomLeft" activeCell="N93" sqref="N93"/>
    </sheetView>
  </sheetViews>
  <sheetFormatPr baseColWidth="10" defaultColWidth="8.83203125" defaultRowHeight="16"/>
  <cols>
    <col min="1" max="1" width="10.1640625" bestFit="1" customWidth="1"/>
    <col min="2" max="2" width="15" style="2" bestFit="1" customWidth="1"/>
    <col min="3" max="3" width="15" bestFit="1" customWidth="1"/>
    <col min="4" max="6" width="14.6640625" customWidth="1"/>
    <col min="7" max="7" width="15.1640625" bestFit="1" customWidth="1"/>
    <col min="8" max="8" width="7" bestFit="1" customWidth="1"/>
  </cols>
  <sheetData>
    <row r="1" spans="1:10">
      <c r="A1" s="3" t="s">
        <v>0</v>
      </c>
      <c r="B1" s="3" t="s">
        <v>1</v>
      </c>
      <c r="C1" s="3" t="s">
        <v>6</v>
      </c>
      <c r="D1" s="3" t="s">
        <v>18</v>
      </c>
      <c r="E1" s="3" t="s">
        <v>56</v>
      </c>
      <c r="F1" s="3" t="s">
        <v>135</v>
      </c>
      <c r="G1" s="3" t="s">
        <v>31</v>
      </c>
      <c r="H1" s="9" t="s">
        <v>69</v>
      </c>
      <c r="J1" s="3"/>
    </row>
    <row r="2" spans="1:10">
      <c r="A2" s="38">
        <v>43159</v>
      </c>
      <c r="B2" s="2">
        <v>19957837.620000001</v>
      </c>
      <c r="C2" s="2">
        <v>984732.82</v>
      </c>
      <c r="D2" s="2">
        <v>3573016.86</v>
      </c>
      <c r="E2" s="2"/>
      <c r="F2" s="2"/>
      <c r="G2" s="2">
        <f t="shared" ref="G2:G9" si="0">B2-(C2+D2)</f>
        <v>15400087.940000001</v>
      </c>
      <c r="H2">
        <v>1</v>
      </c>
    </row>
    <row r="3" spans="1:10">
      <c r="A3" s="38">
        <v>43190</v>
      </c>
      <c r="B3" s="2">
        <v>20051019.080000002</v>
      </c>
      <c r="C3" s="2">
        <v>3541536.54</v>
      </c>
      <c r="D3" s="2">
        <v>1008481.76</v>
      </c>
      <c r="E3" s="2"/>
      <c r="F3" s="2"/>
      <c r="G3" s="2">
        <f t="shared" si="0"/>
        <v>15501000.780000001</v>
      </c>
      <c r="H3">
        <v>1</v>
      </c>
    </row>
    <row r="4" spans="1:10">
      <c r="A4" s="38">
        <v>43220</v>
      </c>
      <c r="B4" s="2">
        <v>20002282.819159999</v>
      </c>
      <c r="C4" s="2">
        <v>3588757.02948</v>
      </c>
      <c r="D4" s="2">
        <v>1021204.40968</v>
      </c>
      <c r="E4" s="2"/>
      <c r="F4" s="2"/>
      <c r="G4" s="2">
        <f t="shared" si="0"/>
        <v>15392321.379999999</v>
      </c>
      <c r="H4">
        <v>1</v>
      </c>
    </row>
    <row r="5" spans="1:10">
      <c r="A5" s="38">
        <v>43251</v>
      </c>
      <c r="B5" s="2">
        <v>20103147.561039999</v>
      </c>
      <c r="C5" s="2">
        <v>3669706.43616</v>
      </c>
      <c r="D5" s="2">
        <v>1072094.9948800001</v>
      </c>
      <c r="E5" s="2"/>
      <c r="F5" s="2"/>
      <c r="G5" s="2">
        <f t="shared" si="0"/>
        <v>15361346.129999999</v>
      </c>
      <c r="H5">
        <v>1</v>
      </c>
      <c r="J5" t="s">
        <v>91</v>
      </c>
    </row>
    <row r="6" spans="1:10">
      <c r="A6" s="38">
        <v>43281</v>
      </c>
      <c r="B6" s="2">
        <v>20135131.550000001</v>
      </c>
      <c r="C6" s="2">
        <v>4719955.32</v>
      </c>
      <c r="D6" s="2">
        <v>2065645.86</v>
      </c>
      <c r="E6" s="2"/>
      <c r="F6" s="2"/>
      <c r="G6" s="2">
        <f t="shared" si="0"/>
        <v>13349530.370000001</v>
      </c>
      <c r="H6">
        <v>1</v>
      </c>
    </row>
    <row r="7" spans="1:10">
      <c r="A7" s="38">
        <v>43312</v>
      </c>
      <c r="B7" s="2">
        <v>20378652.150000002</v>
      </c>
      <c r="C7" s="2">
        <v>4890248.3499999996</v>
      </c>
      <c r="D7" s="2">
        <v>2114097.29</v>
      </c>
      <c r="E7" s="2"/>
      <c r="F7" s="2"/>
      <c r="G7" s="2">
        <f t="shared" si="0"/>
        <v>13374306.510000002</v>
      </c>
      <c r="H7">
        <v>1</v>
      </c>
    </row>
    <row r="8" spans="1:10">
      <c r="A8" s="38">
        <v>43343</v>
      </c>
      <c r="B8" s="2">
        <v>20681973.17357</v>
      </c>
      <c r="C8" s="2">
        <v>5100276.4341899995</v>
      </c>
      <c r="D8" s="2">
        <v>2231995.76938</v>
      </c>
      <c r="E8" s="2"/>
      <c r="F8" s="2"/>
      <c r="G8" s="2">
        <f t="shared" si="0"/>
        <v>13349700.970000001</v>
      </c>
      <c r="H8">
        <v>1</v>
      </c>
      <c r="J8" t="s">
        <v>92</v>
      </c>
    </row>
    <row r="9" spans="1:10">
      <c r="A9" s="38">
        <v>43373</v>
      </c>
      <c r="B9" s="2">
        <v>20616362.14218</v>
      </c>
      <c r="C9" s="2">
        <v>5111629.303270001</v>
      </c>
      <c r="D9" s="2">
        <v>2178699.1989099998</v>
      </c>
      <c r="E9" s="2"/>
      <c r="F9" s="2"/>
      <c r="G9" s="2">
        <f t="shared" si="0"/>
        <v>13326033.639999999</v>
      </c>
      <c r="H9" s="95">
        <v>1</v>
      </c>
    </row>
    <row r="10" spans="1:10">
      <c r="A10" s="38">
        <v>43404</v>
      </c>
      <c r="B10" s="2">
        <v>19935454.562309999</v>
      </c>
      <c r="C10" s="2">
        <v>4734146.4063600004</v>
      </c>
      <c r="D10" s="2">
        <v>1946132.34595</v>
      </c>
      <c r="E10" s="2"/>
      <c r="F10" s="2"/>
      <c r="G10" s="2">
        <f t="shared" ref="G10:G16" si="1">B10-(C10+D10)</f>
        <v>13255175.809999999</v>
      </c>
      <c r="H10" s="95">
        <v>1</v>
      </c>
      <c r="J10" t="s">
        <v>93</v>
      </c>
    </row>
    <row r="11" spans="1:10">
      <c r="A11" s="38">
        <v>43434</v>
      </c>
      <c r="B11" s="2">
        <v>20097460.937229998</v>
      </c>
      <c r="C11" s="2">
        <v>4807940.0553800007</v>
      </c>
      <c r="D11" s="2">
        <v>1962282.8218499999</v>
      </c>
      <c r="E11" s="2"/>
      <c r="F11" s="2"/>
      <c r="G11" s="2">
        <f t="shared" si="1"/>
        <v>13327238.059999999</v>
      </c>
      <c r="H11" s="95">
        <v>1</v>
      </c>
    </row>
    <row r="12" spans="1:10">
      <c r="A12" s="38">
        <v>43465</v>
      </c>
      <c r="B12" s="2">
        <v>19693817.263729997</v>
      </c>
      <c r="C12" s="2">
        <v>4441739.4018099997</v>
      </c>
      <c r="D12" s="2">
        <v>1757141.51192</v>
      </c>
      <c r="E12" s="2"/>
      <c r="F12" s="2"/>
      <c r="G12" s="2">
        <f t="shared" si="1"/>
        <v>13494936.349999998</v>
      </c>
      <c r="H12" s="95">
        <v>1</v>
      </c>
    </row>
    <row r="13" spans="1:10">
      <c r="A13" s="38">
        <v>43496</v>
      </c>
      <c r="B13" s="2">
        <v>20293773.702799998</v>
      </c>
      <c r="C13" s="2">
        <v>4758372.3904799996</v>
      </c>
      <c r="D13" s="2">
        <v>1901727.2123199999</v>
      </c>
      <c r="E13" s="2"/>
      <c r="F13" s="2"/>
      <c r="G13" s="2">
        <f t="shared" si="1"/>
        <v>13633674.099999998</v>
      </c>
      <c r="H13" s="95">
        <v>1</v>
      </c>
    </row>
    <row r="14" spans="1:10">
      <c r="A14" s="38">
        <v>43524</v>
      </c>
      <c r="B14" s="2">
        <v>20575568.454690002</v>
      </c>
      <c r="C14" s="2">
        <v>4962556.2803699998</v>
      </c>
      <c r="D14" s="2">
        <v>1986777.6243199999</v>
      </c>
      <c r="E14" s="2"/>
      <c r="F14" s="2"/>
      <c r="G14" s="2">
        <f t="shared" si="1"/>
        <v>13626234.550000003</v>
      </c>
      <c r="H14" s="95">
        <v>1</v>
      </c>
    </row>
    <row r="15" spans="1:10">
      <c r="A15" s="38">
        <v>43555</v>
      </c>
      <c r="B15" s="2">
        <v>20789550.940469999</v>
      </c>
      <c r="C15" s="2">
        <v>5039495.1374300001</v>
      </c>
      <c r="D15" s="2">
        <v>1949355.44304</v>
      </c>
      <c r="E15" s="2"/>
      <c r="F15" s="2"/>
      <c r="G15" s="2">
        <f t="shared" si="1"/>
        <v>13800700.359999999</v>
      </c>
      <c r="H15" s="95">
        <v>1</v>
      </c>
    </row>
    <row r="16" spans="1:10">
      <c r="A16" s="38">
        <v>43585</v>
      </c>
      <c r="B16" s="2">
        <v>21026707.384809997</v>
      </c>
      <c r="C16" s="2">
        <v>6779334.5434099995</v>
      </c>
      <c r="D16" s="2">
        <v>2454553.0113999997</v>
      </c>
      <c r="E16" s="2"/>
      <c r="F16" s="2"/>
      <c r="G16" s="2">
        <f t="shared" si="1"/>
        <v>11792819.829999998</v>
      </c>
      <c r="H16" s="95">
        <v>1</v>
      </c>
    </row>
    <row r="17" spans="1:10">
      <c r="A17" s="38">
        <v>43616</v>
      </c>
      <c r="B17" s="2">
        <v>20697143.94382</v>
      </c>
      <c r="C17" s="2">
        <v>6444789.95732</v>
      </c>
      <c r="D17" s="2">
        <v>2312864.0430000001</v>
      </c>
      <c r="E17" s="2">
        <v>492088.61350000004</v>
      </c>
      <c r="F17" s="2"/>
      <c r="G17" s="2">
        <f>B17-(C17+D17+E17)</f>
        <v>11447401.329999998</v>
      </c>
      <c r="H17" s="95">
        <v>1</v>
      </c>
    </row>
    <row r="18" spans="1:10">
      <c r="A18" s="38">
        <v>43646</v>
      </c>
      <c r="B18" s="2">
        <v>21381965.430540003</v>
      </c>
      <c r="C18" s="2">
        <v>6813942.6040399997</v>
      </c>
      <c r="D18" s="2">
        <v>2435800.0597000001</v>
      </c>
      <c r="E18" s="2">
        <v>513924.05679999996</v>
      </c>
      <c r="F18" s="2"/>
      <c r="G18" s="2">
        <f>B18-(C18+D18+E18)</f>
        <v>11618298.710000003</v>
      </c>
      <c r="H18" s="95">
        <v>1</v>
      </c>
    </row>
    <row r="19" spans="1:10">
      <c r="A19" s="38">
        <v>43677</v>
      </c>
      <c r="B19" s="2">
        <v>21602990.096030001</v>
      </c>
      <c r="C19" s="2">
        <v>6956220.1866299994</v>
      </c>
      <c r="D19" s="2">
        <v>2481640.6083</v>
      </c>
      <c r="E19" s="2">
        <v>513607.60110000003</v>
      </c>
      <c r="F19" s="2"/>
      <c r="G19" s="2">
        <f>B19-(C19+D19+E19)</f>
        <v>11651521.700000001</v>
      </c>
      <c r="H19" s="95">
        <v>1</v>
      </c>
    </row>
    <row r="20" spans="1:10">
      <c r="A20" s="38">
        <v>43708</v>
      </c>
      <c r="B20" s="2">
        <v>21777249.418080002</v>
      </c>
      <c r="C20" s="2">
        <v>7013900.2876799991</v>
      </c>
      <c r="D20" s="2">
        <v>2394126.8337000003</v>
      </c>
      <c r="E20" s="2">
        <v>516139.24669999996</v>
      </c>
      <c r="F20" s="2"/>
      <c r="G20" s="2">
        <f>B20-(C20+D20+E20)</f>
        <v>11853083.050000003</v>
      </c>
      <c r="H20" s="95">
        <v>1</v>
      </c>
    </row>
    <row r="21" spans="1:10">
      <c r="A21" s="38">
        <v>43738</v>
      </c>
      <c r="B21" s="2">
        <v>21894848.182319999</v>
      </c>
      <c r="C21" s="2">
        <v>7079271.0688699996</v>
      </c>
      <c r="D21" s="2">
        <v>2489975.2535000001</v>
      </c>
      <c r="E21" s="2">
        <v>523259.49995000003</v>
      </c>
      <c r="F21" s="2"/>
      <c r="G21" s="2">
        <f t="shared" ref="G21:G26" si="2">B21-(C21+D21+E21)</f>
        <v>11802342.359999999</v>
      </c>
      <c r="H21" s="95">
        <v>1</v>
      </c>
    </row>
    <row r="22" spans="1:10">
      <c r="A22" s="38">
        <v>43769</v>
      </c>
      <c r="B22" s="2">
        <v>31939654.89398</v>
      </c>
      <c r="C22" s="2">
        <v>7052353.6883799993</v>
      </c>
      <c r="D22" s="2">
        <v>2525397.4956</v>
      </c>
      <c r="E22" s="2">
        <v>0</v>
      </c>
      <c r="F22" s="2"/>
      <c r="G22" s="2">
        <f t="shared" si="2"/>
        <v>22361903.710000001</v>
      </c>
      <c r="H22" s="95">
        <v>1</v>
      </c>
      <c r="J22" t="s">
        <v>111</v>
      </c>
    </row>
    <row r="23" spans="1:10">
      <c r="A23" s="38">
        <v>43799</v>
      </c>
      <c r="B23" s="2">
        <v>32099639.244700003</v>
      </c>
      <c r="C23" s="2">
        <v>7190785.9308999991</v>
      </c>
      <c r="D23" s="2">
        <v>2554568.7538000001</v>
      </c>
      <c r="E23" s="2">
        <v>0</v>
      </c>
      <c r="F23" s="2"/>
      <c r="G23" s="2">
        <f t="shared" si="2"/>
        <v>22354284.560000002</v>
      </c>
      <c r="H23" s="95">
        <v>1</v>
      </c>
    </row>
    <row r="24" spans="1:10">
      <c r="A24" s="38">
        <v>43830</v>
      </c>
      <c r="B24" s="2">
        <v>32344879.570650004</v>
      </c>
      <c r="C24" s="2">
        <v>7331016.2931199996</v>
      </c>
      <c r="D24" s="2">
        <v>2597208.96753</v>
      </c>
      <c r="E24" s="2">
        <v>0</v>
      </c>
      <c r="F24" s="2"/>
      <c r="G24" s="2">
        <f t="shared" si="2"/>
        <v>22416654.310000002</v>
      </c>
      <c r="H24" s="95">
        <v>1</v>
      </c>
    </row>
    <row r="25" spans="1:10">
      <c r="A25" s="38">
        <v>43861</v>
      </c>
      <c r="B25" s="2">
        <v>32550977.295870002</v>
      </c>
      <c r="C25" s="2">
        <v>7453463.2247400004</v>
      </c>
      <c r="D25" s="2">
        <v>2512952.3911299999</v>
      </c>
      <c r="E25" s="2">
        <v>0</v>
      </c>
      <c r="F25" s="2"/>
      <c r="G25" s="2">
        <f t="shared" si="2"/>
        <v>22584561.68</v>
      </c>
      <c r="H25" s="95">
        <v>1</v>
      </c>
    </row>
    <row r="26" spans="1:10">
      <c r="A26" s="38">
        <v>43890</v>
      </c>
      <c r="B26" s="2">
        <v>31806989.893620003</v>
      </c>
      <c r="C26" s="2">
        <v>6880727.5768400012</v>
      </c>
      <c r="D26" s="2">
        <v>2270714.7339799996</v>
      </c>
      <c r="E26" s="2">
        <v>504173.69280000002</v>
      </c>
      <c r="F26" s="2"/>
      <c r="G26" s="2">
        <f t="shared" si="2"/>
        <v>22151373.890000001</v>
      </c>
      <c r="H26" s="95">
        <v>1</v>
      </c>
    </row>
    <row r="27" spans="1:10">
      <c r="A27" s="38">
        <v>43921</v>
      </c>
      <c r="B27" s="2">
        <v>30242651.714020003</v>
      </c>
      <c r="C27" s="2">
        <v>6352809.0063900007</v>
      </c>
      <c r="D27" s="2">
        <v>2028698.20218</v>
      </c>
      <c r="E27" s="2">
        <v>743313.0854499999</v>
      </c>
      <c r="F27" s="2"/>
      <c r="G27" s="2">
        <f>B27-(C27+D27+E27)</f>
        <v>21117831.420000002</v>
      </c>
      <c r="H27" s="95">
        <v>1</v>
      </c>
    </row>
    <row r="28" spans="1:10">
      <c r="A28" s="38">
        <v>43951</v>
      </c>
      <c r="B28" s="2">
        <v>31153625.753900003</v>
      </c>
      <c r="C28" s="2">
        <v>6888088.1454000007</v>
      </c>
      <c r="D28" s="2">
        <v>2133589.7660999997</v>
      </c>
      <c r="E28" s="2">
        <v>803280.18239999993</v>
      </c>
      <c r="F28" s="2"/>
      <c r="G28" s="2">
        <f>B28-(C28+D28+E28)</f>
        <v>21328667.660000004</v>
      </c>
      <c r="H28" s="95">
        <v>1</v>
      </c>
    </row>
    <row r="29" spans="1:10">
      <c r="A29" s="38">
        <v>43982</v>
      </c>
      <c r="B29" s="2">
        <v>31805768.337040007</v>
      </c>
      <c r="C29" s="2">
        <v>7269837.6088800002</v>
      </c>
      <c r="D29" s="2">
        <v>2243249.1283800001</v>
      </c>
      <c r="E29" s="2">
        <v>832845.35577999998</v>
      </c>
      <c r="F29" s="2"/>
      <c r="G29" s="2">
        <f>B29-(C29+D29+E29)</f>
        <v>21459836.244000006</v>
      </c>
      <c r="H29" s="95">
        <v>1</v>
      </c>
    </row>
    <row r="30" spans="1:10">
      <c r="A30" s="38">
        <v>44012</v>
      </c>
      <c r="B30" s="2">
        <v>31959640.811429996</v>
      </c>
      <c r="C30" s="2">
        <v>8354560.7659499999</v>
      </c>
      <c r="D30" s="2">
        <v>3026497.3420499996</v>
      </c>
      <c r="E30" s="2">
        <v>1876688.2434300003</v>
      </c>
      <c r="F30" s="2"/>
      <c r="G30" s="2">
        <f>B30-(C30+D30+E30)</f>
        <v>18701894.459999997</v>
      </c>
      <c r="H30" s="95">
        <v>1</v>
      </c>
    </row>
    <row r="31" spans="1:10">
      <c r="A31" s="38">
        <v>44043</v>
      </c>
      <c r="B31" s="2">
        <v>32964834.309570003</v>
      </c>
      <c r="C31" s="2">
        <v>8866935.8725500014</v>
      </c>
      <c r="D31" s="2">
        <v>3189832.1192399999</v>
      </c>
      <c r="E31" s="2">
        <v>1961054.84778</v>
      </c>
      <c r="F31" s="2"/>
      <c r="G31" s="2">
        <f t="shared" ref="G31:G38" si="3">B31-(C31+D31+E31)</f>
        <v>18947011.470000003</v>
      </c>
      <c r="H31" s="95">
        <v>1</v>
      </c>
    </row>
    <row r="32" spans="1:10">
      <c r="A32" s="38">
        <v>44074</v>
      </c>
      <c r="B32" s="2">
        <v>33399086.118650004</v>
      </c>
      <c r="C32" s="2">
        <v>9274938.2722500004</v>
      </c>
      <c r="D32" s="2">
        <v>3212250.6180699994</v>
      </c>
      <c r="E32" s="2">
        <v>2057920.2083300001</v>
      </c>
      <c r="F32" s="2"/>
      <c r="G32" s="2">
        <f t="shared" si="3"/>
        <v>18853977.020000003</v>
      </c>
      <c r="H32" s="95">
        <v>1</v>
      </c>
    </row>
    <row r="33" spans="1:8">
      <c r="A33" s="38">
        <v>44104</v>
      </c>
      <c r="B33" s="2">
        <v>32952855.725679997</v>
      </c>
      <c r="C33" s="2">
        <v>9023494.9329000004</v>
      </c>
      <c r="D33" s="2">
        <v>3100158.1239199997</v>
      </c>
      <c r="E33" s="2">
        <v>2003550.6188600003</v>
      </c>
      <c r="F33" s="2"/>
      <c r="G33" s="2">
        <f t="shared" si="3"/>
        <v>18825652.049999997</v>
      </c>
      <c r="H33" s="95">
        <v>1</v>
      </c>
    </row>
    <row r="34" spans="1:8">
      <c r="A34" s="38">
        <v>44135</v>
      </c>
      <c r="B34" s="2">
        <v>32666328.137790002</v>
      </c>
      <c r="C34" s="2">
        <v>8838470.588849999</v>
      </c>
      <c r="D34" s="2">
        <v>3141792.4788899999</v>
      </c>
      <c r="E34" s="2">
        <v>1940431.9000500001</v>
      </c>
      <c r="F34" s="2"/>
      <c r="G34" s="2">
        <f t="shared" si="3"/>
        <v>18745633.170000002</v>
      </c>
      <c r="H34" s="95">
        <v>1</v>
      </c>
    </row>
    <row r="35" spans="1:8">
      <c r="A35" s="38">
        <v>44165</v>
      </c>
      <c r="B35" s="2">
        <v>33835510.906569995</v>
      </c>
      <c r="C35" s="2">
        <v>9459962.6163000017</v>
      </c>
      <c r="D35" s="2">
        <v>3295519.3280099994</v>
      </c>
      <c r="E35" s="2">
        <v>2091041.9122600001</v>
      </c>
      <c r="F35" s="2"/>
      <c r="G35" s="2">
        <f t="shared" si="3"/>
        <v>18988987.049999993</v>
      </c>
      <c r="H35" s="95">
        <v>1</v>
      </c>
    </row>
    <row r="36" spans="1:8">
      <c r="A36" s="38">
        <v>44196</v>
      </c>
      <c r="B36" s="2">
        <v>34487577.513620004</v>
      </c>
      <c r="C36" s="2">
        <v>9815192.4522399995</v>
      </c>
      <c r="D36" s="2">
        <v>0</v>
      </c>
      <c r="E36" s="2">
        <v>2154837.9613799998</v>
      </c>
      <c r="F36" s="2"/>
      <c r="G36" s="2">
        <f t="shared" si="3"/>
        <v>22517547.100000005</v>
      </c>
      <c r="H36" s="95">
        <v>1</v>
      </c>
    </row>
    <row r="37" spans="1:8">
      <c r="A37" s="38">
        <v>44227</v>
      </c>
      <c r="B37" s="2">
        <v>33964211.508090004</v>
      </c>
      <c r="C37" s="2">
        <v>9509661.1696800012</v>
      </c>
      <c r="D37" s="2">
        <v>0</v>
      </c>
      <c r="E37" s="2">
        <v>2111439.2984099998</v>
      </c>
      <c r="F37" s="2"/>
      <c r="G37" s="2">
        <f t="shared" si="3"/>
        <v>22343111.040000003</v>
      </c>
      <c r="H37" s="95">
        <v>1</v>
      </c>
    </row>
    <row r="38" spans="1:8">
      <c r="A38" s="38">
        <v>44255</v>
      </c>
      <c r="B38" s="2">
        <v>33689733.305930004</v>
      </c>
      <c r="C38" s="2">
        <v>9523982.9485500008</v>
      </c>
      <c r="D38" s="2">
        <v>0</v>
      </c>
      <c r="E38" s="2">
        <v>2114584.1290599997</v>
      </c>
      <c r="F38" s="2"/>
      <c r="G38" s="2">
        <f t="shared" si="3"/>
        <v>22051166.228320003</v>
      </c>
      <c r="H38" s="95">
        <v>1</v>
      </c>
    </row>
    <row r="39" spans="1:8">
      <c r="A39" s="38">
        <v>44286</v>
      </c>
      <c r="B39" s="2">
        <v>33991087.27279</v>
      </c>
      <c r="C39" s="2">
        <v>9748357.4841800015</v>
      </c>
      <c r="D39" s="2">
        <v>0</v>
      </c>
      <c r="E39" s="2">
        <v>2169304.1823700001</v>
      </c>
      <c r="F39" s="2">
        <v>952417.10623999999</v>
      </c>
      <c r="G39" s="2">
        <f>B39-(C39+D39+E39+F39)</f>
        <v>21121008.5</v>
      </c>
      <c r="H39" s="95">
        <v>1</v>
      </c>
    </row>
    <row r="40" spans="1:8">
      <c r="A40" s="38">
        <v>44316</v>
      </c>
      <c r="B40" s="2">
        <v>34847492.01754</v>
      </c>
      <c r="C40" s="2">
        <v>10211428.334310001</v>
      </c>
      <c r="D40" s="2">
        <v>0</v>
      </c>
      <c r="E40" s="2">
        <v>2258617.3728299998</v>
      </c>
      <c r="F40" s="2">
        <v>975702.35039999988</v>
      </c>
      <c r="G40" s="2">
        <f>B40-(C40+D40+E40+F40)</f>
        <v>21401743.960000001</v>
      </c>
      <c r="H40" s="95">
        <v>1</v>
      </c>
    </row>
    <row r="41" spans="1:8">
      <c r="A41" s="38">
        <v>44347</v>
      </c>
      <c r="B41" s="2">
        <v>34941233.377349995</v>
      </c>
      <c r="C41" s="2">
        <v>10216202.260599999</v>
      </c>
      <c r="D41" s="2">
        <v>0</v>
      </c>
      <c r="E41" s="2">
        <v>2283776.0180299999</v>
      </c>
      <c r="F41" s="2">
        <v>990635.27871999994</v>
      </c>
      <c r="G41" s="2">
        <f>B41-(C41+D41+E41+F41)</f>
        <v>21450619.819999993</v>
      </c>
      <c r="H41" s="95">
        <v>1</v>
      </c>
    </row>
    <row r="42" spans="1:8">
      <c r="A42" s="38">
        <v>44377</v>
      </c>
      <c r="B42" s="2">
        <v>35527549.671580002</v>
      </c>
      <c r="C42" s="2">
        <v>10545603.17461</v>
      </c>
      <c r="D42" s="2">
        <v>0</v>
      </c>
      <c r="E42" s="2">
        <v>2322771.9180899998</v>
      </c>
      <c r="F42" s="2">
        <v>1001265.49888</v>
      </c>
      <c r="G42" s="2">
        <f>B42-(C42+D42+E42+F42)</f>
        <v>21657909.079999998</v>
      </c>
      <c r="H42" s="95">
        <v>1</v>
      </c>
    </row>
    <row r="43" spans="1:8">
      <c r="A43" s="38">
        <v>44408</v>
      </c>
      <c r="B43" s="2">
        <v>36132801.664489992</v>
      </c>
      <c r="C43" s="2">
        <v>10841586.604590001</v>
      </c>
      <c r="D43" s="2">
        <v>0</v>
      </c>
      <c r="E43" s="2">
        <v>2353591.2584600002</v>
      </c>
      <c r="F43" s="2">
        <v>981523.66143999994</v>
      </c>
      <c r="G43" s="2">
        <f t="shared" ref="G43:G50" si="4">B43-(C43+D43+E43+F43)</f>
        <v>21956100.139999993</v>
      </c>
      <c r="H43" s="95">
        <v>1</v>
      </c>
    </row>
    <row r="44" spans="1:8">
      <c r="A44" s="38">
        <v>44439</v>
      </c>
      <c r="B44" s="2">
        <v>36501331.9001</v>
      </c>
      <c r="C44" s="2">
        <v>11080282.919090001</v>
      </c>
      <c r="D44" s="2">
        <v>0</v>
      </c>
      <c r="E44" s="2">
        <v>2410827.1762899999</v>
      </c>
      <c r="F44" s="2">
        <v>977980.25471999997</v>
      </c>
      <c r="G44" s="2">
        <f t="shared" si="4"/>
        <v>22032241.549999997</v>
      </c>
      <c r="H44" s="95">
        <v>1</v>
      </c>
    </row>
    <row r="45" spans="1:8">
      <c r="A45" s="38">
        <v>44469</v>
      </c>
      <c r="B45" s="2">
        <v>35340048.620560005</v>
      </c>
      <c r="C45" s="2">
        <v>10426255.01736</v>
      </c>
      <c r="D45" s="2">
        <v>0</v>
      </c>
      <c r="E45" s="2">
        <v>2319627.0874399999</v>
      </c>
      <c r="F45" s="2">
        <v>952164.00575999985</v>
      </c>
      <c r="G45" s="2">
        <f t="shared" si="4"/>
        <v>21642002.510000005</v>
      </c>
      <c r="H45" s="95">
        <v>1</v>
      </c>
    </row>
    <row r="46" spans="1:8">
      <c r="A46" s="38">
        <v>44500</v>
      </c>
      <c r="B46" s="2">
        <v>36601752.391400009</v>
      </c>
      <c r="C46" s="2">
        <v>11280787.823270001</v>
      </c>
      <c r="D46" s="2">
        <v>0</v>
      </c>
      <c r="E46" s="2">
        <v>2456112.7376499996</v>
      </c>
      <c r="F46" s="2">
        <v>981017.46047999989</v>
      </c>
      <c r="G46" s="2">
        <f t="shared" si="4"/>
        <v>21883834.370000008</v>
      </c>
      <c r="H46" s="95">
        <v>1</v>
      </c>
    </row>
    <row r="47" spans="1:8">
      <c r="A47" s="38">
        <v>44530</v>
      </c>
      <c r="B47" s="2">
        <v>36318702.909999996</v>
      </c>
      <c r="C47" s="2">
        <v>11085056.84</v>
      </c>
      <c r="D47" s="2">
        <v>0</v>
      </c>
      <c r="E47" s="2">
        <v>2405795.44</v>
      </c>
      <c r="F47" s="2">
        <v>937737.27</v>
      </c>
      <c r="G47" s="2">
        <f t="shared" si="4"/>
        <v>21890113.359999999</v>
      </c>
      <c r="H47" s="95">
        <v>1</v>
      </c>
    </row>
    <row r="48" spans="1:8">
      <c r="A48" s="38">
        <v>44561</v>
      </c>
      <c r="B48" s="2">
        <v>37067804.099999994</v>
      </c>
      <c r="C48" s="2">
        <v>11528430.51</v>
      </c>
      <c r="D48" s="2">
        <v>0</v>
      </c>
      <c r="E48" s="2">
        <v>2499336.79</v>
      </c>
      <c r="F48" s="2">
        <v>986122.89</v>
      </c>
      <c r="G48" s="2">
        <f t="shared" si="4"/>
        <v>22053913.909999993</v>
      </c>
      <c r="H48" s="95">
        <v>1</v>
      </c>
    </row>
    <row r="49" spans="1:9">
      <c r="A49" s="38">
        <v>44592</v>
      </c>
      <c r="B49" s="2">
        <v>35481922.259999998</v>
      </c>
      <c r="C49" s="2">
        <v>10702595.82</v>
      </c>
      <c r="D49" s="2">
        <v>0</v>
      </c>
      <c r="E49" s="2">
        <v>2440583.23</v>
      </c>
      <c r="F49" s="2">
        <v>916769.95</v>
      </c>
      <c r="G49" s="2">
        <f t="shared" si="4"/>
        <v>21421973.259999998</v>
      </c>
      <c r="H49" s="95">
        <v>1</v>
      </c>
    </row>
    <row r="50" spans="1:9">
      <c r="A50" s="38">
        <v>44620</v>
      </c>
      <c r="B50" s="2">
        <v>34662079.590000004</v>
      </c>
      <c r="C50" s="2">
        <v>10253652.130000001</v>
      </c>
      <c r="D50" s="2">
        <v>0</v>
      </c>
      <c r="E50" s="2">
        <v>2367966.4700000002</v>
      </c>
      <c r="F50" s="2">
        <v>924015.78</v>
      </c>
      <c r="G50" s="2">
        <f t="shared" si="4"/>
        <v>21116445.210000001</v>
      </c>
      <c r="H50" s="95">
        <v>1</v>
      </c>
    </row>
    <row r="51" spans="1:9">
      <c r="A51" s="38">
        <v>44651</v>
      </c>
      <c r="B51" s="2">
        <v>34977081.519999996</v>
      </c>
      <c r="C51" s="2">
        <v>10752478.449999999</v>
      </c>
      <c r="D51" s="2">
        <v>0</v>
      </c>
      <c r="E51" s="2">
        <v>2429360.64</v>
      </c>
      <c r="F51" s="2">
        <v>924705.86</v>
      </c>
      <c r="G51" s="2">
        <f>B51-(C51+D51+E51+F51)</f>
        <v>20870536.569999997</v>
      </c>
      <c r="H51" s="95">
        <v>1</v>
      </c>
    </row>
    <row r="52" spans="1:9">
      <c r="A52" s="38">
        <v>44681</v>
      </c>
      <c r="B52" s="2">
        <v>33508769.955679998</v>
      </c>
      <c r="C52" s="2">
        <v>10358959.918229999</v>
      </c>
      <c r="D52" s="2">
        <v>0</v>
      </c>
      <c r="E52" s="2">
        <v>2282146.6739500002</v>
      </c>
      <c r="F52" s="2">
        <v>867084.26349999988</v>
      </c>
      <c r="G52" s="2">
        <f>B52-(C52+D52+E52+F52)</f>
        <v>20000579.100000001</v>
      </c>
      <c r="H52" s="95">
        <v>1</v>
      </c>
    </row>
    <row r="53" spans="1:9">
      <c r="A53" s="38">
        <v>44712</v>
      </c>
      <c r="B53" s="2">
        <v>33502366.410610005</v>
      </c>
      <c r="C53" s="2">
        <v>10408842.55026</v>
      </c>
      <c r="D53" s="2">
        <v>0</v>
      </c>
      <c r="E53" s="2">
        <v>2304591.8538499996</v>
      </c>
      <c r="F53" s="2">
        <v>892617.18649999995</v>
      </c>
      <c r="G53" s="2">
        <f>B53-(C53+D53+E53+F53)</f>
        <v>19896314.820000008</v>
      </c>
      <c r="H53" s="95">
        <v>1</v>
      </c>
    </row>
    <row r="54" spans="1:9">
      <c r="A54" s="38">
        <v>44742</v>
      </c>
      <c r="B54" s="2">
        <v>32324174.163509998</v>
      </c>
      <c r="C54" s="2">
        <v>9716028.2165099997</v>
      </c>
      <c r="D54" s="2">
        <v>0</v>
      </c>
      <c r="E54" s="2">
        <v>2171901.2314999998</v>
      </c>
      <c r="F54" s="2">
        <v>817398.57549999992</v>
      </c>
      <c r="G54" s="2">
        <f>B54-(C54+D54+E54+F54)</f>
        <v>19618846.140000001</v>
      </c>
      <c r="H54" s="95">
        <v>1</v>
      </c>
    </row>
    <row r="55" spans="1:9">
      <c r="A55" s="38">
        <v>44773</v>
      </c>
      <c r="B55" s="2">
        <v>33310669.014940005</v>
      </c>
      <c r="C55" s="2">
        <v>10153886.87544</v>
      </c>
      <c r="D55" s="2">
        <v>0</v>
      </c>
      <c r="E55" s="2">
        <v>2284127.1310000001</v>
      </c>
      <c r="F55" s="2">
        <v>905038.60849999997</v>
      </c>
      <c r="G55" s="2">
        <f t="shared" ref="G55:G62" si="5">B55-(C55+D55+E55+F55)</f>
        <v>19967616.400000006</v>
      </c>
      <c r="H55" s="95">
        <v>1</v>
      </c>
    </row>
    <row r="56" spans="1:9">
      <c r="A56" s="38">
        <v>44804</v>
      </c>
      <c r="B56" s="2">
        <v>32746059.012049999</v>
      </c>
      <c r="C56" s="2">
        <v>9893388.6859499998</v>
      </c>
      <c r="D56" s="2">
        <v>0</v>
      </c>
      <c r="E56" s="2">
        <v>2189065.1925999997</v>
      </c>
      <c r="F56" s="2">
        <v>880885.84349999996</v>
      </c>
      <c r="G56" s="2">
        <f t="shared" si="5"/>
        <v>19782719.289999999</v>
      </c>
      <c r="H56" s="95">
        <v>1</v>
      </c>
    </row>
    <row r="57" spans="1:9">
      <c r="A57" s="38">
        <v>44834</v>
      </c>
      <c r="B57" s="2">
        <v>31307115.424770001</v>
      </c>
      <c r="C57" s="2">
        <v>9122979.1468199994</v>
      </c>
      <c r="D57" s="2">
        <v>0</v>
      </c>
      <c r="E57" s="2">
        <v>2018085.73395</v>
      </c>
      <c r="F57" s="2">
        <v>797731.32400000002</v>
      </c>
      <c r="G57" s="2">
        <f t="shared" si="5"/>
        <v>19368319.220000003</v>
      </c>
      <c r="H57" s="95">
        <v>1</v>
      </c>
    </row>
    <row r="58" spans="1:9">
      <c r="A58" s="38">
        <v>44865</v>
      </c>
      <c r="B58" s="2">
        <v>32791592.879999999</v>
      </c>
      <c r="C58" s="2">
        <v>10076291.670059999</v>
      </c>
      <c r="D58" s="2">
        <v>0</v>
      </c>
      <c r="E58" s="2">
        <v>2156057.5751</v>
      </c>
      <c r="F58" s="2">
        <v>885371.35699999996</v>
      </c>
      <c r="G58" s="2">
        <f t="shared" si="5"/>
        <v>19673872.27784</v>
      </c>
      <c r="H58" s="95">
        <v>1</v>
      </c>
    </row>
    <row r="59" spans="1:9">
      <c r="A59" s="38">
        <v>44895</v>
      </c>
      <c r="B59" s="2">
        <v>33750106.68</v>
      </c>
      <c r="C59" s="2">
        <v>10569575.47569</v>
      </c>
      <c r="D59" s="2">
        <v>0</v>
      </c>
      <c r="E59" s="2">
        <v>2289408.3498</v>
      </c>
      <c r="F59" s="2">
        <v>912629.47749999992</v>
      </c>
      <c r="G59" s="2">
        <f t="shared" si="5"/>
        <v>19978493.377010003</v>
      </c>
      <c r="H59" s="95">
        <v>1</v>
      </c>
    </row>
    <row r="60" spans="1:9">
      <c r="A60" s="38">
        <v>44926</v>
      </c>
      <c r="B60" s="2">
        <v>32981470.690000001</v>
      </c>
      <c r="C60" s="2">
        <v>10140569.45823</v>
      </c>
      <c r="D60" s="2">
        <v>0</v>
      </c>
      <c r="E60" s="2">
        <v>2172694.06011</v>
      </c>
      <c r="F60" s="2">
        <v>855688.29264999996</v>
      </c>
      <c r="G60" s="2">
        <f t="shared" si="5"/>
        <v>19812518.879010003</v>
      </c>
      <c r="H60" s="95">
        <v>1</v>
      </c>
    </row>
    <row r="61" spans="1:9">
      <c r="A61" s="38">
        <v>44957</v>
      </c>
      <c r="B61" s="2">
        <v>26710194.819739997</v>
      </c>
      <c r="C61" s="2">
        <v>10424513.42987</v>
      </c>
      <c r="D61" s="2">
        <v>0</v>
      </c>
      <c r="E61" s="2">
        <v>2316554.5653900001</v>
      </c>
      <c r="F61" s="2">
        <v>933099.44447999995</v>
      </c>
      <c r="G61" s="2">
        <f t="shared" si="5"/>
        <v>13036027.379999997</v>
      </c>
      <c r="H61" s="95">
        <v>1</v>
      </c>
      <c r="I61" t="s">
        <v>159</v>
      </c>
    </row>
    <row r="62" spans="1:9">
      <c r="A62" s="38">
        <v>44985</v>
      </c>
      <c r="B62" s="2">
        <v>26261403.19427</v>
      </c>
      <c r="C62" s="2">
        <v>10127336.132539999</v>
      </c>
      <c r="D62" s="2">
        <v>0</v>
      </c>
      <c r="E62" s="2">
        <v>2242135.3353200001</v>
      </c>
      <c r="F62" s="2">
        <v>944554.90641000005</v>
      </c>
      <c r="G62" s="2">
        <f t="shared" si="5"/>
        <v>12947376.820000002</v>
      </c>
      <c r="H62" s="95">
        <v>1</v>
      </c>
    </row>
    <row r="63" spans="1:9">
      <c r="A63" s="38">
        <v>45016</v>
      </c>
      <c r="B63" s="2">
        <v>26588521.126989998</v>
      </c>
      <c r="C63" s="2">
        <v>10243876.249139998</v>
      </c>
      <c r="D63" s="2">
        <v>0</v>
      </c>
      <c r="E63" s="2">
        <v>2284465.5395800001</v>
      </c>
      <c r="F63" s="2">
        <v>898038.78827000002</v>
      </c>
      <c r="G63" s="2">
        <f t="shared" ref="G63:G84" si="6">B63-(C63+D63+E63+F63)</f>
        <v>13162140.549999999</v>
      </c>
      <c r="H63" s="95">
        <v>1</v>
      </c>
    </row>
    <row r="64" spans="1:9">
      <c r="A64" s="38">
        <v>45046</v>
      </c>
      <c r="B64" s="2">
        <v>26797967.935650002</v>
      </c>
      <c r="C64" s="2">
        <v>10354589.35991</v>
      </c>
      <c r="D64" s="2">
        <v>0</v>
      </c>
      <c r="E64" s="2">
        <v>2318602.8010800001</v>
      </c>
      <c r="F64" s="2">
        <v>883806.24466000008</v>
      </c>
      <c r="G64" s="2">
        <f t="shared" si="6"/>
        <v>13240969.530000003</v>
      </c>
      <c r="H64" s="95">
        <v>1</v>
      </c>
    </row>
    <row r="65" spans="1:8">
      <c r="A65" s="38">
        <v>45077</v>
      </c>
      <c r="B65" s="2">
        <v>26400073.32454</v>
      </c>
      <c r="C65" s="2">
        <v>10057412.062580001</v>
      </c>
      <c r="D65" s="2">
        <v>0</v>
      </c>
      <c r="E65" s="2">
        <v>2255107.4946900001</v>
      </c>
      <c r="F65" s="2">
        <v>863325.26727000007</v>
      </c>
      <c r="G65" s="2">
        <f t="shared" si="6"/>
        <v>13224228.499999998</v>
      </c>
      <c r="H65" s="95">
        <v>1</v>
      </c>
    </row>
    <row r="66" spans="1:8">
      <c r="A66" s="38">
        <v>45107</v>
      </c>
      <c r="B66" s="2">
        <v>27320789.574679997</v>
      </c>
      <c r="C66" s="2">
        <v>10552707.55813</v>
      </c>
      <c r="D66" s="2">
        <v>0</v>
      </c>
      <c r="E66" s="2">
        <v>2352740.0625800001</v>
      </c>
      <c r="F66" s="2">
        <v>957051.77396999998</v>
      </c>
      <c r="G66" s="2">
        <f t="shared" si="6"/>
        <v>13458290.179999996</v>
      </c>
      <c r="H66" s="95">
        <v>1</v>
      </c>
    </row>
    <row r="67" spans="1:8">
      <c r="A67" s="38">
        <v>45138</v>
      </c>
      <c r="B67" s="2">
        <v>27698164.860979997</v>
      </c>
      <c r="C67" s="2">
        <v>10721690.7272</v>
      </c>
      <c r="D67" s="2">
        <v>0</v>
      </c>
      <c r="E67" s="2">
        <v>2378001.6360899997</v>
      </c>
      <c r="F67" s="2">
        <v>999402.26959000004</v>
      </c>
      <c r="G67" s="2">
        <f t="shared" si="6"/>
        <v>13599070.228099998</v>
      </c>
      <c r="H67" s="95">
        <v>1</v>
      </c>
    </row>
    <row r="68" spans="1:8">
      <c r="A68" s="38">
        <v>45169</v>
      </c>
      <c r="B68" s="2">
        <v>27326062.031029999</v>
      </c>
      <c r="C68" s="2">
        <v>10488610.493999999</v>
      </c>
      <c r="D68" s="2">
        <v>0</v>
      </c>
      <c r="E68" s="2">
        <v>2328843.9795300001</v>
      </c>
      <c r="F68" s="2">
        <v>954621.82750000001</v>
      </c>
      <c r="G68" s="2">
        <f t="shared" si="6"/>
        <v>13553985.73</v>
      </c>
      <c r="H68" s="95">
        <v>1</v>
      </c>
    </row>
    <row r="69" spans="1:8">
      <c r="A69" s="38">
        <v>45199</v>
      </c>
      <c r="B69" s="2">
        <v>80910.899999999994</v>
      </c>
      <c r="C69" s="2">
        <v>0</v>
      </c>
      <c r="D69" s="2">
        <v>0</v>
      </c>
      <c r="E69" s="2">
        <v>0</v>
      </c>
      <c r="F69" s="2">
        <v>0</v>
      </c>
      <c r="G69" s="2">
        <f t="shared" si="6"/>
        <v>80910.899999999994</v>
      </c>
      <c r="H69" s="95">
        <v>2</v>
      </c>
    </row>
    <row r="70" spans="1:8">
      <c r="A70" s="38">
        <v>45230</v>
      </c>
      <c r="B70" s="2">
        <v>81249.36</v>
      </c>
      <c r="C70" s="2">
        <v>0</v>
      </c>
      <c r="D70" s="2">
        <v>0</v>
      </c>
      <c r="E70" s="2">
        <v>0</v>
      </c>
      <c r="F70" s="2">
        <v>0</v>
      </c>
      <c r="G70" s="2">
        <f t="shared" si="6"/>
        <v>81249.36</v>
      </c>
      <c r="H70" s="95">
        <v>2</v>
      </c>
    </row>
    <row r="71" spans="1:8">
      <c r="A71" s="38">
        <v>45260</v>
      </c>
      <c r="B71" s="2">
        <v>38398.25</v>
      </c>
      <c r="C71" s="2">
        <v>0</v>
      </c>
      <c r="D71" s="2">
        <v>0</v>
      </c>
      <c r="E71" s="2">
        <v>0</v>
      </c>
      <c r="F71" s="2">
        <v>0</v>
      </c>
      <c r="G71" s="2">
        <f t="shared" si="6"/>
        <v>38398.25</v>
      </c>
      <c r="H71" s="95">
        <v>2</v>
      </c>
    </row>
    <row r="72" spans="1:8">
      <c r="A72" s="38">
        <v>45291</v>
      </c>
      <c r="B72" s="2">
        <v>38561.74</v>
      </c>
      <c r="C72" s="2">
        <v>0</v>
      </c>
      <c r="D72" s="2">
        <v>0</v>
      </c>
      <c r="E72" s="2">
        <v>0</v>
      </c>
      <c r="F72" s="2">
        <v>0</v>
      </c>
      <c r="G72" s="2">
        <f t="shared" si="6"/>
        <v>38561.74</v>
      </c>
      <c r="H72" s="95">
        <v>2</v>
      </c>
    </row>
    <row r="73" spans="1:8">
      <c r="A73" s="38">
        <v>45322</v>
      </c>
      <c r="B73" s="2">
        <v>38725.810000000005</v>
      </c>
      <c r="C73" s="2">
        <v>0</v>
      </c>
      <c r="D73" s="2">
        <v>0</v>
      </c>
      <c r="E73" s="2">
        <v>0</v>
      </c>
      <c r="F73" s="2">
        <v>0</v>
      </c>
      <c r="G73" s="2">
        <f t="shared" si="6"/>
        <v>38725.810000000005</v>
      </c>
      <c r="H73" s="95">
        <v>2</v>
      </c>
    </row>
    <row r="74" spans="1:8">
      <c r="A74" s="38">
        <v>45351</v>
      </c>
      <c r="B74" s="2">
        <v>200.76000000000002</v>
      </c>
      <c r="C74" s="2">
        <v>0</v>
      </c>
      <c r="D74" s="2">
        <v>0</v>
      </c>
      <c r="E74" s="2">
        <v>0</v>
      </c>
      <c r="F74" s="2">
        <v>0</v>
      </c>
      <c r="G74" s="2">
        <f t="shared" si="6"/>
        <v>200.76000000000002</v>
      </c>
      <c r="H74" s="95">
        <v>2</v>
      </c>
    </row>
    <row r="75" spans="1:8">
      <c r="A75" s="38">
        <v>45382</v>
      </c>
      <c r="B75" s="2">
        <v>201.62</v>
      </c>
      <c r="C75" s="2">
        <v>0</v>
      </c>
      <c r="D75" s="2">
        <v>0</v>
      </c>
      <c r="E75" s="2">
        <v>0</v>
      </c>
      <c r="F75" s="2">
        <v>0</v>
      </c>
      <c r="G75" s="2">
        <f t="shared" si="6"/>
        <v>201.62</v>
      </c>
      <c r="H75" s="95">
        <v>2</v>
      </c>
    </row>
    <row r="76" spans="1:8">
      <c r="A76" s="38">
        <v>45412</v>
      </c>
      <c r="B76" s="2">
        <v>202.44</v>
      </c>
      <c r="C76" s="2">
        <v>0</v>
      </c>
      <c r="D76" s="2">
        <v>0</v>
      </c>
      <c r="E76" s="2">
        <v>0</v>
      </c>
      <c r="F76" s="2">
        <v>0</v>
      </c>
      <c r="G76" s="2">
        <f t="shared" si="6"/>
        <v>202.44</v>
      </c>
      <c r="H76" s="95">
        <v>2</v>
      </c>
    </row>
    <row r="77" spans="1:8">
      <c r="A77" s="38">
        <v>45443</v>
      </c>
      <c r="B77" s="2">
        <v>203.3</v>
      </c>
      <c r="C77" s="2">
        <v>0</v>
      </c>
      <c r="D77" s="2">
        <v>0</v>
      </c>
      <c r="E77" s="2">
        <v>0</v>
      </c>
      <c r="F77" s="2">
        <v>0</v>
      </c>
      <c r="G77" s="2">
        <f t="shared" si="6"/>
        <v>203.3</v>
      </c>
      <c r="H77" s="95">
        <v>2</v>
      </c>
    </row>
    <row r="78" spans="1:8">
      <c r="A78" s="38">
        <v>45473</v>
      </c>
      <c r="B78" s="2">
        <v>204.13</v>
      </c>
      <c r="C78" s="2">
        <v>0</v>
      </c>
      <c r="D78" s="2">
        <v>0</v>
      </c>
      <c r="E78" s="2">
        <v>0</v>
      </c>
      <c r="F78" s="2">
        <v>0</v>
      </c>
      <c r="G78" s="2">
        <f t="shared" si="6"/>
        <v>204.13</v>
      </c>
      <c r="H78" s="95">
        <v>2</v>
      </c>
    </row>
    <row r="79" spans="1:8">
      <c r="A79" s="38">
        <v>45504</v>
      </c>
      <c r="B79" s="2">
        <v>205</v>
      </c>
      <c r="C79" s="2">
        <v>0</v>
      </c>
      <c r="D79" s="2">
        <v>0</v>
      </c>
      <c r="E79" s="2">
        <v>0</v>
      </c>
      <c r="F79" s="2">
        <v>0</v>
      </c>
      <c r="G79" s="2">
        <f t="shared" si="6"/>
        <v>205</v>
      </c>
      <c r="H79" s="95">
        <v>2</v>
      </c>
    </row>
    <row r="80" spans="1:8">
      <c r="A80" s="38">
        <v>45535</v>
      </c>
      <c r="B80" s="2">
        <v>205.87</v>
      </c>
      <c r="C80" s="2">
        <v>0</v>
      </c>
      <c r="D80" s="2">
        <v>0</v>
      </c>
      <c r="E80" s="2">
        <v>0</v>
      </c>
      <c r="F80" s="2">
        <v>0</v>
      </c>
      <c r="G80" s="2">
        <f t="shared" si="6"/>
        <v>205.87</v>
      </c>
      <c r="H80" s="95">
        <v>2</v>
      </c>
    </row>
    <row r="81" spans="1:8">
      <c r="A81" s="38">
        <v>45565</v>
      </c>
      <c r="B81" s="2">
        <v>206.69</v>
      </c>
      <c r="C81" s="2">
        <v>0</v>
      </c>
      <c r="D81" s="2">
        <v>0</v>
      </c>
      <c r="E81" s="2">
        <v>0</v>
      </c>
      <c r="F81" s="2">
        <v>0</v>
      </c>
      <c r="G81" s="2">
        <f t="shared" si="6"/>
        <v>206.69</v>
      </c>
      <c r="H81" s="95">
        <v>2</v>
      </c>
    </row>
    <row r="82" spans="1:8">
      <c r="A82" s="38">
        <v>45596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f t="shared" si="6"/>
        <v>0</v>
      </c>
      <c r="H82" s="95">
        <v>2</v>
      </c>
    </row>
    <row r="83" spans="1:8">
      <c r="A83" s="38">
        <v>45626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f t="shared" si="6"/>
        <v>0</v>
      </c>
      <c r="H83" s="95">
        <v>2</v>
      </c>
    </row>
    <row r="84" spans="1:8">
      <c r="A84" s="38">
        <v>45657</v>
      </c>
      <c r="B84" s="2">
        <v>208.98</v>
      </c>
      <c r="C84" s="2">
        <v>0</v>
      </c>
      <c r="D84" s="2">
        <v>0</v>
      </c>
      <c r="E84" s="2">
        <v>0</v>
      </c>
      <c r="F84" s="2">
        <v>0</v>
      </c>
      <c r="G84" s="2">
        <f t="shared" si="6"/>
        <v>208.98</v>
      </c>
      <c r="H84" s="95">
        <v>2</v>
      </c>
    </row>
    <row r="85" spans="1:8">
      <c r="A85" s="38"/>
    </row>
    <row r="86" spans="1:8">
      <c r="A86" s="38"/>
    </row>
    <row r="87" spans="1:8">
      <c r="A87" s="38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1"/>
  <sheetViews>
    <sheetView workbookViewId="0">
      <pane ySplit="1" topLeftCell="A76" activePane="bottomLeft" state="frozen"/>
      <selection pane="bottomLeft" activeCell="D101" sqref="D101"/>
    </sheetView>
  </sheetViews>
  <sheetFormatPr baseColWidth="10" defaultColWidth="11" defaultRowHeight="16"/>
  <cols>
    <col min="1" max="1" width="9.83203125" style="53" bestFit="1" customWidth="1"/>
    <col min="2" max="2" width="14.6640625" style="6" bestFit="1" customWidth="1"/>
    <col min="3" max="3" width="9.33203125" bestFit="1" customWidth="1"/>
    <col min="4" max="4" width="14.5" bestFit="1" customWidth="1"/>
    <col min="5" max="6" width="15.6640625" bestFit="1" customWidth="1"/>
    <col min="7" max="7" width="5.33203125" bestFit="1" customWidth="1"/>
    <col min="8" max="8" width="10.1640625" bestFit="1" customWidth="1"/>
    <col min="9" max="9" width="4.1640625" bestFit="1" customWidth="1"/>
  </cols>
  <sheetData>
    <row r="1" spans="1:12">
      <c r="A1" s="5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10</v>
      </c>
      <c r="G1" s="3" t="s">
        <v>69</v>
      </c>
      <c r="H1" s="31" t="s">
        <v>16</v>
      </c>
      <c r="K1" s="110" t="s">
        <v>18</v>
      </c>
      <c r="L1" s="111" t="s">
        <v>86</v>
      </c>
    </row>
    <row r="2" spans="1:12">
      <c r="K2" s="104">
        <v>2012</v>
      </c>
      <c r="L2" s="112">
        <v>0</v>
      </c>
    </row>
    <row r="3" spans="1:12">
      <c r="A3" s="38">
        <v>42489</v>
      </c>
      <c r="B3" s="2">
        <v>292845.33</v>
      </c>
      <c r="C3" s="5">
        <v>7.0000000000000001E-3</v>
      </c>
      <c r="D3" s="6">
        <f t="shared" ref="D3:D23" si="0">SUM(C3*B3)</f>
        <v>2049.9173100000003</v>
      </c>
      <c r="E3" s="6">
        <f>B3-(B2+D3)</f>
        <v>290795.41269000003</v>
      </c>
      <c r="F3" s="6">
        <f>D3+E3</f>
        <v>292845.33</v>
      </c>
      <c r="G3" s="85">
        <v>1</v>
      </c>
      <c r="H3">
        <v>10.07</v>
      </c>
      <c r="K3" s="104">
        <v>2013</v>
      </c>
      <c r="L3" s="112">
        <v>0</v>
      </c>
    </row>
    <row r="4" spans="1:12">
      <c r="A4" s="38">
        <v>42521</v>
      </c>
      <c r="B4" s="2">
        <v>11273788.789999999</v>
      </c>
      <c r="C4" s="5">
        <v>2.3800000000000002E-2</v>
      </c>
      <c r="D4" s="6">
        <f t="shared" si="0"/>
        <v>268316.17320199998</v>
      </c>
      <c r="E4" s="6">
        <f t="shared" ref="E4:E25" si="1">B4-(B3+D4)</f>
        <v>10712627.286797998</v>
      </c>
      <c r="F4" s="6">
        <f t="shared" ref="F4:F25" si="2">D4+E4</f>
        <v>10980943.459999999</v>
      </c>
      <c r="G4" s="85">
        <v>1</v>
      </c>
      <c r="H4">
        <v>10.31</v>
      </c>
      <c r="K4" s="104">
        <v>2014</v>
      </c>
      <c r="L4" s="112">
        <v>0</v>
      </c>
    </row>
    <row r="5" spans="1:12">
      <c r="A5" s="38">
        <v>42551</v>
      </c>
      <c r="B5" s="2">
        <f>21296.87+9671007.09+1742071.7</f>
        <v>11434375.659999998</v>
      </c>
      <c r="C5" s="5">
        <v>2.1299999999999999E-2</v>
      </c>
      <c r="D5" s="6">
        <f t="shared" si="0"/>
        <v>243552.20155799997</v>
      </c>
      <c r="E5" s="6">
        <f t="shared" si="1"/>
        <v>-82965.331558000296</v>
      </c>
      <c r="F5" s="6">
        <f t="shared" si="2"/>
        <v>160586.86999999968</v>
      </c>
      <c r="G5" s="85">
        <v>1</v>
      </c>
      <c r="H5">
        <v>10.53</v>
      </c>
      <c r="K5" s="104">
        <v>2015</v>
      </c>
      <c r="L5" s="112">
        <v>0</v>
      </c>
    </row>
    <row r="6" spans="1:12">
      <c r="A6" s="38">
        <v>42582</v>
      </c>
      <c r="B6" s="2">
        <f>25275.83+10013447.15+1876294.31</f>
        <v>11915017.290000001</v>
      </c>
      <c r="C6" s="5">
        <v>2.75E-2</v>
      </c>
      <c r="D6" s="6">
        <f t="shared" si="0"/>
        <v>327662.97547500004</v>
      </c>
      <c r="E6" s="6">
        <f t="shared" si="1"/>
        <v>152978.65452500246</v>
      </c>
      <c r="F6" s="6">
        <f t="shared" si="2"/>
        <v>480641.63000000251</v>
      </c>
      <c r="G6" s="85">
        <v>1</v>
      </c>
      <c r="H6">
        <v>11.53</v>
      </c>
      <c r="K6" s="104">
        <v>2016</v>
      </c>
      <c r="L6" s="112">
        <f>AVERAGE(B3:B11)</f>
        <v>11059840.606666667</v>
      </c>
    </row>
    <row r="7" spans="1:12">
      <c r="A7" s="38">
        <v>42613</v>
      </c>
      <c r="B7" s="6">
        <f>25781.67+10062584.44+2008509.53</f>
        <v>12096875.639999999</v>
      </c>
      <c r="C7" s="5">
        <v>0.09</v>
      </c>
      <c r="D7" s="6">
        <f t="shared" si="0"/>
        <v>1088718.8075999999</v>
      </c>
      <c r="E7" s="6">
        <f t="shared" si="1"/>
        <v>-906860.45760000311</v>
      </c>
      <c r="F7" s="6">
        <f t="shared" si="2"/>
        <v>181858.34999999683</v>
      </c>
      <c r="G7" s="85">
        <v>1</v>
      </c>
      <c r="H7">
        <v>10.83</v>
      </c>
      <c r="K7" s="104">
        <v>2017</v>
      </c>
      <c r="L7" s="112">
        <f>AVERAGE(B12:B26)</f>
        <v>17767685.771333333</v>
      </c>
    </row>
    <row r="8" spans="1:12">
      <c r="A8" s="38">
        <v>42643</v>
      </c>
      <c r="B8" s="6">
        <f>39126.38+10308607.12+2090076.03</f>
        <v>12437809.529999999</v>
      </c>
      <c r="C8" s="5">
        <v>2.8E-3</v>
      </c>
      <c r="D8" s="6">
        <f t="shared" si="0"/>
        <v>34825.866684000001</v>
      </c>
      <c r="E8" s="6">
        <f t="shared" si="1"/>
        <v>306108.02331600152</v>
      </c>
      <c r="F8" s="6">
        <f t="shared" si="2"/>
        <v>340933.89000000153</v>
      </c>
      <c r="G8" s="85">
        <v>1</v>
      </c>
      <c r="H8">
        <v>11.83</v>
      </c>
      <c r="K8" s="104">
        <v>2018</v>
      </c>
      <c r="L8" s="112"/>
    </row>
    <row r="9" spans="1:12">
      <c r="A9" s="38">
        <v>42674</v>
      </c>
      <c r="B9" s="6">
        <f>44925.88+10146197.21+2120636.88</f>
        <v>12311759.970000003</v>
      </c>
      <c r="C9" s="5">
        <v>-1.2E-2</v>
      </c>
      <c r="D9" s="6">
        <f t="shared" si="0"/>
        <v>-147741.11964000002</v>
      </c>
      <c r="E9" s="6">
        <f t="shared" si="1"/>
        <v>21691.559640003368</v>
      </c>
      <c r="F9" s="6">
        <f t="shared" si="2"/>
        <v>-126049.55999999665</v>
      </c>
      <c r="G9" s="85">
        <v>1</v>
      </c>
      <c r="H9">
        <v>10.73</v>
      </c>
      <c r="K9" s="104">
        <v>2019</v>
      </c>
      <c r="L9" s="112"/>
    </row>
    <row r="10" spans="1:12">
      <c r="A10" s="38">
        <v>42704</v>
      </c>
      <c r="B10" s="6">
        <f>52177.62+11041701.15+2349632.87</f>
        <v>13443511.640000001</v>
      </c>
      <c r="C10" s="5">
        <v>8.48E-2</v>
      </c>
      <c r="D10" s="6">
        <f t="shared" si="0"/>
        <v>1140009.7870720001</v>
      </c>
      <c r="E10" s="6">
        <f t="shared" si="1"/>
        <v>-8258.1170720010996</v>
      </c>
      <c r="F10" s="6">
        <f t="shared" si="2"/>
        <v>1131751.669999999</v>
      </c>
      <c r="G10" s="85">
        <v>1</v>
      </c>
      <c r="H10">
        <v>11.64</v>
      </c>
      <c r="K10" s="104">
        <v>2020</v>
      </c>
      <c r="L10" s="112"/>
    </row>
    <row r="11" spans="1:12">
      <c r="A11" s="38">
        <v>42735</v>
      </c>
      <c r="B11" s="6">
        <f>67362.15+11578741.65+2686477.81</f>
        <v>14332581.610000001</v>
      </c>
      <c r="C11" s="5">
        <v>4.9700000000000001E-2</v>
      </c>
      <c r="D11" s="6">
        <f t="shared" si="0"/>
        <v>712329.30601700011</v>
      </c>
      <c r="E11" s="6">
        <f t="shared" si="1"/>
        <v>176740.66398300044</v>
      </c>
      <c r="F11" s="6">
        <f t="shared" si="2"/>
        <v>889069.97000000055</v>
      </c>
      <c r="G11" s="85">
        <v>1</v>
      </c>
      <c r="H11">
        <v>12.17</v>
      </c>
      <c r="K11" s="107"/>
      <c r="L11" s="112"/>
    </row>
    <row r="12" spans="1:12">
      <c r="A12" s="38">
        <v>42766</v>
      </c>
      <c r="B12" s="6">
        <f>2625849.81+11332058.19+77759.62</f>
        <v>14035667.619999999</v>
      </c>
      <c r="C12" s="5">
        <v>-1.9699999999999999E-2</v>
      </c>
      <c r="D12" s="6">
        <f t="shared" si="0"/>
        <v>-276502.65211399994</v>
      </c>
      <c r="E12" s="6">
        <f t="shared" si="1"/>
        <v>-20411.337886001915</v>
      </c>
      <c r="F12" s="6">
        <f t="shared" si="2"/>
        <v>-296913.99000000185</v>
      </c>
      <c r="G12" s="85">
        <v>1</v>
      </c>
      <c r="H12">
        <v>11.94</v>
      </c>
      <c r="K12" s="108"/>
      <c r="L12" s="113"/>
    </row>
    <row r="13" spans="1:12">
      <c r="A13" s="38">
        <v>42794</v>
      </c>
      <c r="B13" s="6">
        <f>11408650.18+2678466.93+78754.89</f>
        <v>14165872</v>
      </c>
      <c r="C13" s="5">
        <v>4.1999999999999997E-3</v>
      </c>
      <c r="D13" s="6">
        <f t="shared" si="0"/>
        <v>59496.662399999994</v>
      </c>
      <c r="E13" s="6">
        <f t="shared" si="1"/>
        <v>70707.717600001022</v>
      </c>
      <c r="F13" s="6">
        <f t="shared" si="2"/>
        <v>130204.38000000102</v>
      </c>
      <c r="G13" s="85">
        <v>1</v>
      </c>
      <c r="H13">
        <v>11.98</v>
      </c>
    </row>
    <row r="14" spans="1:12">
      <c r="A14" s="38">
        <v>42825</v>
      </c>
      <c r="B14" s="6">
        <v>14155179.27</v>
      </c>
      <c r="C14" s="5">
        <v>8.0000000000000004E-4</v>
      </c>
      <c r="D14" s="6">
        <f t="shared" si="0"/>
        <v>11324.143416000001</v>
      </c>
      <c r="E14" s="6">
        <f t="shared" si="1"/>
        <v>-22016.873416000977</v>
      </c>
      <c r="F14" s="6">
        <f t="shared" si="2"/>
        <v>-10692.730000000976</v>
      </c>
      <c r="G14" s="85">
        <v>1</v>
      </c>
      <c r="H14">
        <v>11.99</v>
      </c>
    </row>
    <row r="15" spans="1:12">
      <c r="A15" s="38">
        <v>42855</v>
      </c>
      <c r="B15" s="6">
        <f>129667.57+11206336.12+2666516.54</f>
        <v>14002520.23</v>
      </c>
      <c r="C15" s="5">
        <v>3.1699999999999999E-2</v>
      </c>
      <c r="D15" s="6">
        <f t="shared" si="0"/>
        <v>443879.89129100001</v>
      </c>
      <c r="E15" s="6">
        <f t="shared" si="1"/>
        <v>-596538.93129099905</v>
      </c>
      <c r="F15" s="6">
        <f t="shared" si="2"/>
        <v>-152659.03999999905</v>
      </c>
      <c r="G15" s="85">
        <v>1</v>
      </c>
      <c r="H15">
        <v>11.99</v>
      </c>
    </row>
    <row r="16" spans="1:12">
      <c r="A16" s="38">
        <v>42886</v>
      </c>
      <c r="B16" s="6">
        <f>203061.79+13212837.69+2870986.2</f>
        <v>16286885.68</v>
      </c>
      <c r="C16" s="5">
        <v>-2.3999999999999998E-3</v>
      </c>
      <c r="D16" s="6">
        <f t="shared" si="0"/>
        <v>-39088.525631999997</v>
      </c>
      <c r="E16" s="6">
        <f t="shared" si="1"/>
        <v>2323453.9756319989</v>
      </c>
      <c r="F16" s="6">
        <f t="shared" si="2"/>
        <v>2284365.4499999988</v>
      </c>
      <c r="G16" s="85">
        <v>1</v>
      </c>
      <c r="H16">
        <v>11.99</v>
      </c>
    </row>
    <row r="17" spans="1:9">
      <c r="A17" s="38">
        <v>42916</v>
      </c>
      <c r="B17" s="6">
        <v>16585055.67</v>
      </c>
      <c r="C17" s="5">
        <v>1.1299999999999999E-2</v>
      </c>
      <c r="D17" s="6">
        <f t="shared" si="0"/>
        <v>187411.12907099997</v>
      </c>
      <c r="E17" s="6">
        <f t="shared" si="1"/>
        <v>110758.86092900112</v>
      </c>
      <c r="F17" s="6">
        <f t="shared" si="2"/>
        <v>298169.9900000011</v>
      </c>
      <c r="G17" s="85">
        <v>1</v>
      </c>
      <c r="H17">
        <v>11.99</v>
      </c>
    </row>
    <row r="18" spans="1:9">
      <c r="A18" s="38">
        <v>42947</v>
      </c>
      <c r="B18" s="6">
        <f>203061.79+13212837.69+2870986.2</f>
        <v>16286885.68</v>
      </c>
      <c r="C18" s="5">
        <v>1.04E-2</v>
      </c>
      <c r="D18" s="6">
        <f t="shared" si="0"/>
        <v>169383.611072</v>
      </c>
      <c r="E18" s="6">
        <f t="shared" si="1"/>
        <v>-467553.60107200034</v>
      </c>
      <c r="F18" s="6">
        <f t="shared" si="2"/>
        <v>-298169.99000000034</v>
      </c>
      <c r="G18" s="85">
        <v>1</v>
      </c>
      <c r="H18">
        <v>11.99</v>
      </c>
    </row>
    <row r="19" spans="1:9">
      <c r="A19" s="38">
        <v>42978</v>
      </c>
      <c r="B19" s="6">
        <f>167835.79+12916287.93+3123266.12</f>
        <v>16207389.84</v>
      </c>
      <c r="C19" s="5">
        <v>-1.7399999999999999E-2</v>
      </c>
      <c r="D19" s="6">
        <f t="shared" si="0"/>
        <v>-282008.583216</v>
      </c>
      <c r="E19" s="6">
        <f t="shared" si="1"/>
        <v>202512.7432160005</v>
      </c>
      <c r="F19" s="6">
        <f t="shared" si="2"/>
        <v>-79495.839999999502</v>
      </c>
      <c r="G19" s="85">
        <v>1</v>
      </c>
      <c r="H19">
        <v>12.39</v>
      </c>
    </row>
    <row r="20" spans="1:9">
      <c r="A20" s="38">
        <v>43008</v>
      </c>
      <c r="B20" s="6">
        <f>186964.59+13920152.08+3384792.61</f>
        <v>17491909.280000001</v>
      </c>
      <c r="C20" s="5">
        <v>6.0499999999999998E-2</v>
      </c>
      <c r="D20" s="6">
        <f t="shared" si="0"/>
        <v>1058260.51144</v>
      </c>
      <c r="E20" s="6">
        <f t="shared" si="1"/>
        <v>226258.92855999991</v>
      </c>
      <c r="F20" s="6">
        <f t="shared" si="2"/>
        <v>1284519.44</v>
      </c>
      <c r="G20" s="85">
        <v>1</v>
      </c>
      <c r="H20">
        <v>13.14</v>
      </c>
      <c r="I20" s="16"/>
    </row>
    <row r="21" spans="1:9">
      <c r="A21" s="38">
        <v>43039</v>
      </c>
      <c r="B21" s="6">
        <f>184725.71+16421906.17+3325304.36</f>
        <v>19931936.240000002</v>
      </c>
      <c r="C21" s="5">
        <v>9.9000000000000008E-3</v>
      </c>
      <c r="D21" s="6">
        <f t="shared" si="0"/>
        <v>197326.16877600003</v>
      </c>
      <c r="E21" s="6">
        <f t="shared" si="1"/>
        <v>2242700.7912239991</v>
      </c>
      <c r="F21" s="6">
        <f t="shared" si="2"/>
        <v>2440026.959999999</v>
      </c>
      <c r="G21" s="85">
        <v>1</v>
      </c>
      <c r="H21">
        <v>13.27</v>
      </c>
    </row>
    <row r="22" spans="1:9">
      <c r="A22" s="38">
        <v>43069</v>
      </c>
      <c r="B22" s="6">
        <f>229343.06+17690045.73+3329708.4</f>
        <v>21249097.189999998</v>
      </c>
      <c r="C22" s="5">
        <v>1.5100000000000001E-2</v>
      </c>
      <c r="D22" s="6">
        <f t="shared" si="0"/>
        <v>320861.36756899999</v>
      </c>
      <c r="E22" s="6">
        <f t="shared" si="1"/>
        <v>996299.582430996</v>
      </c>
      <c r="F22" s="6">
        <f t="shared" si="2"/>
        <v>1317160.949999996</v>
      </c>
      <c r="G22" s="85">
        <v>1</v>
      </c>
      <c r="H22">
        <v>13.47</v>
      </c>
      <c r="I22" s="16"/>
    </row>
    <row r="23" spans="1:9">
      <c r="A23" s="38">
        <v>43100</v>
      </c>
      <c r="B23" s="6">
        <f>225173.1+17704191.43+3222706.48</f>
        <v>21152071.010000002</v>
      </c>
      <c r="C23" s="5">
        <v>-1.78E-2</v>
      </c>
      <c r="D23" s="6">
        <f t="shared" si="0"/>
        <v>-376506.86397800001</v>
      </c>
      <c r="E23" s="6">
        <f t="shared" si="1"/>
        <v>279480.68397800252</v>
      </c>
      <c r="F23" s="6">
        <f t="shared" si="2"/>
        <v>-97026.17999999749</v>
      </c>
      <c r="G23" s="85">
        <v>1</v>
      </c>
      <c r="H23">
        <v>12.07</v>
      </c>
    </row>
    <row r="24" spans="1:9">
      <c r="A24" s="38">
        <v>43131</v>
      </c>
      <c r="B24" s="6">
        <v>21419695.43</v>
      </c>
      <c r="C24" s="5">
        <v>3.3E-3</v>
      </c>
      <c r="D24" s="6">
        <f t="shared" ref="D24:D31" si="3">SUM(C24*B24)</f>
        <v>70684.994919000004</v>
      </c>
      <c r="E24" s="6">
        <f t="shared" si="1"/>
        <v>196939.42508099973</v>
      </c>
      <c r="F24" s="6">
        <f t="shared" si="2"/>
        <v>267624.41999999975</v>
      </c>
      <c r="G24" s="85">
        <v>1</v>
      </c>
    </row>
    <row r="25" spans="1:9">
      <c r="A25" s="38">
        <v>43159</v>
      </c>
      <c r="B25" s="6">
        <v>20693892.500000004</v>
      </c>
      <c r="C25" s="5">
        <v>-4.1299999999999996E-2</v>
      </c>
      <c r="D25" s="6">
        <f t="shared" si="3"/>
        <v>-854657.76025000005</v>
      </c>
      <c r="E25" s="6">
        <f t="shared" si="1"/>
        <v>128854.83025000244</v>
      </c>
      <c r="F25" s="6">
        <f t="shared" si="2"/>
        <v>-725802.92999999761</v>
      </c>
      <c r="G25" s="85">
        <v>1</v>
      </c>
    </row>
    <row r="26" spans="1:9">
      <c r="A26" s="38">
        <v>43190</v>
      </c>
      <c r="B26" s="6">
        <v>22851228.93</v>
      </c>
      <c r="C26" s="5">
        <v>2.41E-2</v>
      </c>
      <c r="D26" s="6">
        <f t="shared" si="3"/>
        <v>550714.61721299996</v>
      </c>
      <c r="E26" s="6">
        <f t="shared" ref="E26:E65" si="4">B26-(B25+D26)</f>
        <v>1606621.8127869964</v>
      </c>
      <c r="F26" s="6">
        <f t="shared" ref="F26:F65" si="5">D26+E26</f>
        <v>2157336.4299999964</v>
      </c>
      <c r="G26" s="85">
        <v>1</v>
      </c>
      <c r="H26">
        <v>11.89</v>
      </c>
    </row>
    <row r="27" spans="1:9">
      <c r="A27" s="38">
        <v>43220</v>
      </c>
      <c r="B27" s="6">
        <v>23885529.719999999</v>
      </c>
      <c r="C27" s="5">
        <v>1.26E-2</v>
      </c>
      <c r="D27" s="6">
        <f t="shared" si="3"/>
        <v>300957.67447199998</v>
      </c>
      <c r="E27" s="6">
        <f t="shared" si="4"/>
        <v>733343.11552799866</v>
      </c>
      <c r="F27" s="6">
        <f t="shared" si="5"/>
        <v>1034300.7899999986</v>
      </c>
      <c r="G27" s="85">
        <v>1</v>
      </c>
    </row>
    <row r="28" spans="1:9">
      <c r="A28" s="38">
        <v>43251</v>
      </c>
      <c r="B28" s="6">
        <v>26602136.75</v>
      </c>
      <c r="C28" s="5">
        <v>4.9799999999999997E-2</v>
      </c>
      <c r="D28" s="6">
        <f t="shared" si="3"/>
        <v>1324786.4101499999</v>
      </c>
      <c r="E28" s="6">
        <f t="shared" si="4"/>
        <v>1391820.6198500022</v>
      </c>
      <c r="F28" s="6">
        <f t="shared" si="5"/>
        <v>2716607.0300000021</v>
      </c>
      <c r="G28" s="85">
        <v>1</v>
      </c>
    </row>
    <row r="29" spans="1:9">
      <c r="A29" s="38">
        <v>43281</v>
      </c>
      <c r="B29" s="6">
        <v>28902762.780000001</v>
      </c>
      <c r="C29" s="5">
        <v>1.1899999999999999E-2</v>
      </c>
      <c r="D29" s="6">
        <f t="shared" si="3"/>
        <v>343942.87708199996</v>
      </c>
      <c r="E29" s="6">
        <f t="shared" si="4"/>
        <v>1956683.1529179998</v>
      </c>
      <c r="F29" s="6">
        <f t="shared" si="5"/>
        <v>2300626.0299999998</v>
      </c>
      <c r="G29" s="85">
        <v>1</v>
      </c>
    </row>
    <row r="30" spans="1:9">
      <c r="A30" s="38">
        <v>43312</v>
      </c>
      <c r="B30" s="6">
        <v>31246169.390000001</v>
      </c>
      <c r="C30" s="5">
        <v>2.35E-2</v>
      </c>
      <c r="D30" s="6">
        <f t="shared" si="3"/>
        <v>734284.98066500004</v>
      </c>
      <c r="E30" s="6">
        <f t="shared" si="4"/>
        <v>1609121.6293350011</v>
      </c>
      <c r="F30" s="6">
        <f t="shared" si="5"/>
        <v>2343406.6100000013</v>
      </c>
      <c r="G30" s="85">
        <v>1</v>
      </c>
    </row>
    <row r="31" spans="1:9">
      <c r="A31" s="38">
        <v>43343</v>
      </c>
      <c r="B31" s="6">
        <v>35168761.299999997</v>
      </c>
      <c r="C31" s="5">
        <v>5.5800000000000002E-2</v>
      </c>
      <c r="D31" s="6">
        <f t="shared" si="3"/>
        <v>1962416.8805399998</v>
      </c>
      <c r="E31" s="6">
        <f t="shared" si="4"/>
        <v>1960175.029459998</v>
      </c>
      <c r="F31" s="6">
        <f t="shared" si="5"/>
        <v>3922591.9099999978</v>
      </c>
      <c r="G31" s="85">
        <v>1</v>
      </c>
    </row>
    <row r="32" spans="1:9">
      <c r="A32" s="38">
        <v>43373</v>
      </c>
      <c r="B32" s="6">
        <v>36129214.93</v>
      </c>
      <c r="C32" s="5">
        <v>-2.3900000000000001E-2</v>
      </c>
      <c r="D32" s="6">
        <f>SUM(C32*B32)</f>
        <v>-863488.23682700004</v>
      </c>
      <c r="E32" s="6">
        <f t="shared" si="4"/>
        <v>1823941.8668270037</v>
      </c>
      <c r="F32" s="6">
        <f t="shared" si="5"/>
        <v>960453.63000000361</v>
      </c>
      <c r="G32" s="85">
        <v>1</v>
      </c>
    </row>
    <row r="33" spans="1:7">
      <c r="A33" s="38">
        <v>43404</v>
      </c>
      <c r="B33" s="6">
        <v>33824711.049999997</v>
      </c>
      <c r="C33" s="5">
        <v>-0.1067</v>
      </c>
      <c r="D33" s="6">
        <f>SUM(C33*B33)</f>
        <v>-3609096.6690349998</v>
      </c>
      <c r="E33" s="6">
        <f t="shared" si="4"/>
        <v>1304592.7890349962</v>
      </c>
      <c r="F33" s="6">
        <f t="shared" si="5"/>
        <v>-2304503.8800000036</v>
      </c>
      <c r="G33" s="85">
        <v>1</v>
      </c>
    </row>
    <row r="34" spans="1:7">
      <c r="A34" s="38">
        <v>43434</v>
      </c>
      <c r="B34" s="6">
        <v>34434962.149999999</v>
      </c>
      <c r="C34" s="5">
        <v>8.3000000000000001E-3</v>
      </c>
      <c r="D34" s="6">
        <f>SUM(C34*B34)</f>
        <v>285810.18584499997</v>
      </c>
      <c r="E34" s="6">
        <f t="shared" si="4"/>
        <v>324440.91415499896</v>
      </c>
      <c r="F34" s="6">
        <f t="shared" si="5"/>
        <v>610251.09999999893</v>
      </c>
      <c r="G34" s="85">
        <v>1</v>
      </c>
    </row>
    <row r="35" spans="1:7">
      <c r="A35" s="38">
        <v>43465</v>
      </c>
      <c r="B35" s="6">
        <v>30939369</v>
      </c>
      <c r="C35" s="5">
        <v>-0.1045</v>
      </c>
      <c r="D35" s="6">
        <f t="shared" ref="D35:D43" si="6">SUM(C35*B35)</f>
        <v>-3233164.0604999997</v>
      </c>
      <c r="E35" s="6">
        <f t="shared" si="4"/>
        <v>-262429.08949999884</v>
      </c>
      <c r="F35" s="6">
        <f t="shared" si="5"/>
        <v>-3495593.1499999985</v>
      </c>
      <c r="G35" s="85">
        <v>1</v>
      </c>
    </row>
    <row r="36" spans="1:7">
      <c r="A36" s="38">
        <v>43496</v>
      </c>
      <c r="B36" s="6">
        <v>32806928.5</v>
      </c>
      <c r="C36" s="5">
        <v>8.2299999999999998E-2</v>
      </c>
      <c r="D36" s="6">
        <f t="shared" si="6"/>
        <v>2700010.2155499998</v>
      </c>
      <c r="E36" s="6">
        <f t="shared" si="4"/>
        <v>-832450.71554999799</v>
      </c>
      <c r="F36" s="6">
        <f t="shared" si="5"/>
        <v>1867559.5000000019</v>
      </c>
      <c r="G36" s="85">
        <v>1</v>
      </c>
    </row>
    <row r="37" spans="1:7">
      <c r="A37" s="38">
        <v>43524</v>
      </c>
      <c r="B37" s="6">
        <v>34742654.799999997</v>
      </c>
      <c r="C37" s="5">
        <v>4.4699999999999997E-2</v>
      </c>
      <c r="D37" s="6">
        <f t="shared" si="6"/>
        <v>1552996.6695599998</v>
      </c>
      <c r="E37" s="6">
        <f t="shared" si="4"/>
        <v>382729.63043999672</v>
      </c>
      <c r="F37" s="6">
        <f t="shared" si="5"/>
        <v>1935726.2999999966</v>
      </c>
      <c r="G37" s="85">
        <v>1</v>
      </c>
    </row>
    <row r="38" spans="1:7">
      <c r="A38" s="38">
        <v>43555</v>
      </c>
      <c r="B38" s="6">
        <v>35454492.519999988</v>
      </c>
      <c r="C38" s="5">
        <v>-1.8799999999999997E-2</v>
      </c>
      <c r="D38" s="6">
        <f t="shared" si="6"/>
        <v>-666544.45937599964</v>
      </c>
      <c r="E38" s="6">
        <f t="shared" si="4"/>
        <v>1378382.1793759912</v>
      </c>
      <c r="F38" s="6">
        <f t="shared" si="5"/>
        <v>711837.71999999159</v>
      </c>
      <c r="G38" s="85">
        <v>1</v>
      </c>
    </row>
    <row r="39" spans="1:7">
      <c r="A39" s="38">
        <v>43585</v>
      </c>
      <c r="B39" s="6">
        <v>37574293.160000004</v>
      </c>
      <c r="C39" s="5">
        <v>2.7900000000000001E-2</v>
      </c>
      <c r="D39" s="6">
        <f t="shared" si="6"/>
        <v>1048322.7791640002</v>
      </c>
      <c r="E39" s="6">
        <f t="shared" si="4"/>
        <v>1071477.8608360142</v>
      </c>
      <c r="F39" s="6">
        <f t="shared" si="5"/>
        <v>2119800.6400000146</v>
      </c>
      <c r="G39" s="85">
        <v>1</v>
      </c>
    </row>
    <row r="40" spans="1:7">
      <c r="A40" s="38">
        <v>43616</v>
      </c>
      <c r="B40" s="6">
        <v>36739947.520000003</v>
      </c>
      <c r="C40" s="5">
        <v>-5.7700000000000001E-2</v>
      </c>
      <c r="D40" s="6">
        <f t="shared" si="6"/>
        <v>-2119894.9719040003</v>
      </c>
      <c r="E40" s="6">
        <f t="shared" si="4"/>
        <v>1285549.3319040015</v>
      </c>
      <c r="F40" s="6">
        <f t="shared" si="5"/>
        <v>-834345.63999999873</v>
      </c>
      <c r="G40" s="85">
        <v>1</v>
      </c>
    </row>
    <row r="41" spans="1:7">
      <c r="A41" s="38">
        <v>43646</v>
      </c>
      <c r="B41" s="6">
        <v>38576422.250000007</v>
      </c>
      <c r="C41" s="5">
        <v>5.3200000000000004E-2</v>
      </c>
      <c r="D41" s="6">
        <f t="shared" si="6"/>
        <v>2052265.6637000006</v>
      </c>
      <c r="E41" s="6">
        <f t="shared" si="4"/>
        <v>-215790.93369999528</v>
      </c>
      <c r="F41" s="6">
        <f t="shared" si="5"/>
        <v>1836474.7300000053</v>
      </c>
      <c r="G41" s="85">
        <v>1</v>
      </c>
    </row>
    <row r="42" spans="1:7">
      <c r="A42" s="38">
        <v>43677</v>
      </c>
      <c r="B42" s="6">
        <v>39239673.284799993</v>
      </c>
      <c r="C42" s="5">
        <v>1.8799999999999997E-2</v>
      </c>
      <c r="D42" s="6">
        <f t="shared" si="6"/>
        <v>737705.85775423981</v>
      </c>
      <c r="E42" s="6">
        <f t="shared" si="4"/>
        <v>-74454.822954252362</v>
      </c>
      <c r="F42" s="6">
        <f t="shared" si="5"/>
        <v>663251.03479998745</v>
      </c>
      <c r="G42" s="85">
        <v>1</v>
      </c>
    </row>
    <row r="43" spans="1:7">
      <c r="A43" s="38">
        <v>43708</v>
      </c>
      <c r="B43" s="6">
        <v>37375528.920000002</v>
      </c>
      <c r="C43" s="5">
        <v>-3.5299999999999998E-2</v>
      </c>
      <c r="D43" s="6">
        <f t="shared" si="6"/>
        <v>-1319356.1708760001</v>
      </c>
      <c r="E43" s="6">
        <f t="shared" si="4"/>
        <v>-544788.1939239949</v>
      </c>
      <c r="F43" s="6">
        <f t="shared" si="5"/>
        <v>-1864144.364799995</v>
      </c>
      <c r="G43" s="85">
        <v>1</v>
      </c>
    </row>
    <row r="44" spans="1:7">
      <c r="A44" s="38">
        <v>43738</v>
      </c>
      <c r="B44" s="6">
        <v>40887730.059999995</v>
      </c>
      <c r="C44" s="5">
        <v>0.04</v>
      </c>
      <c r="D44" s="6">
        <f t="shared" ref="D44:D49" si="7">SUM(C44*B44)</f>
        <v>1635509.2023999998</v>
      </c>
      <c r="E44" s="6">
        <f t="shared" si="4"/>
        <v>1876691.9375999942</v>
      </c>
      <c r="F44" s="6">
        <f t="shared" si="5"/>
        <v>3512201.1399999941</v>
      </c>
      <c r="G44" s="85">
        <v>1</v>
      </c>
    </row>
    <row r="45" spans="1:7">
      <c r="A45" s="38">
        <v>43769</v>
      </c>
      <c r="B45" s="6">
        <v>42644166.770000003</v>
      </c>
      <c r="C45" s="5">
        <v>1.4199999999999999E-2</v>
      </c>
      <c r="D45" s="6">
        <f t="shared" si="7"/>
        <v>605547.16813400004</v>
      </c>
      <c r="E45" s="6">
        <f t="shared" si="4"/>
        <v>1150889.5418660119</v>
      </c>
      <c r="F45" s="6">
        <f t="shared" si="5"/>
        <v>1756436.7100000121</v>
      </c>
      <c r="G45" s="85">
        <v>1</v>
      </c>
    </row>
    <row r="46" spans="1:7">
      <c r="A46" s="38">
        <v>43799</v>
      </c>
      <c r="B46" s="6">
        <v>45117689.009999998</v>
      </c>
      <c r="C46" s="5">
        <v>1.1599999999999999E-2</v>
      </c>
      <c r="D46" s="6">
        <f t="shared" si="7"/>
        <v>523365.19251599995</v>
      </c>
      <c r="E46" s="6">
        <f t="shared" si="4"/>
        <v>1950157.0474839956</v>
      </c>
      <c r="F46" s="6">
        <f t="shared" si="5"/>
        <v>2473522.2399999956</v>
      </c>
      <c r="G46" s="85">
        <v>1</v>
      </c>
    </row>
    <row r="47" spans="1:7">
      <c r="A47" s="38">
        <v>43830</v>
      </c>
      <c r="B47" s="6">
        <v>47470285.57</v>
      </c>
      <c r="C47" s="5">
        <v>1.67E-2</v>
      </c>
      <c r="D47" s="6">
        <f t="shared" si="7"/>
        <v>792753.769019</v>
      </c>
      <c r="E47" s="6">
        <f t="shared" si="4"/>
        <v>1559842.7909810022</v>
      </c>
      <c r="F47" s="6">
        <f t="shared" si="5"/>
        <v>2352596.5600000024</v>
      </c>
      <c r="G47" s="85">
        <v>1</v>
      </c>
    </row>
    <row r="48" spans="1:7">
      <c r="A48" s="38">
        <v>43861</v>
      </c>
      <c r="B48" s="6">
        <v>50030491.480000004</v>
      </c>
      <c r="C48" s="5">
        <v>-3.2400000000000005E-2</v>
      </c>
      <c r="D48" s="6">
        <f t="shared" si="7"/>
        <v>-1620987.9239520004</v>
      </c>
      <c r="E48" s="6">
        <f t="shared" si="4"/>
        <v>4181193.8339520022</v>
      </c>
      <c r="F48" s="6">
        <f t="shared" si="5"/>
        <v>2560205.910000002</v>
      </c>
      <c r="G48" s="85">
        <v>1</v>
      </c>
    </row>
    <row r="49" spans="1:7">
      <c r="A49" s="38">
        <v>43890</v>
      </c>
      <c r="B49" s="6">
        <v>45438868.680000007</v>
      </c>
      <c r="C49" s="5">
        <v>-9.64E-2</v>
      </c>
      <c r="D49" s="6">
        <f t="shared" si="7"/>
        <v>-4380306.9407520005</v>
      </c>
      <c r="E49" s="6">
        <f t="shared" si="4"/>
        <v>-211315.8592479974</v>
      </c>
      <c r="F49" s="6">
        <f t="shared" si="5"/>
        <v>-4591622.799999998</v>
      </c>
      <c r="G49" s="85">
        <v>1</v>
      </c>
    </row>
    <row r="50" spans="1:7">
      <c r="A50" s="38">
        <v>43921</v>
      </c>
      <c r="B50" s="6">
        <v>35990238.039999992</v>
      </c>
      <c r="C50" s="5">
        <v>-0.21059999999999998</v>
      </c>
      <c r="D50" s="6">
        <f>SUM(C50*B50)</f>
        <v>-7579544.131223998</v>
      </c>
      <c r="E50" s="6">
        <f t="shared" si="4"/>
        <v>-1869086.5087760165</v>
      </c>
      <c r="F50" s="6">
        <f t="shared" si="5"/>
        <v>-9448630.6400000155</v>
      </c>
      <c r="G50" s="85">
        <v>1</v>
      </c>
    </row>
    <row r="51" spans="1:7">
      <c r="A51" s="38">
        <v>43951</v>
      </c>
      <c r="B51" s="6">
        <v>40620810.289999999</v>
      </c>
      <c r="C51" s="5">
        <v>5.1699999999999996E-2</v>
      </c>
      <c r="D51" s="6">
        <f>SUM(C51*B51)</f>
        <v>2100095.8919929997</v>
      </c>
      <c r="E51" s="6">
        <f t="shared" si="4"/>
        <v>2530476.3580070063</v>
      </c>
      <c r="F51" s="6">
        <f t="shared" si="5"/>
        <v>4630572.2500000056</v>
      </c>
      <c r="G51" s="85">
        <v>1</v>
      </c>
    </row>
    <row r="52" spans="1:7">
      <c r="A52" s="38">
        <v>43982</v>
      </c>
      <c r="B52" s="6">
        <v>44066075.479999997</v>
      </c>
      <c r="C52" s="5">
        <v>5.1399999999999994E-2</v>
      </c>
      <c r="D52" s="6">
        <f>SUM(C52*B52)</f>
        <v>2264996.2796719996</v>
      </c>
      <c r="E52" s="6">
        <f t="shared" si="4"/>
        <v>1180268.9103280008</v>
      </c>
      <c r="F52" s="6">
        <f t="shared" si="5"/>
        <v>3445265.1900000004</v>
      </c>
      <c r="G52" s="85">
        <v>1</v>
      </c>
    </row>
    <row r="53" spans="1:7">
      <c r="A53" s="38">
        <v>44012</v>
      </c>
      <c r="B53" s="6">
        <v>45700701.699999996</v>
      </c>
      <c r="C53" s="5">
        <v>4.3E-3</v>
      </c>
      <c r="D53" s="6">
        <f t="shared" ref="D53:D61" si="8">SUM(C53*B53)</f>
        <v>196513.01730999997</v>
      </c>
      <c r="E53" s="6">
        <f t="shared" si="4"/>
        <v>1438113.2026899979</v>
      </c>
      <c r="F53" s="6">
        <f t="shared" si="5"/>
        <v>1634626.2199999979</v>
      </c>
      <c r="G53" s="85">
        <v>1</v>
      </c>
    </row>
    <row r="54" spans="1:7">
      <c r="A54" s="38">
        <v>44043</v>
      </c>
      <c r="B54" s="6">
        <v>48523553.75</v>
      </c>
      <c r="C54" s="5">
        <v>5.4000000000000006E-2</v>
      </c>
      <c r="D54" s="6">
        <f t="shared" si="8"/>
        <v>2620271.9025000003</v>
      </c>
      <c r="E54" s="6">
        <f t="shared" si="4"/>
        <v>202580.14750000089</v>
      </c>
      <c r="F54" s="6">
        <f t="shared" si="5"/>
        <v>2822852.0500000012</v>
      </c>
      <c r="G54" s="85">
        <v>1</v>
      </c>
    </row>
    <row r="55" spans="1:7">
      <c r="A55" s="38">
        <v>44074</v>
      </c>
      <c r="B55" s="6">
        <v>49904615.930000007</v>
      </c>
      <c r="C55" s="5">
        <v>7.0000000000000001E-3</v>
      </c>
      <c r="D55" s="6">
        <f t="shared" si="8"/>
        <v>349332.31151000003</v>
      </c>
      <c r="E55" s="6">
        <f t="shared" si="4"/>
        <v>1031729.8684900105</v>
      </c>
      <c r="F55" s="6">
        <f t="shared" si="5"/>
        <v>1381062.1800000104</v>
      </c>
      <c r="G55" s="85">
        <v>1</v>
      </c>
    </row>
    <row r="56" spans="1:7">
      <c r="A56" s="38">
        <v>44104</v>
      </c>
      <c r="B56" s="6">
        <v>48260548.789999999</v>
      </c>
      <c r="C56" s="5">
        <v>-3.49E-2</v>
      </c>
      <c r="D56" s="6">
        <f t="shared" si="8"/>
        <v>-1684293.1527710001</v>
      </c>
      <c r="E56" s="6">
        <f t="shared" si="4"/>
        <v>40226.012770995498</v>
      </c>
      <c r="F56" s="6">
        <f t="shared" si="5"/>
        <v>-1644067.1400000046</v>
      </c>
      <c r="G56" s="85">
        <v>1</v>
      </c>
    </row>
    <row r="57" spans="1:7">
      <c r="A57" s="38">
        <v>44135</v>
      </c>
      <c r="B57" s="6">
        <v>49411422.199999996</v>
      </c>
      <c r="C57" s="5">
        <v>1.34E-2</v>
      </c>
      <c r="D57" s="6">
        <f t="shared" si="8"/>
        <v>662113.05747999996</v>
      </c>
      <c r="E57" s="6">
        <f t="shared" si="4"/>
        <v>488760.35251999646</v>
      </c>
      <c r="F57" s="6">
        <f t="shared" si="5"/>
        <v>1150873.4099999964</v>
      </c>
      <c r="G57" s="85">
        <v>1</v>
      </c>
    </row>
    <row r="58" spans="1:7">
      <c r="A58" s="38">
        <v>44165</v>
      </c>
      <c r="B58" s="6">
        <v>55058446.780000001</v>
      </c>
      <c r="C58" s="5">
        <v>4.8899999999999999E-2</v>
      </c>
      <c r="D58" s="6">
        <f t="shared" si="8"/>
        <v>2692358.0475420002</v>
      </c>
      <c r="E58" s="6">
        <f t="shared" si="4"/>
        <v>2954666.5324580073</v>
      </c>
      <c r="F58" s="6">
        <f t="shared" si="5"/>
        <v>5647024.5800000075</v>
      </c>
      <c r="G58" s="85">
        <v>1</v>
      </c>
    </row>
    <row r="59" spans="1:7">
      <c r="A59" s="38">
        <v>44196</v>
      </c>
      <c r="B59" s="6">
        <v>55550816.420000002</v>
      </c>
      <c r="C59" s="5">
        <v>5.8799999999999998E-2</v>
      </c>
      <c r="D59" s="6">
        <f t="shared" si="8"/>
        <v>3266388.0054959999</v>
      </c>
      <c r="E59" s="6">
        <f t="shared" si="4"/>
        <v>-2774018.3654960021</v>
      </c>
      <c r="F59" s="6">
        <f t="shared" si="5"/>
        <v>492369.6399999978</v>
      </c>
      <c r="G59" s="85">
        <v>1</v>
      </c>
    </row>
    <row r="60" spans="1:7">
      <c r="A60" s="38">
        <v>44227</v>
      </c>
      <c r="B60" s="6">
        <v>56912012.320000008</v>
      </c>
      <c r="C60" s="5">
        <v>2.2099999999999998E-2</v>
      </c>
      <c r="D60" s="6">
        <f t="shared" si="8"/>
        <v>1257755.472272</v>
      </c>
      <c r="E60" s="6">
        <f t="shared" si="4"/>
        <v>103440.42772800475</v>
      </c>
      <c r="F60" s="6">
        <f t="shared" si="5"/>
        <v>1361195.9000000048</v>
      </c>
      <c r="G60" s="85">
        <v>1</v>
      </c>
    </row>
    <row r="61" spans="1:7">
      <c r="A61" s="38">
        <v>44255</v>
      </c>
      <c r="B61" s="6">
        <v>36792126.93</v>
      </c>
      <c r="C61" s="5">
        <v>1.5300000000000001E-2</v>
      </c>
      <c r="D61" s="6">
        <f t="shared" si="8"/>
        <v>562919.542029</v>
      </c>
      <c r="E61" s="6">
        <f t="shared" si="4"/>
        <v>-20682804.932029009</v>
      </c>
      <c r="F61" s="6">
        <f t="shared" si="5"/>
        <v>-20119885.390000008</v>
      </c>
      <c r="G61" s="85">
        <v>1</v>
      </c>
    </row>
    <row r="62" spans="1:7">
      <c r="A62" s="38">
        <v>44286</v>
      </c>
      <c r="B62" s="6">
        <v>37752423.839999996</v>
      </c>
      <c r="C62" s="5">
        <v>9.7999999999999997E-3</v>
      </c>
      <c r="D62" s="6">
        <f t="shared" ref="D62:D71" si="9">SUM(C62*B62)</f>
        <v>369973.75363199995</v>
      </c>
      <c r="E62" s="6">
        <f t="shared" si="4"/>
        <v>590323.15636799484</v>
      </c>
      <c r="F62" s="6">
        <f t="shared" si="5"/>
        <v>960296.90999999479</v>
      </c>
      <c r="G62" s="85">
        <v>1</v>
      </c>
    </row>
    <row r="63" spans="1:7">
      <c r="A63" s="38">
        <v>44316</v>
      </c>
      <c r="B63" s="6">
        <v>40464576.509999998</v>
      </c>
      <c r="C63" s="5">
        <v>2.3700000000000002E-2</v>
      </c>
      <c r="D63" s="6">
        <f t="shared" si="9"/>
        <v>959010.46328700008</v>
      </c>
      <c r="E63" s="6">
        <f t="shared" si="4"/>
        <v>1753142.2067129984</v>
      </c>
      <c r="F63" s="6">
        <f t="shared" si="5"/>
        <v>2712152.6699999985</v>
      </c>
      <c r="G63" s="85">
        <v>1</v>
      </c>
    </row>
    <row r="64" spans="1:7">
      <c r="A64" s="38">
        <v>44347</v>
      </c>
      <c r="B64" s="6">
        <v>41098027.300000004</v>
      </c>
      <c r="C64" s="5">
        <v>-4.3E-3</v>
      </c>
      <c r="D64" s="6">
        <f t="shared" si="9"/>
        <v>-176721.51739000002</v>
      </c>
      <c r="E64" s="6">
        <f t="shared" si="4"/>
        <v>810172.3073900044</v>
      </c>
      <c r="F64" s="6">
        <f t="shared" si="5"/>
        <v>633450.79000000434</v>
      </c>
      <c r="G64" s="85">
        <v>1</v>
      </c>
    </row>
    <row r="65" spans="1:7">
      <c r="A65" s="38">
        <v>44377</v>
      </c>
      <c r="B65" s="6">
        <v>41255226.189999998</v>
      </c>
      <c r="C65" s="5">
        <v>1.6999999999999999E-3</v>
      </c>
      <c r="D65" s="6">
        <f t="shared" si="9"/>
        <v>70133.884522999986</v>
      </c>
      <c r="E65" s="6">
        <f t="shared" si="4"/>
        <v>87065.005476996303</v>
      </c>
      <c r="F65" s="6">
        <f t="shared" si="5"/>
        <v>157198.88999999629</v>
      </c>
      <c r="G65" s="85">
        <v>1</v>
      </c>
    </row>
    <row r="66" spans="1:7">
      <c r="A66" s="38">
        <v>44408</v>
      </c>
      <c r="B66" s="6">
        <v>33193379.449999999</v>
      </c>
      <c r="C66" s="5">
        <v>1.72E-2</v>
      </c>
      <c r="D66" s="6">
        <f t="shared" si="9"/>
        <v>570926.12653999997</v>
      </c>
      <c r="E66" s="6">
        <f t="shared" ref="E66:E100" si="10">B66-(B65+D66)</f>
        <v>-8632772.8665399961</v>
      </c>
      <c r="F66" s="6">
        <f t="shared" ref="F66:F100" si="11">D66+E66</f>
        <v>-8061846.7399999965</v>
      </c>
      <c r="G66" s="85">
        <v>1</v>
      </c>
    </row>
    <row r="67" spans="1:7">
      <c r="A67" s="38">
        <v>44439</v>
      </c>
      <c r="B67" s="6">
        <v>33564958.789999999</v>
      </c>
      <c r="C67" s="5">
        <v>6.7999999999999996E-3</v>
      </c>
      <c r="D67" s="6">
        <f t="shared" si="9"/>
        <v>228241.71977199998</v>
      </c>
      <c r="E67" s="6">
        <f t="shared" si="10"/>
        <v>143337.62022799999</v>
      </c>
      <c r="F67" s="6">
        <f t="shared" si="11"/>
        <v>371579.33999999997</v>
      </c>
      <c r="G67" s="85">
        <v>1</v>
      </c>
    </row>
    <row r="68" spans="1:7">
      <c r="A68" s="38">
        <v>44469</v>
      </c>
      <c r="B68" s="14">
        <v>32284668.359999999</v>
      </c>
      <c r="C68" s="5">
        <v>-3.27E-2</v>
      </c>
      <c r="D68" s="6">
        <f t="shared" si="9"/>
        <v>-1055708.6553720001</v>
      </c>
      <c r="E68" s="6">
        <f t="shared" si="10"/>
        <v>-224581.77462799847</v>
      </c>
      <c r="F68" s="6">
        <f t="shared" si="11"/>
        <v>-1280290.4299999985</v>
      </c>
      <c r="G68" s="85">
        <v>1</v>
      </c>
    </row>
    <row r="69" spans="1:7">
      <c r="A69" s="38">
        <v>44500</v>
      </c>
      <c r="B69" s="6">
        <v>33418761.400000002</v>
      </c>
      <c r="C69" s="5">
        <v>4.5999999999999999E-2</v>
      </c>
      <c r="D69" s="6">
        <f t="shared" si="9"/>
        <v>1537263.0244</v>
      </c>
      <c r="E69" s="6">
        <f t="shared" si="10"/>
        <v>-403169.98440000042</v>
      </c>
      <c r="F69" s="6">
        <f t="shared" si="11"/>
        <v>1134093.0399999996</v>
      </c>
      <c r="G69" s="85">
        <v>1</v>
      </c>
    </row>
    <row r="70" spans="1:7">
      <c r="A70" s="38">
        <v>44530</v>
      </c>
      <c r="B70" s="6">
        <v>34419940.719999999</v>
      </c>
      <c r="C70" s="5">
        <v>-6.6E-3</v>
      </c>
      <c r="D70" s="6">
        <f t="shared" si="9"/>
        <v>-227171.608752</v>
      </c>
      <c r="E70" s="6">
        <f t="shared" si="10"/>
        <v>1228350.9287519976</v>
      </c>
      <c r="F70" s="6">
        <f t="shared" si="11"/>
        <v>1001179.3199999976</v>
      </c>
      <c r="G70" s="85">
        <v>1</v>
      </c>
    </row>
    <row r="71" spans="1:7">
      <c r="A71" s="38">
        <v>44561</v>
      </c>
      <c r="B71" s="6">
        <v>38904504.590000004</v>
      </c>
      <c r="C71" s="5">
        <v>6.6799999999999998E-2</v>
      </c>
      <c r="D71" s="6">
        <f t="shared" si="9"/>
        <v>2598820.906612</v>
      </c>
      <c r="E71" s="6">
        <f t="shared" si="10"/>
        <v>1885742.9633880034</v>
      </c>
      <c r="F71" s="6">
        <f t="shared" si="11"/>
        <v>4484563.8700000029</v>
      </c>
      <c r="G71" s="85">
        <v>1</v>
      </c>
    </row>
    <row r="72" spans="1:7">
      <c r="A72" s="38">
        <v>44592</v>
      </c>
      <c r="B72" s="6">
        <v>36629934.400000006</v>
      </c>
      <c r="C72" s="5">
        <v>-6.8099999999999994E-2</v>
      </c>
      <c r="D72" s="6">
        <f t="shared" ref="D72:D100" si="12">SUM(C72*B72)</f>
        <v>-2494498.5326400003</v>
      </c>
      <c r="E72" s="6">
        <f t="shared" si="10"/>
        <v>219928.34264000505</v>
      </c>
      <c r="F72" s="6">
        <f t="shared" si="11"/>
        <v>-2274570.1899999953</v>
      </c>
      <c r="G72" s="85">
        <v>1</v>
      </c>
    </row>
    <row r="73" spans="1:7">
      <c r="A73" s="38">
        <v>44620</v>
      </c>
      <c r="B73" s="6">
        <v>35982677.659999996</v>
      </c>
      <c r="C73" s="5">
        <v>-1.5100000000000001E-2</v>
      </c>
      <c r="D73" s="6">
        <f t="shared" si="12"/>
        <v>-543338.43266599998</v>
      </c>
      <c r="E73" s="6">
        <f t="shared" si="10"/>
        <v>-103918.30733400583</v>
      </c>
      <c r="F73" s="6">
        <f t="shared" si="11"/>
        <v>-647256.74000000581</v>
      </c>
      <c r="G73" s="85">
        <v>1</v>
      </c>
    </row>
    <row r="74" spans="1:7">
      <c r="A74" s="38">
        <v>44651</v>
      </c>
      <c r="B74" s="6">
        <v>37376250.390000001</v>
      </c>
      <c r="C74" s="5">
        <v>1.2800000000000001E-2</v>
      </c>
      <c r="D74" s="6">
        <f t="shared" si="12"/>
        <v>478416.004992</v>
      </c>
      <c r="E74" s="6">
        <f t="shared" si="10"/>
        <v>915156.72500800341</v>
      </c>
      <c r="F74" s="6">
        <f t="shared" si="11"/>
        <v>1393572.7300000035</v>
      </c>
      <c r="G74" s="85">
        <v>1</v>
      </c>
    </row>
    <row r="75" spans="1:7">
      <c r="A75" s="38">
        <v>44681</v>
      </c>
      <c r="B75" s="6">
        <v>36061103.849999994</v>
      </c>
      <c r="C75" s="5">
        <v>-5.4800000000000001E-2</v>
      </c>
      <c r="D75" s="6">
        <f t="shared" si="12"/>
        <v>-1976148.4909799998</v>
      </c>
      <c r="E75" s="6">
        <f t="shared" si="10"/>
        <v>661001.95097999275</v>
      </c>
      <c r="F75" s="6">
        <f t="shared" si="11"/>
        <v>-1315146.540000007</v>
      </c>
      <c r="G75" s="85">
        <v>1</v>
      </c>
    </row>
    <row r="76" spans="1:7">
      <c r="A76" s="38">
        <v>44712</v>
      </c>
      <c r="B76" s="6">
        <v>36409887.009999998</v>
      </c>
      <c r="C76" s="5">
        <v>1.6899999999999998E-2</v>
      </c>
      <c r="D76" s="6">
        <f t="shared" si="12"/>
        <v>615327.09046899993</v>
      </c>
      <c r="E76" s="6">
        <f t="shared" si="10"/>
        <v>-266543.93046899885</v>
      </c>
      <c r="F76" s="6">
        <f t="shared" si="11"/>
        <v>348783.16000000108</v>
      </c>
      <c r="G76" s="85">
        <v>1</v>
      </c>
    </row>
    <row r="77" spans="1:7">
      <c r="A77" s="38">
        <v>44742</v>
      </c>
      <c r="B77" s="6">
        <v>35130786.549999997</v>
      </c>
      <c r="C77" s="5">
        <v>-2.4500000000000001E-2</v>
      </c>
      <c r="D77" s="6">
        <f t="shared" si="12"/>
        <v>-860704.27047499991</v>
      </c>
      <c r="E77" s="6">
        <f t="shared" si="10"/>
        <v>-418396.18952500075</v>
      </c>
      <c r="F77" s="6">
        <f t="shared" si="11"/>
        <v>-1279100.4600000007</v>
      </c>
      <c r="G77" s="85">
        <v>1</v>
      </c>
    </row>
    <row r="78" spans="1:7">
      <c r="A78" s="38">
        <v>44773</v>
      </c>
      <c r="B78" s="6">
        <v>37563713.759999998</v>
      </c>
      <c r="C78" s="5">
        <v>5.7500000000000002E-2</v>
      </c>
      <c r="D78" s="6">
        <f t="shared" si="12"/>
        <v>2159913.5411999999</v>
      </c>
      <c r="E78" s="6">
        <f t="shared" si="10"/>
        <v>273013.66880000383</v>
      </c>
      <c r="F78" s="6">
        <f t="shared" si="11"/>
        <v>2432927.2100000037</v>
      </c>
      <c r="G78" s="85">
        <v>1</v>
      </c>
    </row>
    <row r="79" spans="1:7">
      <c r="A79" s="38">
        <v>44804</v>
      </c>
      <c r="B79" s="6">
        <v>35567049.719999999</v>
      </c>
      <c r="C79" s="5">
        <v>-4.1599999999999998E-2</v>
      </c>
      <c r="D79" s="6">
        <f t="shared" si="12"/>
        <v>-1479589.2683519998</v>
      </c>
      <c r="E79" s="6">
        <f t="shared" si="10"/>
        <v>-517074.7716479972</v>
      </c>
      <c r="F79" s="6">
        <f t="shared" si="11"/>
        <v>-1996664.039999997</v>
      </c>
      <c r="G79" s="85">
        <v>1</v>
      </c>
    </row>
    <row r="80" spans="1:7">
      <c r="A80" s="38">
        <v>44834</v>
      </c>
      <c r="B80" s="6">
        <v>33331033.109999996</v>
      </c>
      <c r="C80" s="5">
        <v>-7.0000000000000007E-2</v>
      </c>
      <c r="D80" s="6">
        <f t="shared" si="12"/>
        <v>-2333172.3177</v>
      </c>
      <c r="E80" s="6">
        <f t="shared" si="10"/>
        <v>97155.707699995488</v>
      </c>
      <c r="F80" s="6">
        <f t="shared" si="11"/>
        <v>-2236016.6100000045</v>
      </c>
      <c r="G80" s="85">
        <v>1</v>
      </c>
    </row>
    <row r="81" spans="1:7">
      <c r="A81" s="38">
        <v>44865</v>
      </c>
      <c r="B81" s="6">
        <v>36350317.029999994</v>
      </c>
      <c r="C81" s="5">
        <v>0.10300000000000001</v>
      </c>
      <c r="D81" s="6">
        <f t="shared" si="12"/>
        <v>3744082.6540899999</v>
      </c>
      <c r="E81" s="6">
        <f t="shared" si="10"/>
        <v>-724798.73409000039</v>
      </c>
      <c r="F81" s="6">
        <f t="shared" si="11"/>
        <v>3019283.9199999995</v>
      </c>
      <c r="G81" s="85">
        <v>1</v>
      </c>
    </row>
    <row r="82" spans="1:7">
      <c r="A82" s="38">
        <v>44895</v>
      </c>
      <c r="B82" s="6">
        <v>37766540.520000003</v>
      </c>
      <c r="C82" s="5">
        <v>3.1099999999999999E-2</v>
      </c>
      <c r="D82" s="6">
        <f t="shared" si="12"/>
        <v>1174539.4101720001</v>
      </c>
      <c r="E82" s="6">
        <f t="shared" si="10"/>
        <v>241684.07982800901</v>
      </c>
      <c r="F82" s="6">
        <f t="shared" si="11"/>
        <v>1416223.4900000091</v>
      </c>
      <c r="G82" s="85">
        <v>1</v>
      </c>
    </row>
    <row r="83" spans="1:7">
      <c r="A83" s="38">
        <v>44926</v>
      </c>
      <c r="B83" s="6">
        <v>35709888.459999993</v>
      </c>
      <c r="C83" s="5">
        <v>-5.7599999999999998E-2</v>
      </c>
      <c r="D83" s="6">
        <f t="shared" si="12"/>
        <v>-2056889.5752959996</v>
      </c>
      <c r="E83" s="6">
        <f t="shared" si="10"/>
        <v>237.51529598981142</v>
      </c>
      <c r="F83" s="6">
        <f t="shared" si="11"/>
        <v>-2056652.0600000098</v>
      </c>
      <c r="G83" s="85">
        <v>1</v>
      </c>
    </row>
    <row r="84" spans="1:7">
      <c r="A84" s="38">
        <v>44957</v>
      </c>
      <c r="B84" s="6">
        <v>37490291.030000001</v>
      </c>
      <c r="C84" s="5">
        <v>4.9100000000000005E-2</v>
      </c>
      <c r="D84" s="6">
        <f t="shared" si="12"/>
        <v>1840773.2895730003</v>
      </c>
      <c r="E84" s="6">
        <f t="shared" si="10"/>
        <v>-60370.719572991133</v>
      </c>
      <c r="F84" s="6">
        <f t="shared" si="11"/>
        <v>1780402.5700000091</v>
      </c>
      <c r="G84" s="85">
        <v>1</v>
      </c>
    </row>
    <row r="85" spans="1:7">
      <c r="A85" s="38">
        <v>44985</v>
      </c>
      <c r="B85" s="6">
        <v>37116847.719999999</v>
      </c>
      <c r="C85" s="5">
        <v>-1.7899999999999999E-2</v>
      </c>
      <c r="D85" s="6">
        <f t="shared" si="12"/>
        <v>-664391.57418799994</v>
      </c>
      <c r="E85" s="6">
        <f t="shared" si="10"/>
        <v>290948.26418799907</v>
      </c>
      <c r="F85" s="6">
        <f t="shared" si="11"/>
        <v>-373443.31000000087</v>
      </c>
      <c r="G85" s="85">
        <v>1</v>
      </c>
    </row>
    <row r="86" spans="1:7">
      <c r="A86" s="38">
        <v>45016</v>
      </c>
      <c r="B86" s="6">
        <v>36073792.670000002</v>
      </c>
      <c r="C86" s="5">
        <v>-2.2499999999999999E-2</v>
      </c>
      <c r="D86" s="6">
        <f t="shared" si="12"/>
        <v>-811660.33507500007</v>
      </c>
      <c r="E86" s="6">
        <f t="shared" si="10"/>
        <v>-231394.71492499858</v>
      </c>
      <c r="F86" s="6">
        <f t="shared" si="11"/>
        <v>-1043055.0499999986</v>
      </c>
      <c r="G86" s="85">
        <v>1</v>
      </c>
    </row>
    <row r="87" spans="1:7">
      <c r="A87" s="38">
        <v>45046</v>
      </c>
      <c r="B87" s="6">
        <v>36290994.030000001</v>
      </c>
      <c r="C87" s="5">
        <v>-1.15E-2</v>
      </c>
      <c r="D87" s="6">
        <f t="shared" si="12"/>
        <v>-417346.43134499999</v>
      </c>
      <c r="E87" s="6">
        <f t="shared" si="10"/>
        <v>634547.79134500027</v>
      </c>
      <c r="F87" s="6">
        <f t="shared" si="11"/>
        <v>217201.36000000028</v>
      </c>
      <c r="G87" s="85">
        <v>1</v>
      </c>
    </row>
    <row r="88" spans="1:7">
      <c r="A88" s="38">
        <v>45077</v>
      </c>
      <c r="B88" s="6">
        <v>34405211.830000006</v>
      </c>
      <c r="C88" s="11">
        <v>-2.7799999999999998E-2</v>
      </c>
      <c r="D88" s="6">
        <f t="shared" si="12"/>
        <v>-956464.88887400005</v>
      </c>
      <c r="E88" s="6">
        <f t="shared" si="10"/>
        <v>-929317.31112599373</v>
      </c>
      <c r="F88" s="6">
        <f t="shared" si="11"/>
        <v>-1885782.1999999937</v>
      </c>
      <c r="G88" s="85">
        <v>1</v>
      </c>
    </row>
    <row r="89" spans="1:7">
      <c r="A89" s="38">
        <v>45107</v>
      </c>
      <c r="B89" s="6">
        <v>36776473.079999998</v>
      </c>
      <c r="C89" s="11">
        <v>6.08E-2</v>
      </c>
      <c r="D89" s="6">
        <f t="shared" si="12"/>
        <v>2236009.5632639998</v>
      </c>
      <c r="E89" s="6">
        <f t="shared" si="10"/>
        <v>135251.68673599511</v>
      </c>
      <c r="F89" s="6">
        <f t="shared" si="11"/>
        <v>2371261.2499999949</v>
      </c>
      <c r="G89" s="85">
        <v>1</v>
      </c>
    </row>
    <row r="90" spans="1:7">
      <c r="A90" s="38">
        <v>45138</v>
      </c>
      <c r="B90" s="6">
        <v>38539138.019999988</v>
      </c>
      <c r="C90" s="11">
        <v>3.39E-2</v>
      </c>
      <c r="D90" s="6">
        <f t="shared" si="12"/>
        <v>1306476.7788779996</v>
      </c>
      <c r="E90" s="6">
        <f t="shared" si="10"/>
        <v>456188.16112198681</v>
      </c>
      <c r="F90" s="6">
        <f t="shared" si="11"/>
        <v>1762664.9399999864</v>
      </c>
      <c r="G90" s="85">
        <v>1</v>
      </c>
    </row>
    <row r="91" spans="1:7">
      <c r="A91" s="38">
        <v>45169</v>
      </c>
      <c r="B91" s="6">
        <v>37408707.449999981</v>
      </c>
      <c r="C91" s="11">
        <v>-3.61E-2</v>
      </c>
      <c r="D91" s="6">
        <f t="shared" si="12"/>
        <v>-1350454.3389449993</v>
      </c>
      <c r="E91" s="6">
        <f t="shared" si="10"/>
        <v>220023.76894499362</v>
      </c>
      <c r="F91" s="6">
        <f t="shared" si="11"/>
        <v>-1130430.5700000057</v>
      </c>
      <c r="G91" s="85">
        <v>1</v>
      </c>
    </row>
    <row r="92" spans="1:7">
      <c r="A92" s="38">
        <v>45199</v>
      </c>
      <c r="B92" s="6">
        <v>35662973.850000001</v>
      </c>
      <c r="C92" s="11">
        <v>-4.1000000000000002E-2</v>
      </c>
      <c r="D92" s="6">
        <f t="shared" si="12"/>
        <v>-1462181.9278500001</v>
      </c>
      <c r="E92" s="6">
        <f t="shared" si="10"/>
        <v>-283551.67214997858</v>
      </c>
      <c r="F92" s="6">
        <f t="shared" si="11"/>
        <v>-1745733.5999999787</v>
      </c>
      <c r="G92" s="85">
        <v>1</v>
      </c>
    </row>
    <row r="93" spans="1:7">
      <c r="A93" s="38">
        <v>45230</v>
      </c>
      <c r="B93" s="6">
        <v>34201155.210000001</v>
      </c>
      <c r="C93" s="11">
        <v>-1.9099999999999999E-2</v>
      </c>
      <c r="D93" s="6">
        <f t="shared" si="12"/>
        <v>-653242.06451099995</v>
      </c>
      <c r="E93" s="6">
        <f t="shared" si="10"/>
        <v>-808576.57548899949</v>
      </c>
      <c r="F93" s="6">
        <f t="shared" si="11"/>
        <v>-1461818.6399999994</v>
      </c>
      <c r="G93" s="85">
        <v>1</v>
      </c>
    </row>
    <row r="94" spans="1:7">
      <c r="A94" s="38">
        <v>45260</v>
      </c>
      <c r="B94" s="6">
        <v>26471894.419999998</v>
      </c>
      <c r="C94" s="11">
        <v>6.6799999999999998E-2</v>
      </c>
      <c r="D94" s="6">
        <f t="shared" si="12"/>
        <v>1768322.5472559999</v>
      </c>
      <c r="E94" s="6">
        <f t="shared" si="10"/>
        <v>-9497583.3372560032</v>
      </c>
      <c r="F94" s="6">
        <f t="shared" si="11"/>
        <v>-7729260.7900000028</v>
      </c>
      <c r="G94" s="85">
        <v>1</v>
      </c>
    </row>
    <row r="95" spans="1:7">
      <c r="A95" s="38">
        <v>45291</v>
      </c>
      <c r="B95" s="6">
        <v>25667.49</v>
      </c>
      <c r="C95" s="11">
        <v>9.3100000000000002E-2</v>
      </c>
      <c r="D95" s="6">
        <f t="shared" si="12"/>
        <v>2389.6433190000002</v>
      </c>
      <c r="E95" s="6">
        <f t="shared" si="10"/>
        <v>-26448616.573318999</v>
      </c>
      <c r="F95" s="6">
        <f t="shared" si="11"/>
        <v>-26446226.93</v>
      </c>
      <c r="G95" s="85">
        <v>1</v>
      </c>
    </row>
    <row r="96" spans="1:7">
      <c r="A96" s="38">
        <v>45322</v>
      </c>
      <c r="B96" s="6">
        <v>24876.84</v>
      </c>
      <c r="D96" s="6">
        <f t="shared" si="12"/>
        <v>0</v>
      </c>
      <c r="E96" s="6">
        <f t="shared" si="10"/>
        <v>-790.65000000000146</v>
      </c>
      <c r="F96" s="6">
        <f t="shared" si="11"/>
        <v>-790.65000000000146</v>
      </c>
      <c r="G96" s="85">
        <v>1</v>
      </c>
    </row>
    <row r="97" spans="1:7">
      <c r="A97" s="38">
        <v>45351</v>
      </c>
      <c r="B97" s="6">
        <v>3585.81</v>
      </c>
      <c r="D97" s="6">
        <f t="shared" si="12"/>
        <v>0</v>
      </c>
      <c r="E97" s="6">
        <f t="shared" si="10"/>
        <v>-21291.03</v>
      </c>
      <c r="F97" s="6">
        <f t="shared" si="11"/>
        <v>-21291.03</v>
      </c>
      <c r="G97" s="85">
        <v>1</v>
      </c>
    </row>
    <row r="98" spans="1:7">
      <c r="A98" s="38">
        <v>45382</v>
      </c>
      <c r="B98" s="6">
        <v>3647.72</v>
      </c>
      <c r="D98" s="6">
        <f t="shared" si="12"/>
        <v>0</v>
      </c>
      <c r="E98" s="6">
        <f t="shared" si="10"/>
        <v>61.909999999999854</v>
      </c>
      <c r="F98" s="6">
        <f t="shared" si="11"/>
        <v>61.909999999999854</v>
      </c>
      <c r="G98" s="85">
        <v>1</v>
      </c>
    </row>
    <row r="99" spans="1:7">
      <c r="A99" s="38">
        <v>45412</v>
      </c>
      <c r="B99" s="6">
        <v>2369.46</v>
      </c>
      <c r="D99" s="6">
        <f t="shared" si="12"/>
        <v>0</v>
      </c>
      <c r="E99" s="6">
        <f t="shared" si="10"/>
        <v>-1278.2599999999998</v>
      </c>
      <c r="F99" s="6">
        <f t="shared" si="11"/>
        <v>-1278.2599999999998</v>
      </c>
      <c r="G99" s="85">
        <v>1</v>
      </c>
    </row>
    <row r="100" spans="1:7">
      <c r="A100" s="38">
        <v>45443</v>
      </c>
      <c r="B100" s="6">
        <v>-128.69</v>
      </c>
      <c r="D100" s="6">
        <f t="shared" si="12"/>
        <v>0</v>
      </c>
      <c r="E100" s="6">
        <f t="shared" si="10"/>
        <v>-2498.15</v>
      </c>
      <c r="F100" s="6">
        <f t="shared" si="11"/>
        <v>-2498.15</v>
      </c>
      <c r="G100" s="85">
        <v>1</v>
      </c>
    </row>
    <row r="101" spans="1:7">
      <c r="A101" s="38"/>
      <c r="D101" s="6"/>
      <c r="E101" s="6"/>
      <c r="F101" s="6"/>
      <c r="G101" s="85"/>
    </row>
  </sheetData>
  <conditionalFormatting sqref="H29:H499">
    <cfRule type="cellIs" dxfId="8" priority="5" operator="lessThan">
      <formula>$H28</formula>
    </cfRule>
    <cfRule type="cellIs" dxfId="7" priority="6" operator="greaterThan">
      <formula>$H28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18"/>
  <sheetViews>
    <sheetView zoomScaleNormal="100" zoomScalePageLayoutView="80" workbookViewId="0">
      <pane xSplit="1" ySplit="1" topLeftCell="B60" activePane="bottomRight" state="frozen"/>
      <selection pane="topRight" activeCell="B1" sqref="B1"/>
      <selection pane="bottomLeft" activeCell="A2" sqref="A2"/>
      <selection pane="bottomRight" activeCell="A73" sqref="A73:XFD84"/>
    </sheetView>
  </sheetViews>
  <sheetFormatPr baseColWidth="10" defaultColWidth="11" defaultRowHeight="16"/>
  <cols>
    <col min="1" max="1" width="10.1640625" style="53" customWidth="1"/>
    <col min="2" max="2" width="14.83203125" style="29" bestFit="1" customWidth="1"/>
    <col min="3" max="4" width="15" style="87" customWidth="1"/>
    <col min="5" max="5" width="14.6640625" style="44" customWidth="1"/>
    <col min="6" max="6" width="24" style="87" bestFit="1" customWidth="1"/>
    <col min="7" max="7" width="21.33203125" style="87" bestFit="1" customWidth="1"/>
    <col min="8" max="8" width="23.83203125" style="87" bestFit="1" customWidth="1"/>
    <col min="9" max="9" width="25.1640625" style="87" bestFit="1" customWidth="1"/>
    <col min="10" max="10" width="24.1640625" style="87" bestFit="1" customWidth="1" collapsed="1"/>
    <col min="11" max="11" width="5.5" style="87" bestFit="1" customWidth="1"/>
    <col min="12" max="12" width="29.6640625" customWidth="1"/>
    <col min="13" max="13" width="12.6640625" bestFit="1" customWidth="1"/>
    <col min="14" max="14" width="15.83203125" bestFit="1" customWidth="1"/>
  </cols>
  <sheetData>
    <row r="1" spans="1:12">
      <c r="A1" s="52"/>
      <c r="B1" s="33" t="s">
        <v>10</v>
      </c>
      <c r="C1" s="87" t="s">
        <v>25</v>
      </c>
      <c r="D1" s="87" t="s">
        <v>80</v>
      </c>
      <c r="E1" s="87" t="s">
        <v>161</v>
      </c>
      <c r="F1" s="87" t="s">
        <v>78</v>
      </c>
      <c r="G1" s="87" t="s">
        <v>81</v>
      </c>
      <c r="H1" s="87" t="s">
        <v>23</v>
      </c>
      <c r="I1" s="87" t="s">
        <v>79</v>
      </c>
      <c r="J1" s="87" t="s">
        <v>24</v>
      </c>
      <c r="K1" s="86" t="s">
        <v>69</v>
      </c>
    </row>
    <row r="2" spans="1:12">
      <c r="A2" s="38">
        <v>42063</v>
      </c>
      <c r="B2" s="34">
        <f>SUM(C2:J2)</f>
        <v>501672.76</v>
      </c>
      <c r="G2" s="25"/>
      <c r="H2" s="186">
        <v>501672.76</v>
      </c>
      <c r="K2" s="87">
        <f>COUNT(C2:J2)</f>
        <v>1</v>
      </c>
    </row>
    <row r="3" spans="1:12">
      <c r="A3" s="38">
        <v>42094</v>
      </c>
      <c r="B3" s="34">
        <f t="shared" ref="B3:B66" si="0">SUM(C3:J3)</f>
        <v>501670.61</v>
      </c>
      <c r="G3" s="25"/>
      <c r="H3" s="187">
        <v>501670.61</v>
      </c>
      <c r="K3" s="87">
        <f t="shared" ref="K3:K66" si="1">COUNT(C3:J3)</f>
        <v>1</v>
      </c>
    </row>
    <row r="4" spans="1:12">
      <c r="A4" s="38">
        <v>42124</v>
      </c>
      <c r="B4" s="34">
        <f t="shared" si="0"/>
        <v>491317.13</v>
      </c>
      <c r="G4" s="25"/>
      <c r="H4" s="187">
        <v>491317.13</v>
      </c>
      <c r="K4" s="87">
        <f t="shared" si="1"/>
        <v>1</v>
      </c>
    </row>
    <row r="5" spans="1:12">
      <c r="A5" s="38">
        <v>42155</v>
      </c>
      <c r="B5" s="34">
        <f t="shared" si="0"/>
        <v>497485.88</v>
      </c>
      <c r="G5" s="25"/>
      <c r="H5" s="187">
        <v>497485.88</v>
      </c>
      <c r="K5" s="87">
        <f t="shared" si="1"/>
        <v>1</v>
      </c>
    </row>
    <row r="6" spans="1:12">
      <c r="A6" s="38">
        <v>42185</v>
      </c>
      <c r="B6" s="34">
        <f t="shared" si="0"/>
        <v>486805.53</v>
      </c>
      <c r="G6" s="25"/>
      <c r="H6" s="187">
        <v>486805.53</v>
      </c>
      <c r="K6" s="87">
        <f t="shared" si="1"/>
        <v>1</v>
      </c>
    </row>
    <row r="7" spans="1:12">
      <c r="A7" s="38">
        <v>42216</v>
      </c>
      <c r="B7" s="34">
        <f t="shared" si="0"/>
        <v>510948.34</v>
      </c>
      <c r="G7" s="25"/>
      <c r="H7" s="187">
        <v>510948.34</v>
      </c>
      <c r="K7" s="87">
        <f t="shared" si="1"/>
        <v>1</v>
      </c>
    </row>
    <row r="8" spans="1:12">
      <c r="A8" s="38">
        <v>42247</v>
      </c>
      <c r="B8" s="34">
        <f t="shared" si="0"/>
        <v>486766.64</v>
      </c>
      <c r="G8" s="25"/>
      <c r="H8" s="187">
        <v>486766.64</v>
      </c>
      <c r="K8" s="87">
        <f t="shared" si="1"/>
        <v>1</v>
      </c>
    </row>
    <row r="9" spans="1:12">
      <c r="A9" s="38">
        <v>42277</v>
      </c>
      <c r="B9" s="34">
        <f t="shared" si="0"/>
        <v>489346.34</v>
      </c>
      <c r="G9" s="25"/>
      <c r="H9" s="187">
        <v>489346.34</v>
      </c>
      <c r="K9" s="87">
        <f t="shared" si="1"/>
        <v>1</v>
      </c>
    </row>
    <row r="10" spans="1:12">
      <c r="A10" s="38">
        <v>42308</v>
      </c>
      <c r="B10" s="34">
        <f t="shared" si="0"/>
        <v>521704.76</v>
      </c>
      <c r="G10" s="25"/>
      <c r="H10" s="187">
        <v>521704.76</v>
      </c>
      <c r="K10" s="87">
        <f t="shared" si="1"/>
        <v>1</v>
      </c>
    </row>
    <row r="11" spans="1:12">
      <c r="A11" s="38">
        <v>42338</v>
      </c>
      <c r="B11" s="34">
        <f t="shared" si="0"/>
        <v>522017.14</v>
      </c>
      <c r="G11" s="25"/>
      <c r="H11" s="187">
        <v>522017.14</v>
      </c>
      <c r="K11" s="87">
        <f t="shared" si="1"/>
        <v>1</v>
      </c>
    </row>
    <row r="12" spans="1:12">
      <c r="A12" s="38">
        <v>42369</v>
      </c>
      <c r="B12" s="34">
        <f t="shared" si="0"/>
        <v>523327.45</v>
      </c>
      <c r="G12" s="25"/>
      <c r="H12" s="187">
        <v>523327.45</v>
      </c>
      <c r="K12" s="87">
        <f t="shared" si="1"/>
        <v>1</v>
      </c>
    </row>
    <row r="13" spans="1:12">
      <c r="A13" s="38">
        <v>42400</v>
      </c>
      <c r="B13" s="34">
        <f t="shared" si="0"/>
        <v>515644.95</v>
      </c>
      <c r="C13" s="25"/>
      <c r="D13" s="25"/>
      <c r="E13" s="45"/>
      <c r="F13" s="25"/>
      <c r="G13" s="25"/>
      <c r="H13" s="187">
        <v>515644.95</v>
      </c>
      <c r="I13" s="25"/>
      <c r="J13" s="25"/>
      <c r="K13" s="87">
        <f t="shared" si="1"/>
        <v>1</v>
      </c>
      <c r="L13" t="s">
        <v>14</v>
      </c>
    </row>
    <row r="14" spans="1:12">
      <c r="A14" s="38">
        <v>42429</v>
      </c>
      <c r="B14" s="34">
        <f t="shared" si="0"/>
        <v>2374938.69</v>
      </c>
      <c r="C14" s="25"/>
      <c r="D14" s="25"/>
      <c r="E14" s="45"/>
      <c r="F14" s="25"/>
      <c r="G14" s="25">
        <v>1349676.6</v>
      </c>
      <c r="H14" s="187">
        <v>525443.77</v>
      </c>
      <c r="I14" s="186">
        <v>499818.32</v>
      </c>
      <c r="J14" s="25"/>
      <c r="K14" s="87">
        <f t="shared" si="1"/>
        <v>3</v>
      </c>
    </row>
    <row r="15" spans="1:12">
      <c r="A15" s="38">
        <v>42460</v>
      </c>
      <c r="B15" s="34">
        <f t="shared" si="0"/>
        <v>2466364.9099999997</v>
      </c>
      <c r="C15" s="25"/>
      <c r="D15" s="25"/>
      <c r="E15" s="45"/>
      <c r="F15" s="25"/>
      <c r="G15" s="25">
        <v>1395503.5</v>
      </c>
      <c r="H15" s="187">
        <v>554071.36</v>
      </c>
      <c r="I15" s="186">
        <v>516790.05</v>
      </c>
      <c r="J15" s="25"/>
      <c r="K15" s="87">
        <f t="shared" si="1"/>
        <v>3</v>
      </c>
      <c r="L15" t="s">
        <v>15</v>
      </c>
    </row>
    <row r="16" spans="1:12">
      <c r="A16" s="38">
        <v>42490</v>
      </c>
      <c r="B16" s="34">
        <f t="shared" si="0"/>
        <v>2411877.2599999998</v>
      </c>
      <c r="C16" s="25"/>
      <c r="D16" s="25"/>
      <c r="E16" s="45"/>
      <c r="F16" s="25"/>
      <c r="G16" s="25">
        <v>1364631.6</v>
      </c>
      <c r="H16" s="187">
        <v>542294.09</v>
      </c>
      <c r="I16" s="186">
        <v>504951.57</v>
      </c>
      <c r="J16" s="25"/>
      <c r="K16" s="87">
        <f t="shared" si="1"/>
        <v>3</v>
      </c>
      <c r="L16" t="s">
        <v>20</v>
      </c>
    </row>
    <row r="17" spans="1:14" ht="17" thickBot="1">
      <c r="A17" s="38">
        <v>42521</v>
      </c>
      <c r="B17" s="34">
        <f t="shared" si="0"/>
        <v>3291756.5100000007</v>
      </c>
      <c r="C17" s="25"/>
      <c r="D17" s="186">
        <v>251987.72</v>
      </c>
      <c r="E17" s="63"/>
      <c r="F17" s="25">
        <v>277174.31</v>
      </c>
      <c r="G17" s="25">
        <v>1393072.8</v>
      </c>
      <c r="H17" s="187">
        <v>553543.53</v>
      </c>
      <c r="I17" s="186">
        <v>515486.66</v>
      </c>
      <c r="J17" s="186">
        <v>300491.49</v>
      </c>
      <c r="K17" s="87">
        <f t="shared" si="1"/>
        <v>6</v>
      </c>
    </row>
    <row r="18" spans="1:14">
      <c r="A18" s="38">
        <v>42551</v>
      </c>
      <c r="B18" s="34">
        <f t="shared" si="0"/>
        <v>3530592.58</v>
      </c>
      <c r="C18" s="25"/>
      <c r="D18" s="186">
        <v>262277.65000000002</v>
      </c>
      <c r="E18" s="63"/>
      <c r="F18" s="25">
        <v>288486.63</v>
      </c>
      <c r="G18" s="25">
        <v>1451805.8</v>
      </c>
      <c r="H18" s="187">
        <v>576766.92000000004</v>
      </c>
      <c r="I18" s="186">
        <v>537237.43999999994</v>
      </c>
      <c r="J18" s="186">
        <v>414018.14</v>
      </c>
      <c r="K18" s="87">
        <f t="shared" si="1"/>
        <v>6</v>
      </c>
      <c r="L18" t="s">
        <v>22</v>
      </c>
      <c r="M18" s="211" t="s">
        <v>29</v>
      </c>
      <c r="N18" s="212"/>
    </row>
    <row r="19" spans="1:14">
      <c r="A19" s="38">
        <v>42582</v>
      </c>
      <c r="B19" s="34">
        <f t="shared" si="0"/>
        <v>4016479.16</v>
      </c>
      <c r="C19" s="25">
        <v>330654.94</v>
      </c>
      <c r="D19" s="186">
        <v>266803.15999999997</v>
      </c>
      <c r="E19" s="63"/>
      <c r="F19" s="25">
        <v>293471.33</v>
      </c>
      <c r="G19" s="25">
        <v>1474502.5</v>
      </c>
      <c r="H19" s="187">
        <v>585735.18000000005</v>
      </c>
      <c r="I19" s="186">
        <v>545475.22</v>
      </c>
      <c r="J19" s="186">
        <v>519836.83</v>
      </c>
      <c r="K19" s="87">
        <f t="shared" si="1"/>
        <v>7</v>
      </c>
      <c r="M19" s="49" t="s">
        <v>27</v>
      </c>
      <c r="N19" s="50">
        <f>H20+G20+J20+C20</f>
        <v>2947506.43</v>
      </c>
    </row>
    <row r="20" spans="1:14">
      <c r="A20" s="38">
        <v>42613</v>
      </c>
      <c r="B20" s="34">
        <f t="shared" si="0"/>
        <v>4036789.1500000008</v>
      </c>
      <c r="C20" s="25">
        <v>405233.83</v>
      </c>
      <c r="D20" s="186">
        <v>262711.08</v>
      </c>
      <c r="E20" s="63"/>
      <c r="F20" s="25">
        <v>288979.86</v>
      </c>
      <c r="G20" s="25">
        <v>1453257.8</v>
      </c>
      <c r="H20" s="187">
        <v>577335.99</v>
      </c>
      <c r="I20" s="186">
        <v>537591.78</v>
      </c>
      <c r="J20" s="186">
        <v>511678.81</v>
      </c>
      <c r="K20" s="87">
        <f t="shared" si="1"/>
        <v>7</v>
      </c>
      <c r="M20" s="49" t="s">
        <v>28</v>
      </c>
      <c r="N20" s="50">
        <f>D20+F20+Schwab!S42+TDA!O37+Fidelity!P47+Prudential!E21</f>
        <v>20974670.023909993</v>
      </c>
    </row>
    <row r="21" spans="1:14">
      <c r="A21" s="38">
        <v>42643</v>
      </c>
      <c r="B21" s="34">
        <f t="shared" si="0"/>
        <v>4112325.49</v>
      </c>
      <c r="C21" s="25">
        <v>485843.08</v>
      </c>
      <c r="D21" s="186">
        <v>262558.40999999997</v>
      </c>
      <c r="E21" s="63"/>
      <c r="F21" s="25">
        <v>288796.5</v>
      </c>
      <c r="G21" s="25">
        <v>1450693.4</v>
      </c>
      <c r="H21" s="187">
        <v>576313.41</v>
      </c>
      <c r="I21" s="186">
        <v>536645.49</v>
      </c>
      <c r="J21" s="186">
        <v>511475.20000000001</v>
      </c>
      <c r="K21" s="87">
        <f t="shared" si="1"/>
        <v>7</v>
      </c>
      <c r="M21" s="49" t="s">
        <v>28</v>
      </c>
      <c r="N21" s="50">
        <f>D21+F21+Schwab!S43+TDA!O38+Fidelity!P48+Prudential!E22</f>
        <v>21809633.465019993</v>
      </c>
    </row>
    <row r="22" spans="1:14">
      <c r="A22" s="38">
        <v>42674</v>
      </c>
      <c r="B22" s="34">
        <f t="shared" si="0"/>
        <v>3981213.52</v>
      </c>
      <c r="C22" s="25">
        <v>471830.15</v>
      </c>
      <c r="D22" s="186">
        <v>254429.53</v>
      </c>
      <c r="E22" s="63"/>
      <c r="F22" s="25">
        <v>279839.35999999999</v>
      </c>
      <c r="G22" s="25">
        <v>1403973</v>
      </c>
      <c r="H22" s="187">
        <v>557832.31999999995</v>
      </c>
      <c r="I22" s="186">
        <v>519167.45</v>
      </c>
      <c r="J22" s="186">
        <v>494141.71</v>
      </c>
      <c r="K22" s="87">
        <f t="shared" si="1"/>
        <v>7</v>
      </c>
      <c r="M22" s="49" t="s">
        <v>28</v>
      </c>
      <c r="N22" s="50">
        <f>D22+F22+Schwab!S44+TDA!O39+Fidelity!P49+Prudential!E23</f>
        <v>23566663.003409997</v>
      </c>
    </row>
    <row r="23" spans="1:14">
      <c r="A23" s="38">
        <v>42704</v>
      </c>
      <c r="B23" s="34">
        <f t="shared" si="0"/>
        <v>4057331.9</v>
      </c>
      <c r="C23" s="25">
        <v>483848.7</v>
      </c>
      <c r="D23" s="186">
        <v>260895.4</v>
      </c>
      <c r="E23" s="63"/>
      <c r="F23" s="25">
        <v>260827.26</v>
      </c>
      <c r="G23" s="25">
        <v>1440292.2</v>
      </c>
      <c r="H23" s="187">
        <v>572279.43999999994</v>
      </c>
      <c r="I23" s="186">
        <v>532547.80000000005</v>
      </c>
      <c r="J23" s="186">
        <v>506641.1</v>
      </c>
      <c r="K23" s="87">
        <f t="shared" si="1"/>
        <v>7</v>
      </c>
      <c r="M23" s="49" t="s">
        <v>28</v>
      </c>
      <c r="N23" s="50">
        <f>D23+F23+Schwab!S45+TDA!O40+Fidelity!P50+Prudential!E24</f>
        <v>24107119.654860001</v>
      </c>
    </row>
    <row r="24" spans="1:14">
      <c r="A24" s="38">
        <v>42735</v>
      </c>
      <c r="B24" s="34">
        <f t="shared" si="0"/>
        <v>4124007.1799999997</v>
      </c>
      <c r="C24" s="25">
        <v>491782.28</v>
      </c>
      <c r="D24" s="186">
        <v>265174.84999999998</v>
      </c>
      <c r="E24" s="63"/>
      <c r="F24" s="25">
        <v>265134.82</v>
      </c>
      <c r="G24" s="25">
        <v>1463967.6</v>
      </c>
      <c r="H24" s="187">
        <v>581687.71</v>
      </c>
      <c r="I24" s="186">
        <v>541306.97</v>
      </c>
      <c r="J24" s="186">
        <v>514952.95</v>
      </c>
      <c r="K24" s="87">
        <f t="shared" si="1"/>
        <v>7</v>
      </c>
      <c r="M24" s="49" t="s">
        <v>28</v>
      </c>
      <c r="N24" s="50">
        <f>D24+F24+Schwab!S46+TDA!O41+Fidelity!P51+Prudential!E25</f>
        <v>21068280.607279997</v>
      </c>
    </row>
    <row r="25" spans="1:14">
      <c r="A25" s="38">
        <v>42766</v>
      </c>
      <c r="B25" s="34">
        <f t="shared" si="0"/>
        <v>4129335.73</v>
      </c>
      <c r="C25" s="25">
        <v>492813.49</v>
      </c>
      <c r="D25" s="186">
        <v>265748.21999999997</v>
      </c>
      <c r="E25" s="63"/>
      <c r="F25" s="25">
        <v>265672.95</v>
      </c>
      <c r="G25" s="25">
        <v>1466160.7</v>
      </c>
      <c r="H25" s="187">
        <v>582554.43000000005</v>
      </c>
      <c r="I25" s="186">
        <v>541947.77</v>
      </c>
      <c r="J25" s="186">
        <v>514438.17</v>
      </c>
      <c r="K25" s="87">
        <f t="shared" si="1"/>
        <v>7</v>
      </c>
      <c r="M25" s="49" t="s">
        <v>28</v>
      </c>
      <c r="N25" s="50">
        <f>D25+F25+Schwab!S47+TDA!O42+Fidelity!P52+Prudential!E26</f>
        <v>22123854.096459996</v>
      </c>
    </row>
    <row r="26" spans="1:14">
      <c r="A26" s="38">
        <v>42794</v>
      </c>
      <c r="B26" s="34">
        <f t="shared" si="0"/>
        <v>4274216.8499999996</v>
      </c>
      <c r="C26" s="25">
        <v>510916.92</v>
      </c>
      <c r="D26" s="186">
        <v>275037.82</v>
      </c>
      <c r="E26" s="63"/>
      <c r="F26" s="25">
        <v>274944.78999999998</v>
      </c>
      <c r="G26" s="25">
        <v>1517243.3</v>
      </c>
      <c r="H26" s="187">
        <v>602846.36</v>
      </c>
      <c r="I26" s="186">
        <v>560826.87</v>
      </c>
      <c r="J26" s="186">
        <v>532400.79</v>
      </c>
      <c r="K26" s="87">
        <f t="shared" si="1"/>
        <v>7</v>
      </c>
      <c r="M26" s="49" t="s">
        <v>28</v>
      </c>
      <c r="N26" s="50" t="e">
        <f>D26+F26+Schwab!#REF!+TDA!#REF!+Fidelity!#REF!+Prudential!#REF!</f>
        <v>#REF!</v>
      </c>
    </row>
    <row r="27" spans="1:14">
      <c r="A27" s="38">
        <v>42825</v>
      </c>
      <c r="B27" s="34">
        <f t="shared" si="0"/>
        <v>4257359.3600000003</v>
      </c>
      <c r="C27" s="25">
        <v>508907.23</v>
      </c>
      <c r="D27" s="186">
        <v>273959.77</v>
      </c>
      <c r="E27" s="63"/>
      <c r="F27" s="25">
        <v>273873.07</v>
      </c>
      <c r="G27" s="25">
        <v>1511236.1</v>
      </c>
      <c r="H27" s="187">
        <v>600453.48</v>
      </c>
      <c r="I27" s="186">
        <v>558621.68000000005</v>
      </c>
      <c r="J27" s="186">
        <v>530308.03</v>
      </c>
      <c r="K27" s="87">
        <f t="shared" si="1"/>
        <v>7</v>
      </c>
    </row>
    <row r="28" spans="1:14">
      <c r="A28" s="38">
        <v>42855</v>
      </c>
      <c r="B28" s="34">
        <f t="shared" si="0"/>
        <v>4287070.3600000003</v>
      </c>
      <c r="C28" s="25">
        <v>512852.27</v>
      </c>
      <c r="D28" s="186">
        <v>276081.57</v>
      </c>
      <c r="E28" s="63"/>
      <c r="F28" s="25">
        <v>275991.96000000002</v>
      </c>
      <c r="G28" s="25">
        <v>1522128.1</v>
      </c>
      <c r="H28" s="187">
        <v>604759.48</v>
      </c>
      <c r="I28" s="186">
        <v>562469.79</v>
      </c>
      <c r="J28" s="186">
        <v>532787.18999999994</v>
      </c>
      <c r="K28" s="87">
        <f t="shared" si="1"/>
        <v>7</v>
      </c>
    </row>
    <row r="29" spans="1:14">
      <c r="A29" s="38">
        <v>42886</v>
      </c>
      <c r="B29" s="34">
        <f t="shared" si="0"/>
        <v>4340622.45</v>
      </c>
      <c r="C29" s="25">
        <v>519685.51</v>
      </c>
      <c r="D29" s="186">
        <v>278907.36</v>
      </c>
      <c r="E29" s="63"/>
      <c r="F29" s="25">
        <v>279157.14</v>
      </c>
      <c r="G29" s="25">
        <v>1541461.3</v>
      </c>
      <c r="H29" s="187">
        <v>612269.48</v>
      </c>
      <c r="I29" s="186">
        <v>569274.73</v>
      </c>
      <c r="J29" s="186">
        <v>539866.93000000005</v>
      </c>
      <c r="K29" s="87">
        <f t="shared" si="1"/>
        <v>7</v>
      </c>
    </row>
    <row r="30" spans="1:14">
      <c r="A30" s="38">
        <v>42916</v>
      </c>
      <c r="B30" s="34">
        <f t="shared" si="0"/>
        <v>4348894.33</v>
      </c>
      <c r="C30" s="25">
        <v>520671.16</v>
      </c>
      <c r="D30" s="186">
        <v>279438.11</v>
      </c>
      <c r="E30" s="63"/>
      <c r="F30" s="25">
        <v>279689.31</v>
      </c>
      <c r="G30" s="25">
        <v>1544407.2</v>
      </c>
      <c r="H30" s="187">
        <v>613427.67000000004</v>
      </c>
      <c r="I30" s="186">
        <v>570368.43000000005</v>
      </c>
      <c r="J30" s="186">
        <v>540892.44999999995</v>
      </c>
      <c r="K30" s="87">
        <f t="shared" si="1"/>
        <v>7</v>
      </c>
    </row>
    <row r="31" spans="1:14" ht="17" customHeight="1">
      <c r="A31" s="38">
        <v>42947</v>
      </c>
      <c r="B31" s="34">
        <f t="shared" si="0"/>
        <v>4413096.0999999996</v>
      </c>
      <c r="C31" s="25">
        <v>528782.06000000006</v>
      </c>
      <c r="D31" s="186">
        <v>283798.68</v>
      </c>
      <c r="E31" s="63"/>
      <c r="F31" s="25">
        <v>284044.87</v>
      </c>
      <c r="G31" s="25">
        <v>1567520.9</v>
      </c>
      <c r="H31" s="187">
        <v>622603.22</v>
      </c>
      <c r="I31" s="186">
        <v>578733.98</v>
      </c>
      <c r="J31" s="186">
        <v>547612.39</v>
      </c>
      <c r="K31" s="87">
        <f t="shared" si="1"/>
        <v>7</v>
      </c>
    </row>
    <row r="32" spans="1:14">
      <c r="A32" s="38">
        <v>42978</v>
      </c>
      <c r="B32" s="34">
        <f t="shared" si="0"/>
        <v>4411112.6100000003</v>
      </c>
      <c r="C32" s="25">
        <v>528998.93999999994</v>
      </c>
      <c r="D32" s="186">
        <v>283024.37</v>
      </c>
      <c r="E32" s="63"/>
      <c r="F32" s="25">
        <v>283613.36</v>
      </c>
      <c r="G32" s="25">
        <v>1567183</v>
      </c>
      <c r="H32" s="187">
        <v>622268.39</v>
      </c>
      <c r="I32" s="186">
        <v>578236.55000000005</v>
      </c>
      <c r="J32" s="186">
        <v>547788</v>
      </c>
      <c r="K32" s="87">
        <f t="shared" si="1"/>
        <v>7</v>
      </c>
    </row>
    <row r="33" spans="1:12" ht="17" customHeight="1">
      <c r="A33" s="38">
        <v>43008</v>
      </c>
      <c r="B33" s="34">
        <f t="shared" si="0"/>
        <v>4473747.26</v>
      </c>
      <c r="C33" s="25">
        <v>536545.12</v>
      </c>
      <c r="D33" s="186">
        <v>287069.15000000002</v>
      </c>
      <c r="E33" s="63"/>
      <c r="F33" s="25">
        <v>287661.33</v>
      </c>
      <c r="G33" s="25">
        <v>1589508</v>
      </c>
      <c r="H33" s="187">
        <v>630865.24</v>
      </c>
      <c r="I33" s="186">
        <v>586479.18000000005</v>
      </c>
      <c r="J33" s="186">
        <v>555619.24</v>
      </c>
      <c r="K33" s="87">
        <f t="shared" si="1"/>
        <v>7</v>
      </c>
    </row>
    <row r="34" spans="1:12">
      <c r="A34" s="38">
        <v>43039</v>
      </c>
      <c r="B34" s="34">
        <f t="shared" si="0"/>
        <v>4515412.75</v>
      </c>
      <c r="C34" s="25">
        <v>541967.67000000004</v>
      </c>
      <c r="D34" s="186">
        <v>290000.13</v>
      </c>
      <c r="E34" s="63"/>
      <c r="F34" s="25">
        <v>290592.40999999997</v>
      </c>
      <c r="G34" s="25">
        <v>1604614.9</v>
      </c>
      <c r="H34" s="187">
        <v>636857.75</v>
      </c>
      <c r="I34" s="186">
        <v>591909.76</v>
      </c>
      <c r="J34" s="186">
        <v>559470.13</v>
      </c>
      <c r="K34" s="87">
        <f t="shared" si="1"/>
        <v>7</v>
      </c>
      <c r="L34" t="s">
        <v>34</v>
      </c>
    </row>
    <row r="35" spans="1:12" ht="17" customHeight="1">
      <c r="A35" s="38">
        <v>43069</v>
      </c>
      <c r="B35" s="34">
        <f t="shared" si="0"/>
        <v>4714722.5</v>
      </c>
      <c r="C35" s="25">
        <v>566300.92000000004</v>
      </c>
      <c r="D35" s="186">
        <v>302105.65999999997</v>
      </c>
      <c r="E35" s="63"/>
      <c r="F35" s="25">
        <v>303071.21999999997</v>
      </c>
      <c r="G35" s="25">
        <v>1675894</v>
      </c>
      <c r="H35" s="187">
        <v>664886.91</v>
      </c>
      <c r="I35" s="186">
        <v>617802.46</v>
      </c>
      <c r="J35" s="186">
        <v>584661.32999999996</v>
      </c>
      <c r="K35" s="87">
        <f t="shared" si="1"/>
        <v>7</v>
      </c>
    </row>
    <row r="36" spans="1:12">
      <c r="A36" s="38">
        <v>43100</v>
      </c>
      <c r="B36" s="34">
        <f t="shared" si="0"/>
        <v>4755468.41</v>
      </c>
      <c r="C36" s="25">
        <v>574746.1</v>
      </c>
      <c r="D36" s="186">
        <v>306650.21999999997</v>
      </c>
      <c r="E36" s="63"/>
      <c r="F36" s="25">
        <v>307605.23</v>
      </c>
      <c r="G36" s="25">
        <v>1701121.6</v>
      </c>
      <c r="H36" s="187">
        <v>674855.32</v>
      </c>
      <c r="I36" s="186">
        <v>627037.48</v>
      </c>
      <c r="J36" s="186">
        <v>563452.46</v>
      </c>
      <c r="K36" s="87">
        <f t="shared" si="1"/>
        <v>7</v>
      </c>
    </row>
    <row r="37" spans="1:12">
      <c r="A37" s="38">
        <v>43131</v>
      </c>
      <c r="B37" s="34">
        <f t="shared" si="0"/>
        <v>4944437.17</v>
      </c>
      <c r="C37" s="25">
        <v>599524.52</v>
      </c>
      <c r="D37" s="186">
        <v>318820.13</v>
      </c>
      <c r="E37" s="63"/>
      <c r="F37" s="25">
        <v>320218.92</v>
      </c>
      <c r="G37" s="25">
        <v>1772494.6</v>
      </c>
      <c r="H37" s="187">
        <v>702947.35</v>
      </c>
      <c r="I37" s="186">
        <v>652738.64</v>
      </c>
      <c r="J37" s="186">
        <v>577693.01</v>
      </c>
      <c r="K37" s="87">
        <f t="shared" si="1"/>
        <v>7</v>
      </c>
    </row>
    <row r="38" spans="1:12">
      <c r="A38" s="38">
        <v>43159</v>
      </c>
      <c r="B38" s="34">
        <f t="shared" si="0"/>
        <v>4795260.0900000008</v>
      </c>
      <c r="C38" s="25">
        <v>581420.1</v>
      </c>
      <c r="D38" s="186">
        <v>309252.08</v>
      </c>
      <c r="E38" s="63"/>
      <c r="F38" s="25">
        <v>310494.3</v>
      </c>
      <c r="G38" s="25">
        <v>1719158.1</v>
      </c>
      <c r="H38" s="187">
        <v>681634.67</v>
      </c>
      <c r="I38" s="186">
        <v>632844.81000000006</v>
      </c>
      <c r="J38" s="186">
        <v>560456.03</v>
      </c>
      <c r="K38" s="87">
        <f t="shared" si="1"/>
        <v>7</v>
      </c>
    </row>
    <row r="39" spans="1:12">
      <c r="A39" s="38">
        <v>43190</v>
      </c>
      <c r="B39" s="34">
        <f t="shared" si="0"/>
        <v>4203115.5900000008</v>
      </c>
      <c r="C39" s="25">
        <v>577002.91</v>
      </c>
      <c r="D39" s="25">
        <v>307038.16000000003</v>
      </c>
      <c r="E39" s="45"/>
      <c r="F39" s="25">
        <v>308170.46000000014</v>
      </c>
      <c r="G39" s="25">
        <v>1706364.3500000003</v>
      </c>
      <c r="H39" s="25">
        <v>676526.36999999988</v>
      </c>
      <c r="I39" s="25">
        <v>628013.34000000008</v>
      </c>
      <c r="J39" s="25"/>
      <c r="K39" s="87">
        <f t="shared" si="1"/>
        <v>6</v>
      </c>
      <c r="L39" t="s">
        <v>84</v>
      </c>
    </row>
    <row r="40" spans="1:12">
      <c r="A40" s="38">
        <v>43220</v>
      </c>
      <c r="B40" s="34">
        <f t="shared" si="0"/>
        <v>4266426.67</v>
      </c>
      <c r="C40" s="25">
        <v>585655.44000000041</v>
      </c>
      <c r="D40" s="25">
        <v>311772.46999999997</v>
      </c>
      <c r="E40" s="45"/>
      <c r="F40" s="25">
        <v>312649.93</v>
      </c>
      <c r="G40" s="25">
        <v>1732581.0799999994</v>
      </c>
      <c r="H40" s="25">
        <v>686865.39000000013</v>
      </c>
      <c r="I40" s="25">
        <v>636902.35999999987</v>
      </c>
      <c r="J40" s="25"/>
      <c r="K40" s="87">
        <f t="shared" si="1"/>
        <v>6</v>
      </c>
    </row>
    <row r="41" spans="1:12">
      <c r="A41" s="38">
        <v>43251</v>
      </c>
      <c r="B41" s="34">
        <f t="shared" si="0"/>
        <v>4357253.5199999986</v>
      </c>
      <c r="C41" s="25">
        <v>598505.92000000004</v>
      </c>
      <c r="D41" s="25">
        <v>317664.38</v>
      </c>
      <c r="E41" s="45"/>
      <c r="F41" s="25">
        <v>318822.60000000009</v>
      </c>
      <c r="G41" s="25">
        <v>1770473.9799999991</v>
      </c>
      <c r="H41" s="25">
        <v>701825.58999999985</v>
      </c>
      <c r="I41" s="25">
        <v>649961.05000000005</v>
      </c>
      <c r="J41" s="25"/>
      <c r="K41" s="87">
        <f t="shared" si="1"/>
        <v>6</v>
      </c>
    </row>
    <row r="42" spans="1:12">
      <c r="A42" s="38">
        <v>43281</v>
      </c>
      <c r="B42" s="34">
        <f t="shared" si="0"/>
        <v>4444404.63</v>
      </c>
      <c r="C42" s="25">
        <v>610092.20999999985</v>
      </c>
      <c r="D42" s="25">
        <v>324193.89</v>
      </c>
      <c r="E42" s="45"/>
      <c r="F42" s="25">
        <v>325356.26</v>
      </c>
      <c r="G42" s="25">
        <v>1806479.1</v>
      </c>
      <c r="H42" s="25">
        <v>715536.39</v>
      </c>
      <c r="I42" s="25">
        <v>662746.78</v>
      </c>
      <c r="J42" s="25"/>
      <c r="K42" s="87">
        <f t="shared" si="1"/>
        <v>6</v>
      </c>
    </row>
    <row r="43" spans="1:12">
      <c r="A43" s="38">
        <v>43312</v>
      </c>
      <c r="B43" s="34">
        <f t="shared" si="0"/>
        <v>4607406.7300000004</v>
      </c>
      <c r="C43" s="25">
        <v>632693.29000000027</v>
      </c>
      <c r="D43" s="25">
        <v>336173.63</v>
      </c>
      <c r="E43" s="45"/>
      <c r="F43" s="25">
        <v>337359.76999999996</v>
      </c>
      <c r="G43" s="25">
        <v>1872797.1200000003</v>
      </c>
      <c r="H43" s="25">
        <v>741500.55000000016</v>
      </c>
      <c r="I43" s="25">
        <v>686882.37</v>
      </c>
      <c r="J43" s="25"/>
      <c r="K43" s="87">
        <f t="shared" si="1"/>
        <v>6</v>
      </c>
    </row>
    <row r="44" spans="1:12">
      <c r="A44" s="38">
        <v>43343</v>
      </c>
      <c r="B44" s="34">
        <f t="shared" si="0"/>
        <v>4816744.7099999981</v>
      </c>
      <c r="C44" s="25">
        <v>659891.11999999976</v>
      </c>
      <c r="D44" s="25">
        <v>349555.19</v>
      </c>
      <c r="E44" s="45"/>
      <c r="F44" s="25">
        <v>366285.37</v>
      </c>
      <c r="G44" s="25">
        <v>1951982.0099999991</v>
      </c>
      <c r="H44" s="25">
        <v>773389.0199999999</v>
      </c>
      <c r="I44" s="25">
        <v>715641.99999999977</v>
      </c>
      <c r="J44" s="25"/>
      <c r="K44" s="87">
        <f t="shared" si="1"/>
        <v>6</v>
      </c>
    </row>
    <row r="45" spans="1:12">
      <c r="A45" s="38">
        <v>43373</v>
      </c>
      <c r="B45" s="34">
        <f t="shared" si="0"/>
        <v>4602753.0699999994</v>
      </c>
      <c r="C45" s="25">
        <v>662974.43999999983</v>
      </c>
      <c r="D45" s="25">
        <v>351102.78999999986</v>
      </c>
      <c r="E45" s="45"/>
      <c r="F45" s="25">
        <v>382943.89999999985</v>
      </c>
      <c r="G45" s="25">
        <v>1959950.6799999995</v>
      </c>
      <c r="H45" s="25">
        <v>527015.71000000008</v>
      </c>
      <c r="I45" s="25">
        <v>718765.55</v>
      </c>
      <c r="J45" s="25"/>
      <c r="K45" s="87">
        <f t="shared" si="1"/>
        <v>6</v>
      </c>
    </row>
    <row r="46" spans="1:12">
      <c r="A46" s="38">
        <v>43404</v>
      </c>
      <c r="B46" s="34">
        <f t="shared" si="0"/>
        <v>4261385.3800000008</v>
      </c>
      <c r="C46" s="25">
        <v>614206.11</v>
      </c>
      <c r="D46" s="25">
        <v>324438.43000000011</v>
      </c>
      <c r="E46" s="45"/>
      <c r="F46" s="25">
        <v>355199.85999999993</v>
      </c>
      <c r="G46" s="25">
        <v>1814681.4300000002</v>
      </c>
      <c r="H46" s="25">
        <v>488599.62000000005</v>
      </c>
      <c r="I46" s="25">
        <v>664259.93000000028</v>
      </c>
      <c r="J46" s="25"/>
      <c r="K46" s="87">
        <f t="shared" si="1"/>
        <v>6</v>
      </c>
    </row>
    <row r="47" spans="1:12">
      <c r="A47" s="38">
        <v>43434</v>
      </c>
      <c r="B47" s="34">
        <f t="shared" si="0"/>
        <v>4328260.68</v>
      </c>
      <c r="C47" s="25">
        <v>624082.87000000011</v>
      </c>
      <c r="D47" s="25">
        <v>329780.9200000001</v>
      </c>
      <c r="E47" s="45"/>
      <c r="F47" s="25">
        <v>360841.89</v>
      </c>
      <c r="G47" s="25">
        <v>1842579.2</v>
      </c>
      <c r="H47" s="25">
        <v>496182.9600000002</v>
      </c>
      <c r="I47" s="25">
        <v>674792.84</v>
      </c>
      <c r="J47" s="25"/>
      <c r="K47" s="87">
        <f t="shared" si="1"/>
        <v>6</v>
      </c>
    </row>
    <row r="48" spans="1:12">
      <c r="A48" s="38">
        <v>43465</v>
      </c>
      <c r="B48" s="34">
        <f t="shared" si="0"/>
        <v>3997769.3099999991</v>
      </c>
      <c r="C48" s="25">
        <v>576331.02</v>
      </c>
      <c r="D48" s="25">
        <v>304397.30999999982</v>
      </c>
      <c r="E48" s="45"/>
      <c r="F48" s="25">
        <v>333282.62</v>
      </c>
      <c r="G48" s="25">
        <v>1702111.6499999997</v>
      </c>
      <c r="H48" s="25">
        <v>458402.58999999997</v>
      </c>
      <c r="I48" s="25">
        <v>623244.11999999976</v>
      </c>
      <c r="J48" s="25"/>
      <c r="K48" s="87">
        <f t="shared" si="1"/>
        <v>6</v>
      </c>
    </row>
    <row r="49" spans="1:12">
      <c r="A49" s="38">
        <v>43496</v>
      </c>
      <c r="B49" s="34">
        <f t="shared" si="0"/>
        <v>4281434.55</v>
      </c>
      <c r="C49" s="25">
        <v>617707.18999999994</v>
      </c>
      <c r="D49" s="25">
        <v>325597.17999999988</v>
      </c>
      <c r="E49" s="45"/>
      <c r="F49" s="25">
        <v>357030.29</v>
      </c>
      <c r="G49" s="25">
        <v>1823181.58</v>
      </c>
      <c r="H49" s="25">
        <v>491106.01999999996</v>
      </c>
      <c r="I49" s="25">
        <v>666812.2899999998</v>
      </c>
      <c r="J49" s="25"/>
      <c r="K49" s="87">
        <f t="shared" si="1"/>
        <v>6</v>
      </c>
    </row>
    <row r="50" spans="1:12">
      <c r="A50" s="38">
        <v>43524</v>
      </c>
      <c r="B50" s="34">
        <f t="shared" si="0"/>
        <v>4464057.3100000005</v>
      </c>
      <c r="C50" s="25">
        <v>644187.51</v>
      </c>
      <c r="D50" s="25">
        <v>339606.12999999995</v>
      </c>
      <c r="F50" s="25">
        <v>372287.09000000014</v>
      </c>
      <c r="G50" s="25">
        <v>1900770.4000000004</v>
      </c>
      <c r="H50" s="25">
        <v>512094.67999999976</v>
      </c>
      <c r="I50" s="25">
        <v>695111.50000000023</v>
      </c>
      <c r="K50" s="87">
        <f t="shared" si="1"/>
        <v>6</v>
      </c>
    </row>
    <row r="51" spans="1:12">
      <c r="A51" s="38">
        <v>43555</v>
      </c>
      <c r="B51" s="34">
        <f t="shared" si="0"/>
        <v>4542748.42</v>
      </c>
      <c r="C51" s="25">
        <v>655510.84000000008</v>
      </c>
      <c r="D51" s="25">
        <v>345623.22999999992</v>
      </c>
      <c r="F51" s="25">
        <v>378925.4200000001</v>
      </c>
      <c r="G51" s="25">
        <v>1934151.9899999998</v>
      </c>
      <c r="H51" s="25">
        <v>521053.42999999993</v>
      </c>
      <c r="I51" s="25">
        <v>707483.51</v>
      </c>
      <c r="K51" s="87">
        <f t="shared" si="1"/>
        <v>6</v>
      </c>
    </row>
    <row r="52" spans="1:12">
      <c r="A52" s="38">
        <v>43585</v>
      </c>
      <c r="B52" s="34">
        <f t="shared" si="0"/>
        <v>4701545.3500000006</v>
      </c>
      <c r="C52" s="25">
        <v>679172.76000000013</v>
      </c>
      <c r="D52" s="25">
        <v>357105.76999999996</v>
      </c>
      <c r="F52" s="25">
        <v>392012.61</v>
      </c>
      <c r="G52" s="25">
        <v>2002030.4500000004</v>
      </c>
      <c r="H52" s="25">
        <v>539485.42000000004</v>
      </c>
      <c r="I52" s="25">
        <v>731738.33999999985</v>
      </c>
      <c r="K52" s="87">
        <f t="shared" si="1"/>
        <v>6</v>
      </c>
    </row>
    <row r="53" spans="1:12">
      <c r="A53" s="38">
        <v>43616</v>
      </c>
      <c r="B53" s="34">
        <f t="shared" si="0"/>
        <v>4234424.7799999984</v>
      </c>
      <c r="C53" s="25">
        <v>646313.95999999973</v>
      </c>
      <c r="D53" s="25">
        <v>339605.25999999995</v>
      </c>
      <c r="F53" s="25">
        <v>373136.03999999986</v>
      </c>
      <c r="G53" s="25">
        <v>1905192.4</v>
      </c>
      <c r="H53" s="25">
        <v>513624.23999999987</v>
      </c>
      <c r="I53" s="25">
        <v>456552.8799999996</v>
      </c>
      <c r="K53" s="87">
        <f t="shared" si="1"/>
        <v>6</v>
      </c>
      <c r="L53" t="s">
        <v>99</v>
      </c>
    </row>
    <row r="54" spans="1:12">
      <c r="A54" s="38">
        <v>43646</v>
      </c>
      <c r="B54" s="34">
        <f t="shared" si="0"/>
        <v>4480957.25</v>
      </c>
      <c r="C54" s="25">
        <v>683794.3600000001</v>
      </c>
      <c r="D54" s="25">
        <v>359380.47000000009</v>
      </c>
      <c r="F54" s="25">
        <v>394885.97000000015</v>
      </c>
      <c r="G54" s="25">
        <v>2015991.6799999992</v>
      </c>
      <c r="H54" s="25">
        <v>543661.0199999999</v>
      </c>
      <c r="I54" s="25">
        <v>483243.75000000023</v>
      </c>
      <c r="K54" s="87">
        <f t="shared" si="1"/>
        <v>6</v>
      </c>
    </row>
    <row r="55" spans="1:12">
      <c r="A55" s="38">
        <v>43677</v>
      </c>
      <c r="B55" s="34">
        <f t="shared" si="0"/>
        <v>4571394.4000000004</v>
      </c>
      <c r="C55" s="25">
        <v>698666.37000000023</v>
      </c>
      <c r="D55" s="25">
        <v>365890.98</v>
      </c>
      <c r="E55" s="152"/>
      <c r="F55" s="25">
        <v>402586.3</v>
      </c>
      <c r="G55" s="25">
        <v>2057352.0700000003</v>
      </c>
      <c r="H55" s="25">
        <v>554502.19000000006</v>
      </c>
      <c r="I55" s="25">
        <v>492396.48999999993</v>
      </c>
      <c r="J55" s="188"/>
      <c r="K55" s="87">
        <f t="shared" si="1"/>
        <v>6</v>
      </c>
    </row>
    <row r="56" spans="1:12">
      <c r="A56" s="38">
        <v>43708</v>
      </c>
      <c r="B56" s="34">
        <f t="shared" si="0"/>
        <v>4608199.92</v>
      </c>
      <c r="C56" s="25">
        <v>704394.79000000027</v>
      </c>
      <c r="D56" s="25">
        <v>368656.45</v>
      </c>
      <c r="F56" s="25">
        <v>405755.68</v>
      </c>
      <c r="G56" s="25">
        <v>2074356.0700000003</v>
      </c>
      <c r="H56" s="25">
        <v>558713.93999999994</v>
      </c>
      <c r="I56" s="25">
        <v>496322.99000000005</v>
      </c>
      <c r="K56" s="87">
        <f t="shared" si="1"/>
        <v>6</v>
      </c>
    </row>
    <row r="57" spans="1:12">
      <c r="A57" s="38">
        <v>43738</v>
      </c>
      <c r="B57" s="34">
        <f t="shared" si="0"/>
        <v>4657985.2200000016</v>
      </c>
      <c r="C57" s="25">
        <v>712220.81000000017</v>
      </c>
      <c r="D57" s="25">
        <v>372887.9</v>
      </c>
      <c r="F57" s="25">
        <v>410236.70000000013</v>
      </c>
      <c r="G57" s="25">
        <v>2096452.7300000009</v>
      </c>
      <c r="H57" s="25">
        <v>564500.4099999998</v>
      </c>
      <c r="I57" s="25">
        <v>501686.67000000027</v>
      </c>
      <c r="K57" s="87">
        <f t="shared" si="1"/>
        <v>6</v>
      </c>
    </row>
    <row r="58" spans="1:12">
      <c r="A58" s="38">
        <v>43769</v>
      </c>
      <c r="B58" s="34">
        <f t="shared" si="0"/>
        <v>4732255.2700000005</v>
      </c>
      <c r="C58" s="25">
        <v>709822.04999999993</v>
      </c>
      <c r="D58" s="25">
        <v>420950.65999999992</v>
      </c>
      <c r="F58" s="25">
        <v>458083.7099999999</v>
      </c>
      <c r="G58" s="25">
        <v>2083577.2800000007</v>
      </c>
      <c r="H58" s="25">
        <v>561102.12</v>
      </c>
      <c r="I58" s="25">
        <v>498719.45</v>
      </c>
      <c r="K58" s="87">
        <f t="shared" si="1"/>
        <v>6</v>
      </c>
    </row>
    <row r="59" spans="1:12">
      <c r="A59" s="38">
        <v>43799</v>
      </c>
      <c r="B59" s="34">
        <f t="shared" si="0"/>
        <v>4826188.1900000004</v>
      </c>
      <c r="C59" s="25">
        <v>723616.17999999993</v>
      </c>
      <c r="D59" s="25">
        <v>429377.9499999999</v>
      </c>
      <c r="F59" s="25">
        <v>467598.28</v>
      </c>
      <c r="G59" s="25">
        <v>2125013.2500000005</v>
      </c>
      <c r="H59" s="25">
        <v>572086.22</v>
      </c>
      <c r="I59" s="25">
        <v>508496.31000000011</v>
      </c>
      <c r="K59" s="87">
        <f t="shared" si="1"/>
        <v>6</v>
      </c>
    </row>
    <row r="60" spans="1:12">
      <c r="A60" s="38">
        <v>43830</v>
      </c>
      <c r="B60" s="34">
        <f t="shared" si="0"/>
        <v>4923053.5400000019</v>
      </c>
      <c r="C60" s="25">
        <v>736989.04</v>
      </c>
      <c r="D60" s="25">
        <v>438105.19000000012</v>
      </c>
      <c r="F60" s="25">
        <v>477135.41000000015</v>
      </c>
      <c r="G60" s="25">
        <v>2168320.1800000006</v>
      </c>
      <c r="H60" s="25">
        <v>583677.68999999994</v>
      </c>
      <c r="I60" s="25">
        <v>518826.0300000002</v>
      </c>
      <c r="K60" s="87">
        <f t="shared" si="1"/>
        <v>6</v>
      </c>
    </row>
    <row r="61" spans="1:12">
      <c r="A61" s="38">
        <v>43861</v>
      </c>
      <c r="B61" s="34">
        <f t="shared" si="0"/>
        <v>5010902.2</v>
      </c>
      <c r="C61" s="25">
        <v>750572.46000000008</v>
      </c>
      <c r="D61" s="25">
        <v>446044.89000000007</v>
      </c>
      <c r="F61" s="25">
        <v>485827.72999999992</v>
      </c>
      <c r="G61" s="25">
        <v>2206684.48</v>
      </c>
      <c r="H61" s="25">
        <v>593912.6</v>
      </c>
      <c r="I61" s="25">
        <v>527860.03999999992</v>
      </c>
      <c r="K61" s="87">
        <f t="shared" si="1"/>
        <v>6</v>
      </c>
    </row>
    <row r="62" spans="1:12">
      <c r="A62" s="38">
        <v>43890</v>
      </c>
      <c r="B62" s="34">
        <f t="shared" si="0"/>
        <v>4797910.3999999994</v>
      </c>
      <c r="C62" s="25">
        <v>690587.87000000011</v>
      </c>
      <c r="D62" s="25">
        <v>706116.83</v>
      </c>
      <c r="F62" s="25">
        <v>447539.78999999992</v>
      </c>
      <c r="G62" s="25">
        <v>2032871.9999999995</v>
      </c>
      <c r="H62" s="25">
        <v>546979.24999999977</v>
      </c>
      <c r="I62" s="25">
        <v>373814.66</v>
      </c>
      <c r="K62" s="87">
        <f t="shared" si="1"/>
        <v>6</v>
      </c>
      <c r="L62" t="s">
        <v>122</v>
      </c>
    </row>
    <row r="63" spans="1:12">
      <c r="A63" s="38">
        <v>43921</v>
      </c>
      <c r="B63" s="34">
        <f t="shared" si="0"/>
        <v>4247229.3100000005</v>
      </c>
      <c r="C63" s="25">
        <v>611069.72999999986</v>
      </c>
      <c r="D63" s="25">
        <v>621999.49</v>
      </c>
      <c r="F63" s="25">
        <v>396895.26</v>
      </c>
      <c r="G63" s="25">
        <v>1801140.7200000002</v>
      </c>
      <c r="H63" s="25">
        <v>484711.34000000008</v>
      </c>
      <c r="I63" s="25">
        <v>331412.77000000008</v>
      </c>
      <c r="K63" s="87">
        <f t="shared" si="1"/>
        <v>6</v>
      </c>
    </row>
    <row r="64" spans="1:12">
      <c r="A64" s="38">
        <v>43951</v>
      </c>
      <c r="B64" s="34">
        <f t="shared" si="0"/>
        <v>5856700.54</v>
      </c>
      <c r="C64" s="25">
        <v>1914003.5999999996</v>
      </c>
      <c r="D64" s="25">
        <v>674233.78999999992</v>
      </c>
      <c r="F64" s="25">
        <v>430844.01000000018</v>
      </c>
      <c r="G64" s="25">
        <v>1951777.57</v>
      </c>
      <c r="H64" s="25">
        <v>526239.74000000011</v>
      </c>
      <c r="I64" s="25">
        <v>359601.82999999996</v>
      </c>
      <c r="K64" s="87">
        <f t="shared" si="1"/>
        <v>6</v>
      </c>
    </row>
    <row r="65" spans="1:12">
      <c r="A65" s="38">
        <v>43982</v>
      </c>
      <c r="B65" s="34">
        <f t="shared" si="0"/>
        <v>6184182.9499999993</v>
      </c>
      <c r="C65" s="25">
        <v>2020452.7000000002</v>
      </c>
      <c r="D65" s="25">
        <v>712344.88</v>
      </c>
      <c r="F65" s="25">
        <v>454738.87000000017</v>
      </c>
      <c r="G65" s="25">
        <v>2061750.6699999995</v>
      </c>
      <c r="H65" s="25">
        <v>555335.32000000007</v>
      </c>
      <c r="I65" s="25">
        <v>379560.50999999995</v>
      </c>
      <c r="K65" s="87">
        <f t="shared" si="1"/>
        <v>6</v>
      </c>
    </row>
    <row r="66" spans="1:12">
      <c r="A66" s="38">
        <v>44012</v>
      </c>
      <c r="B66" s="34">
        <f t="shared" si="0"/>
        <v>6219191.8899999987</v>
      </c>
      <c r="C66" s="25">
        <v>2029919.4199999997</v>
      </c>
      <c r="D66" s="25">
        <v>716606.32</v>
      </c>
      <c r="F66" s="25">
        <v>457436.98000000021</v>
      </c>
      <c r="G66" s="25">
        <v>2074434.4599999993</v>
      </c>
      <c r="H66" s="25">
        <v>558813.7300000001</v>
      </c>
      <c r="I66" s="25">
        <v>381980.97999999992</v>
      </c>
      <c r="K66" s="87">
        <f t="shared" si="1"/>
        <v>6</v>
      </c>
    </row>
    <row r="67" spans="1:12">
      <c r="A67" s="38">
        <v>44043</v>
      </c>
      <c r="B67" s="34">
        <f t="shared" ref="B67:B108" si="2">SUM(C67:J67)</f>
        <v>6594685.4500000002</v>
      </c>
      <c r="C67" s="25">
        <v>2154625.86</v>
      </c>
      <c r="D67" s="25">
        <v>759521.06000000017</v>
      </c>
      <c r="F67" s="25">
        <v>484890.3899999999</v>
      </c>
      <c r="G67" s="25">
        <v>2198319.7000000002</v>
      </c>
      <c r="H67" s="25">
        <v>592566.78</v>
      </c>
      <c r="I67" s="25">
        <v>404761.66000000009</v>
      </c>
      <c r="K67" s="87">
        <f t="shared" ref="K67:K101" si="3">COUNT(C67:J67)</f>
        <v>6</v>
      </c>
    </row>
    <row r="68" spans="1:12">
      <c r="A68" s="38">
        <v>44074</v>
      </c>
      <c r="B68" s="34">
        <f t="shared" si="2"/>
        <v>6892859.7949999999</v>
      </c>
      <c r="C68" s="25">
        <v>2250737.7499999995</v>
      </c>
      <c r="D68" s="25">
        <v>794181.76</v>
      </c>
      <c r="F68" s="25">
        <v>506847.36</v>
      </c>
      <c r="G68" s="25">
        <v>2298345.1399999997</v>
      </c>
      <c r="H68" s="25">
        <v>619536.70999999985</v>
      </c>
      <c r="I68" s="25">
        <v>423211.07500000001</v>
      </c>
      <c r="K68" s="87">
        <f t="shared" si="3"/>
        <v>6</v>
      </c>
    </row>
    <row r="69" spans="1:12">
      <c r="A69" s="38">
        <v>44104</v>
      </c>
      <c r="B69" s="34">
        <f t="shared" si="2"/>
        <v>6717103.3599999975</v>
      </c>
      <c r="C69" s="25">
        <v>2192112.8599999989</v>
      </c>
      <c r="D69" s="25">
        <v>774214.29999999981</v>
      </c>
      <c r="F69" s="25">
        <v>493848.43999999989</v>
      </c>
      <c r="G69" s="25">
        <v>2240363.1999999993</v>
      </c>
      <c r="H69" s="25">
        <v>603853.17999999993</v>
      </c>
      <c r="I69" s="25">
        <v>412711.37999999995</v>
      </c>
      <c r="K69" s="87">
        <f t="shared" si="3"/>
        <v>6</v>
      </c>
    </row>
    <row r="70" spans="1:12">
      <c r="A70" s="38">
        <v>44135</v>
      </c>
      <c r="B70" s="34">
        <f t="shared" si="2"/>
        <v>6427175.7599999979</v>
      </c>
      <c r="C70" s="25">
        <v>2146702.7399999998</v>
      </c>
      <c r="D70" s="25">
        <v>757378.77</v>
      </c>
      <c r="F70" s="25">
        <v>483211.58000000019</v>
      </c>
      <c r="G70" s="25">
        <v>2189786.1599999988</v>
      </c>
      <c r="H70" s="25">
        <v>590280.41999999993</v>
      </c>
      <c r="I70" s="25">
        <v>259816.08999999994</v>
      </c>
      <c r="K70" s="87">
        <f t="shared" si="3"/>
        <v>6</v>
      </c>
      <c r="L70" t="s">
        <v>131</v>
      </c>
    </row>
    <row r="71" spans="1:12">
      <c r="A71" s="38">
        <v>44165</v>
      </c>
      <c r="B71" s="34">
        <f t="shared" si="2"/>
        <v>6878108.7400000012</v>
      </c>
      <c r="C71" s="25">
        <v>2296390.9499999997</v>
      </c>
      <c r="D71" s="25">
        <v>810656.6100000001</v>
      </c>
      <c r="F71" s="25">
        <v>517295.95999999979</v>
      </c>
      <c r="G71" s="25">
        <v>2343634.3200000012</v>
      </c>
      <c r="H71" s="25">
        <v>631849.10000000021</v>
      </c>
      <c r="I71" s="25">
        <v>278281.8</v>
      </c>
      <c r="K71" s="87">
        <f t="shared" si="3"/>
        <v>6</v>
      </c>
    </row>
    <row r="72" spans="1:12">
      <c r="A72" s="38">
        <v>44196</v>
      </c>
      <c r="B72" s="34">
        <f t="shared" si="2"/>
        <v>7137589.0799999982</v>
      </c>
      <c r="C72" s="25">
        <v>2380760.4099999992</v>
      </c>
      <c r="D72" s="25">
        <v>841597.49</v>
      </c>
      <c r="F72" s="25">
        <v>537258.02</v>
      </c>
      <c r="G72" s="25">
        <v>2433028.0999999992</v>
      </c>
      <c r="H72" s="25">
        <v>655993.66999999993</v>
      </c>
      <c r="I72" s="25">
        <v>288951.39</v>
      </c>
      <c r="K72" s="87">
        <f t="shared" si="3"/>
        <v>6</v>
      </c>
    </row>
    <row r="73" spans="1:12">
      <c r="A73" s="38">
        <v>44227</v>
      </c>
      <c r="B73" s="34">
        <f t="shared" si="2"/>
        <v>6622220.5499999998</v>
      </c>
      <c r="C73" s="25">
        <v>2304074.4000000008</v>
      </c>
      <c r="D73" s="25">
        <v>813820.4</v>
      </c>
      <c r="F73" s="25">
        <v>519301.02</v>
      </c>
      <c r="G73" s="25">
        <v>2351288.3599999994</v>
      </c>
      <c r="H73" s="25">
        <v>633736.36999999988</v>
      </c>
      <c r="I73" s="25"/>
      <c r="K73" s="87">
        <f t="shared" si="3"/>
        <v>5</v>
      </c>
      <c r="L73" t="s">
        <v>134</v>
      </c>
    </row>
    <row r="74" spans="1:12">
      <c r="A74" s="38">
        <v>44255</v>
      </c>
      <c r="B74" s="34">
        <f t="shared" si="2"/>
        <v>6682539.0499999989</v>
      </c>
      <c r="C74" s="25">
        <v>2306388.17</v>
      </c>
      <c r="D74" s="25">
        <v>815384.57000000041</v>
      </c>
      <c r="F74" s="25">
        <v>570041.03000000026</v>
      </c>
      <c r="G74" s="25">
        <v>2355712.7599999993</v>
      </c>
      <c r="H74" s="25">
        <v>635012.5199999999</v>
      </c>
      <c r="I74" s="25"/>
      <c r="K74" s="87">
        <f t="shared" si="3"/>
        <v>5</v>
      </c>
    </row>
    <row r="75" spans="1:12">
      <c r="A75" s="38">
        <v>44286</v>
      </c>
      <c r="B75" s="34">
        <f t="shared" si="2"/>
        <v>6841327.8699999992</v>
      </c>
      <c r="C75" s="25">
        <v>2360000.1600000006</v>
      </c>
      <c r="D75" s="25">
        <v>835005.33999999973</v>
      </c>
      <c r="F75" s="25">
        <v>583875.33000000007</v>
      </c>
      <c r="G75" s="25">
        <v>2412154.1199999992</v>
      </c>
      <c r="H75" s="25">
        <v>650292.92000000004</v>
      </c>
      <c r="I75" s="25"/>
      <c r="K75" s="87">
        <f t="shared" si="3"/>
        <v>5</v>
      </c>
    </row>
    <row r="76" spans="1:12">
      <c r="A76" s="38">
        <v>44316</v>
      </c>
      <c r="B76" s="34">
        <f t="shared" si="2"/>
        <v>7167241.5700000012</v>
      </c>
      <c r="C76" s="25">
        <v>2472256.86</v>
      </c>
      <c r="D76" s="25">
        <v>875271.72</v>
      </c>
      <c r="F76" s="25">
        <v>611954.75000000012</v>
      </c>
      <c r="G76" s="25">
        <v>2526624.2000000011</v>
      </c>
      <c r="H76" s="25">
        <v>681134.04000000039</v>
      </c>
      <c r="I76" s="25"/>
      <c r="K76" s="87">
        <f t="shared" si="3"/>
        <v>5</v>
      </c>
    </row>
    <row r="77" spans="1:12">
      <c r="A77" s="38">
        <v>44347</v>
      </c>
      <c r="B77" s="34">
        <f t="shared" si="2"/>
        <v>6190663.4500000002</v>
      </c>
      <c r="C77" s="25">
        <v>2474849.14</v>
      </c>
      <c r="D77" s="25">
        <v>876515.69000000053</v>
      </c>
      <c r="F77" s="25">
        <v>308245.96000000014</v>
      </c>
      <c r="G77" s="25">
        <v>2531052.6599999997</v>
      </c>
      <c r="H77" s="25"/>
      <c r="I77" s="25"/>
      <c r="K77" s="87">
        <f t="shared" si="3"/>
        <v>4</v>
      </c>
      <c r="L77" t="s">
        <v>139</v>
      </c>
    </row>
    <row r="78" spans="1:12">
      <c r="A78" s="38">
        <v>44377</v>
      </c>
      <c r="B78" s="34">
        <f t="shared" si="2"/>
        <v>6395202.419999999</v>
      </c>
      <c r="C78" s="25">
        <v>2554967.5199999982</v>
      </c>
      <c r="D78" s="25">
        <v>905797.04999999981</v>
      </c>
      <c r="F78" s="25">
        <v>318621.31999999995</v>
      </c>
      <c r="G78" s="25">
        <v>2615816.5300000012</v>
      </c>
      <c r="I78" s="25"/>
      <c r="K78" s="87">
        <f t="shared" si="3"/>
        <v>4</v>
      </c>
    </row>
    <row r="79" spans="1:12">
      <c r="A79" s="38">
        <v>44408</v>
      </c>
      <c r="B79" s="34">
        <f t="shared" si="2"/>
        <v>6564663.9199999999</v>
      </c>
      <c r="C79" s="25">
        <v>2628184.0300000003</v>
      </c>
      <c r="D79" s="25">
        <v>929230.71000000008</v>
      </c>
      <c r="F79" s="25">
        <v>326247.75000000017</v>
      </c>
      <c r="G79" s="25">
        <v>2681001.4299999997</v>
      </c>
      <c r="K79" s="87">
        <f t="shared" si="3"/>
        <v>4</v>
      </c>
    </row>
    <row r="80" spans="1:12">
      <c r="A80" s="38">
        <v>44439</v>
      </c>
      <c r="B80" s="34">
        <f t="shared" si="2"/>
        <v>6706000.6800000016</v>
      </c>
      <c r="C80" s="25">
        <v>2684193.1400000011</v>
      </c>
      <c r="D80" s="25">
        <v>949387.22000000009</v>
      </c>
      <c r="F80" s="25">
        <v>333307.26000000007</v>
      </c>
      <c r="G80" s="25">
        <v>2739113.0599999996</v>
      </c>
      <c r="K80" s="87">
        <f t="shared" si="3"/>
        <v>4</v>
      </c>
    </row>
    <row r="81" spans="1:12">
      <c r="A81" s="38">
        <v>44469</v>
      </c>
      <c r="B81" s="34">
        <f t="shared" si="2"/>
        <v>6321313.9699999979</v>
      </c>
      <c r="C81" s="25">
        <v>2527728.5699999989</v>
      </c>
      <c r="D81" s="25">
        <v>895380.47999999986</v>
      </c>
      <c r="F81" s="25">
        <v>314590.84999999998</v>
      </c>
      <c r="G81" s="25">
        <v>2583614.0699999989</v>
      </c>
      <c r="K81" s="87">
        <f t="shared" si="3"/>
        <v>4</v>
      </c>
    </row>
    <row r="82" spans="1:12">
      <c r="A82" s="38">
        <v>44500</v>
      </c>
      <c r="B82" s="34">
        <f t="shared" si="2"/>
        <v>6831381.0700000022</v>
      </c>
      <c r="C82" s="25">
        <v>2734210.370000001</v>
      </c>
      <c r="D82" s="25">
        <v>967430.75000000012</v>
      </c>
      <c r="F82" s="25">
        <v>339879.10000000009</v>
      </c>
      <c r="G82" s="25">
        <v>2789860.8500000006</v>
      </c>
      <c r="K82" s="87">
        <f t="shared" si="3"/>
        <v>4</v>
      </c>
    </row>
    <row r="83" spans="1:12">
      <c r="A83" s="38">
        <v>44530</v>
      </c>
      <c r="B83" s="34">
        <f t="shared" si="2"/>
        <v>6714405.540000001</v>
      </c>
      <c r="C83" s="25">
        <v>2686678.4299999997</v>
      </c>
      <c r="D83" s="25">
        <v>951045.54</v>
      </c>
      <c r="F83" s="25">
        <v>334014.24999999988</v>
      </c>
      <c r="G83" s="25">
        <v>2742667.3200000008</v>
      </c>
      <c r="K83" s="87">
        <f t="shared" si="3"/>
        <v>4</v>
      </c>
    </row>
    <row r="84" spans="1:12">
      <c r="A84" s="38">
        <v>44561</v>
      </c>
      <c r="B84" s="34">
        <f t="shared" si="2"/>
        <v>6981466.7700000014</v>
      </c>
      <c r="C84" s="25">
        <v>2790800.3400000008</v>
      </c>
      <c r="D84" s="25">
        <v>989444.2899999998</v>
      </c>
      <c r="F84" s="25">
        <v>347428.78</v>
      </c>
      <c r="G84" s="25">
        <v>2853793.3600000003</v>
      </c>
      <c r="K84" s="87">
        <f t="shared" si="3"/>
        <v>4</v>
      </c>
    </row>
    <row r="85" spans="1:12">
      <c r="A85" s="38">
        <v>44592</v>
      </c>
      <c r="B85" s="34">
        <f t="shared" si="2"/>
        <v>6472771.4100000001</v>
      </c>
      <c r="C85" s="25">
        <v>2590174.4400000004</v>
      </c>
      <c r="D85" s="25">
        <v>916904.85</v>
      </c>
      <c r="F85" s="25">
        <v>322039.20999999996</v>
      </c>
      <c r="G85" s="25">
        <v>2643652.9099999992</v>
      </c>
      <c r="K85" s="87">
        <f t="shared" si="3"/>
        <v>4</v>
      </c>
    </row>
    <row r="86" spans="1:12">
      <c r="A86" s="38">
        <v>44620</v>
      </c>
      <c r="B86" s="34">
        <f t="shared" si="2"/>
        <v>6184094.8100000005</v>
      </c>
      <c r="C86" s="25">
        <v>2473460.34</v>
      </c>
      <c r="D86" s="25">
        <v>876282.92</v>
      </c>
      <c r="F86" s="25">
        <v>308102.72000000009</v>
      </c>
      <c r="G86" s="25">
        <v>2526248.83</v>
      </c>
      <c r="K86" s="87">
        <f t="shared" si="3"/>
        <v>4</v>
      </c>
    </row>
    <row r="87" spans="1:12">
      <c r="A87" s="38">
        <v>44651</v>
      </c>
      <c r="B87" s="34">
        <f t="shared" si="2"/>
        <v>6486926.6300000008</v>
      </c>
      <c r="C87" s="25">
        <v>2591011.0099999998</v>
      </c>
      <c r="D87" s="25">
        <v>919909.50000000012</v>
      </c>
      <c r="F87" s="25">
        <v>323499.49</v>
      </c>
      <c r="G87" s="25">
        <v>2652506.6300000008</v>
      </c>
      <c r="K87" s="87">
        <f t="shared" si="3"/>
        <v>4</v>
      </c>
    </row>
    <row r="88" spans="1:12">
      <c r="A88" s="38">
        <v>44681</v>
      </c>
      <c r="B88" s="34">
        <f t="shared" si="2"/>
        <v>6245256.1200000001</v>
      </c>
      <c r="C88" s="25">
        <v>2496409.44</v>
      </c>
      <c r="D88" s="25">
        <v>885438.56</v>
      </c>
      <c r="F88" s="25">
        <v>311312.10000000003</v>
      </c>
      <c r="G88" s="25">
        <v>2552096.02</v>
      </c>
      <c r="K88" s="87">
        <f t="shared" si="3"/>
        <v>4</v>
      </c>
    </row>
    <row r="89" spans="1:12">
      <c r="A89" s="38">
        <v>44712</v>
      </c>
      <c r="B89" s="34">
        <f t="shared" si="2"/>
        <v>6263485.3600000013</v>
      </c>
      <c r="C89" s="25">
        <v>2501944.2300000009</v>
      </c>
      <c r="D89" s="25">
        <v>888483.82999999984</v>
      </c>
      <c r="F89" s="25">
        <v>312377.14999999997</v>
      </c>
      <c r="G89" s="25">
        <v>2560680.1500000004</v>
      </c>
      <c r="K89" s="87">
        <f t="shared" si="3"/>
        <v>4</v>
      </c>
    </row>
    <row r="90" spans="1:12">
      <c r="A90" s="38">
        <v>44742</v>
      </c>
      <c r="B90" s="34">
        <f t="shared" si="2"/>
        <v>5852356.120000001</v>
      </c>
      <c r="C90" s="25">
        <v>2333412.5700000003</v>
      </c>
      <c r="D90" s="25">
        <v>831405.23999999987</v>
      </c>
      <c r="F90" s="25">
        <v>292089.99999999994</v>
      </c>
      <c r="G90" s="25">
        <v>2395448.310000001</v>
      </c>
      <c r="K90" s="87">
        <f t="shared" si="3"/>
        <v>4</v>
      </c>
    </row>
    <row r="91" spans="1:12">
      <c r="A91" s="38">
        <v>44773</v>
      </c>
      <c r="B91" s="34">
        <f t="shared" si="2"/>
        <v>6094781.5</v>
      </c>
      <c r="C91" s="25">
        <v>2427754.67</v>
      </c>
      <c r="D91" s="25">
        <v>866742.73000000033</v>
      </c>
      <c r="F91" s="25">
        <v>304443.55000000005</v>
      </c>
      <c r="G91" s="25">
        <v>2495840.5499999993</v>
      </c>
      <c r="K91" s="87">
        <f t="shared" si="3"/>
        <v>4</v>
      </c>
    </row>
    <row r="92" spans="1:12">
      <c r="A92" s="38">
        <v>44804</v>
      </c>
      <c r="B92" s="34">
        <f t="shared" si="2"/>
        <v>3506840.209999999</v>
      </c>
      <c r="C92" s="25">
        <v>2364322.9099999988</v>
      </c>
      <c r="D92" s="25">
        <v>845490.74999999988</v>
      </c>
      <c r="F92" s="25">
        <v>297026.55000000005</v>
      </c>
      <c r="G92" s="25"/>
      <c r="K92" s="87">
        <f t="shared" si="3"/>
        <v>3</v>
      </c>
      <c r="L92" t="s">
        <v>154</v>
      </c>
    </row>
    <row r="93" spans="1:12">
      <c r="A93" s="38">
        <v>44834</v>
      </c>
      <c r="B93" s="34">
        <f t="shared" si="2"/>
        <v>3235324.0000000009</v>
      </c>
      <c r="C93" s="25">
        <v>2178604.3900000006</v>
      </c>
      <c r="D93" s="25">
        <v>782075.68</v>
      </c>
      <c r="F93" s="25">
        <v>274643.93000000005</v>
      </c>
      <c r="G93" s="189"/>
      <c r="K93" s="87">
        <f t="shared" si="3"/>
        <v>3</v>
      </c>
    </row>
    <row r="94" spans="1:12">
      <c r="A94" s="38">
        <v>44865</v>
      </c>
      <c r="B94" s="34">
        <f t="shared" si="2"/>
        <v>3562916.0500000003</v>
      </c>
      <c r="C94" s="25">
        <v>2397383.14</v>
      </c>
      <c r="D94" s="25">
        <v>862587.18000000028</v>
      </c>
      <c r="F94" s="25">
        <v>302945.72999999986</v>
      </c>
      <c r="G94" s="25"/>
      <c r="K94" s="87">
        <f t="shared" si="3"/>
        <v>3</v>
      </c>
    </row>
    <row r="95" spans="1:12">
      <c r="A95" s="38">
        <v>44895</v>
      </c>
      <c r="B95" s="34">
        <f t="shared" si="2"/>
        <v>3731460.799999998</v>
      </c>
      <c r="C95" s="25">
        <v>2509993.9299999983</v>
      </c>
      <c r="D95" s="25">
        <v>903934.03999999969</v>
      </c>
      <c r="F95" s="25">
        <v>317532.82999999996</v>
      </c>
      <c r="G95" s="25"/>
      <c r="K95" s="87">
        <f t="shared" si="3"/>
        <v>3</v>
      </c>
    </row>
    <row r="96" spans="1:12">
      <c r="A96" s="38">
        <v>44926</v>
      </c>
      <c r="B96" s="34">
        <f t="shared" si="2"/>
        <v>3585290.68</v>
      </c>
      <c r="C96" s="25">
        <v>2409338.98</v>
      </c>
      <c r="D96" s="25">
        <v>870149.22</v>
      </c>
      <c r="F96" s="25">
        <v>305802.48</v>
      </c>
      <c r="G96" s="25"/>
      <c r="K96" s="87">
        <f t="shared" si="3"/>
        <v>3</v>
      </c>
    </row>
    <row r="97" spans="1:12">
      <c r="A97" s="38">
        <v>44957</v>
      </c>
      <c r="B97" s="34">
        <f t="shared" si="2"/>
        <v>3675327.3800000008</v>
      </c>
      <c r="C97" s="25">
        <v>2467735.3600000008</v>
      </c>
      <c r="D97" s="25">
        <v>893595.08000000019</v>
      </c>
      <c r="E97" s="25">
        <v>313996.94</v>
      </c>
      <c r="F97" s="25"/>
      <c r="G97" s="25"/>
      <c r="K97" s="87">
        <f t="shared" si="3"/>
        <v>3</v>
      </c>
      <c r="L97" t="s">
        <v>160</v>
      </c>
    </row>
    <row r="98" spans="1:12">
      <c r="A98" s="38">
        <v>44985</v>
      </c>
      <c r="B98" s="34">
        <f t="shared" si="2"/>
        <v>3568442.6999999997</v>
      </c>
      <c r="C98" s="25">
        <v>2395249.36</v>
      </c>
      <c r="D98" s="25">
        <v>868197.52999999991</v>
      </c>
      <c r="E98" s="25">
        <v>304995.80999999994</v>
      </c>
      <c r="F98" s="25"/>
      <c r="G98" s="25"/>
      <c r="K98" s="87">
        <f t="shared" si="3"/>
        <v>3</v>
      </c>
    </row>
    <row r="99" spans="1:12">
      <c r="A99" s="38">
        <v>45016</v>
      </c>
      <c r="B99" s="34">
        <f t="shared" si="2"/>
        <v>3609271.870000001</v>
      </c>
      <c r="C99" s="25">
        <v>2420671.9400000009</v>
      </c>
      <c r="D99" s="25">
        <v>879544.79000000027</v>
      </c>
      <c r="E99" s="25">
        <v>309055.1399999999</v>
      </c>
      <c r="F99" s="25"/>
      <c r="G99" s="25"/>
      <c r="K99" s="87">
        <f t="shared" si="3"/>
        <v>3</v>
      </c>
    </row>
    <row r="100" spans="1:12">
      <c r="A100" s="38">
        <v>45046</v>
      </c>
      <c r="B100" s="34">
        <f t="shared" si="2"/>
        <v>3640526.3799999994</v>
      </c>
      <c r="C100" s="25">
        <v>2438995.1799999997</v>
      </c>
      <c r="D100" s="25">
        <v>888717.61999999976</v>
      </c>
      <c r="E100" s="25">
        <v>312813.58000000007</v>
      </c>
      <c r="F100" s="25"/>
      <c r="G100" s="25"/>
      <c r="K100" s="87">
        <f t="shared" si="3"/>
        <v>3</v>
      </c>
    </row>
    <row r="101" spans="1:12">
      <c r="A101" s="38">
        <v>45077</v>
      </c>
      <c r="B101" s="34">
        <f t="shared" si="2"/>
        <v>2368034.6800000002</v>
      </c>
      <c r="C101" s="25">
        <v>2368034.6800000002</v>
      </c>
      <c r="D101" s="25"/>
      <c r="E101" s="25"/>
      <c r="F101" s="25"/>
      <c r="G101" s="25"/>
      <c r="K101" s="87">
        <f t="shared" si="3"/>
        <v>1</v>
      </c>
      <c r="L101" t="s">
        <v>166</v>
      </c>
    </row>
    <row r="102" spans="1:12">
      <c r="A102" s="38">
        <v>45107</v>
      </c>
      <c r="B102" s="34">
        <f t="shared" si="2"/>
        <v>2480517.1800000006</v>
      </c>
      <c r="C102" s="25">
        <v>2480517.1800000006</v>
      </c>
      <c r="E102" s="25"/>
      <c r="K102" s="87">
        <v>1</v>
      </c>
    </row>
    <row r="103" spans="1:12">
      <c r="A103" s="38">
        <v>45138</v>
      </c>
      <c r="B103" s="34">
        <f t="shared" si="2"/>
        <v>2516822.6399999992</v>
      </c>
      <c r="C103" s="25">
        <v>2516822.6399999992</v>
      </c>
      <c r="E103" s="25"/>
      <c r="K103" s="87">
        <v>1</v>
      </c>
    </row>
    <row r="104" spans="1:12">
      <c r="A104" s="38">
        <v>45169</v>
      </c>
      <c r="B104" s="34">
        <f t="shared" si="2"/>
        <v>2455347.6199999992</v>
      </c>
      <c r="C104" s="25">
        <v>2455347.6199999992</v>
      </c>
      <c r="E104" s="25"/>
      <c r="K104" s="87">
        <v>1</v>
      </c>
    </row>
    <row r="105" spans="1:12">
      <c r="A105" s="38">
        <v>45199</v>
      </c>
      <c r="B105" s="34">
        <f t="shared" si="2"/>
        <v>2395362.9</v>
      </c>
      <c r="C105" s="25">
        <v>2395362.9</v>
      </c>
      <c r="E105" s="25"/>
      <c r="K105" s="87">
        <v>1</v>
      </c>
    </row>
    <row r="106" spans="1:12">
      <c r="A106" s="38">
        <v>45230</v>
      </c>
      <c r="B106" s="34">
        <f t="shared" si="2"/>
        <v>2364117.5700000012</v>
      </c>
      <c r="C106" s="25">
        <v>2364117.5700000012</v>
      </c>
      <c r="E106" s="25"/>
      <c r="K106" s="87">
        <v>1</v>
      </c>
    </row>
    <row r="107" spans="1:12">
      <c r="A107" s="38">
        <v>45260</v>
      </c>
      <c r="B107" s="34">
        <f t="shared" si="2"/>
        <v>2518153.5899999994</v>
      </c>
      <c r="C107" s="25">
        <v>2518153.5899999994</v>
      </c>
      <c r="E107" s="25"/>
      <c r="K107" s="87">
        <v>1</v>
      </c>
    </row>
    <row r="108" spans="1:12">
      <c r="A108" s="38">
        <v>45291</v>
      </c>
      <c r="B108" s="34">
        <f t="shared" si="2"/>
        <v>2615636.3299999991</v>
      </c>
      <c r="C108" s="25">
        <v>2615636.3299999991</v>
      </c>
      <c r="E108" s="25"/>
      <c r="K108" s="87">
        <v>1</v>
      </c>
    </row>
    <row r="109" spans="1:12">
      <c r="A109" s="38"/>
      <c r="C109" s="25"/>
      <c r="E109" s="25"/>
      <c r="L109" t="s">
        <v>168</v>
      </c>
    </row>
    <row r="110" spans="1:12">
      <c r="C110" s="25"/>
      <c r="E110" s="25"/>
    </row>
    <row r="111" spans="1:12">
      <c r="C111" s="25"/>
      <c r="E111" s="25"/>
    </row>
    <row r="112" spans="1:12">
      <c r="C112" s="25"/>
      <c r="E112" s="25"/>
    </row>
    <row r="113" spans="3:5">
      <c r="C113" s="25"/>
      <c r="E113" s="25"/>
    </row>
    <row r="114" spans="3:5">
      <c r="E114" s="25"/>
    </row>
    <row r="115" spans="3:5">
      <c r="E115" s="25"/>
    </row>
    <row r="116" spans="3:5">
      <c r="E116" s="25"/>
    </row>
    <row r="117" spans="3:5">
      <c r="E117" s="25"/>
    </row>
    <row r="118" spans="3:5">
      <c r="E118" s="25"/>
    </row>
  </sheetData>
  <mergeCells count="1">
    <mergeCell ref="M18:N18"/>
  </mergeCells>
  <conditionalFormatting sqref="C102:C113">
    <cfRule type="expression" dxfId="6" priority="1">
      <formula>"$f34&gt;$f35"</formula>
    </cfRule>
  </conditionalFormatting>
  <conditionalFormatting sqref="C16:D101">
    <cfRule type="expression" dxfId="5" priority="3">
      <formula>"$f34&gt;$f35"</formula>
    </cfRule>
  </conditionalFormatting>
  <conditionalFormatting sqref="C1:L1 E16:G92 E93:F94">
    <cfRule type="expression" dxfId="4" priority="8">
      <formula>"$f34&gt;$f35"</formula>
    </cfRule>
  </conditionalFormatting>
  <conditionalFormatting sqref="E95:E118">
    <cfRule type="expression" dxfId="3" priority="2">
      <formula>"$f34&gt;$f35"</formula>
    </cfRule>
  </conditionalFormatting>
  <conditionalFormatting sqref="F16:F101">
    <cfRule type="expression" dxfId="2" priority="9">
      <formula>"$f34&gt;$f35"</formula>
    </cfRule>
  </conditionalFormatting>
  <conditionalFormatting sqref="H16:J43 J44:J49 H44:I73 H74:H77 F94:G101">
    <cfRule type="expression" dxfId="1" priority="159">
      <formula>"$f34&gt;$f35"</formula>
    </cfRule>
  </conditionalFormatting>
  <conditionalFormatting sqref="I75:I77 H78:I78">
    <cfRule type="expression" dxfId="0" priority="73">
      <formula>"$f34&gt;$f35"</formula>
    </cfRule>
  </conditionalFormatting>
  <pageMargins left="0.75" right="0.75" top="1" bottom="1" header="0.5" footer="0.5"/>
  <pageSetup orientation="portrait" horizontalDpi="4294967292" verticalDpi="4294967292"/>
  <ignoredErrors>
    <ignoredError sqref="B1 B102 B103:B105 B106:B108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20"/>
  <sheetViews>
    <sheetView workbookViewId="0">
      <pane xSplit="1" ySplit="1" topLeftCell="B87" activePane="bottomRight" state="frozen"/>
      <selection pane="topRight" activeCell="B1" sqref="B1"/>
      <selection pane="bottomLeft" activeCell="A2" sqref="A2"/>
      <selection pane="bottomRight" activeCell="P115" sqref="P115"/>
    </sheetView>
  </sheetViews>
  <sheetFormatPr baseColWidth="10" defaultColWidth="11" defaultRowHeight="16"/>
  <cols>
    <col min="1" max="1" width="11" style="57"/>
    <col min="2" max="2" width="14.6640625" style="25" bestFit="1" customWidth="1"/>
    <col min="3" max="3" width="15.1640625" style="25" bestFit="1" customWidth="1"/>
    <col min="4" max="4" width="15.1640625" style="25" customWidth="1"/>
    <col min="5" max="6" width="15.1640625" style="25" bestFit="1" customWidth="1"/>
    <col min="7" max="13" width="15.1640625" style="25" customWidth="1"/>
    <col min="14" max="14" width="5.33203125" bestFit="1" customWidth="1"/>
    <col min="15" max="15" width="15.1640625" style="2" bestFit="1" customWidth="1"/>
    <col min="16" max="16" width="23.5" bestFit="1" customWidth="1"/>
    <col min="17" max="17" width="14" bestFit="1" customWidth="1"/>
    <col min="18" max="18" width="22.83203125" customWidth="1"/>
    <col min="19" max="19" width="15.1640625" bestFit="1" customWidth="1"/>
    <col min="20" max="20" width="13.5" bestFit="1" customWidth="1"/>
    <col min="21" max="21" width="23.5" bestFit="1" customWidth="1"/>
    <col min="22" max="23" width="14" bestFit="1" customWidth="1"/>
    <col min="24" max="24" width="13.6640625" bestFit="1" customWidth="1"/>
  </cols>
  <sheetData>
    <row r="1" spans="1:23">
      <c r="A1" s="56" t="s">
        <v>0</v>
      </c>
      <c r="B1" s="30" t="s">
        <v>1</v>
      </c>
      <c r="C1" s="168" t="s">
        <v>6</v>
      </c>
      <c r="D1" s="168" t="s">
        <v>17</v>
      </c>
      <c r="E1" s="168" t="s">
        <v>18</v>
      </c>
      <c r="F1" s="168" t="s">
        <v>19</v>
      </c>
      <c r="G1" s="168" t="s">
        <v>56</v>
      </c>
      <c r="H1" s="168" t="s">
        <v>124</v>
      </c>
      <c r="I1" s="168" t="s">
        <v>125</v>
      </c>
      <c r="J1" s="168" t="s">
        <v>126</v>
      </c>
      <c r="K1" s="168" t="s">
        <v>135</v>
      </c>
      <c r="L1" s="168" t="s">
        <v>162</v>
      </c>
      <c r="M1" s="168" t="s">
        <v>163</v>
      </c>
      <c r="N1" s="9" t="s">
        <v>69</v>
      </c>
      <c r="O1" s="17" t="s">
        <v>167</v>
      </c>
    </row>
    <row r="2" spans="1:23">
      <c r="A2" s="56">
        <f>AUM!A12</f>
        <v>41578</v>
      </c>
      <c r="B2" s="26">
        <v>58994.8</v>
      </c>
      <c r="C2" s="26">
        <v>30375.9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15">
        <v>1</v>
      </c>
      <c r="O2" s="7">
        <f t="shared" ref="O2:O32" si="0">B2-SUM(C2:G2)</f>
        <v>28618.9</v>
      </c>
      <c r="Q2" s="1"/>
      <c r="U2" s="1"/>
      <c r="V2" s="2"/>
    </row>
    <row r="3" spans="1:23">
      <c r="A3" s="56">
        <f>AUM!A13</f>
        <v>41608</v>
      </c>
      <c r="B3" s="26">
        <v>58994.8</v>
      </c>
      <c r="C3" s="26">
        <v>30375.9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15">
        <v>1</v>
      </c>
      <c r="O3" s="7">
        <f t="shared" si="0"/>
        <v>28618.9</v>
      </c>
      <c r="Q3" s="1"/>
      <c r="V3" s="2"/>
    </row>
    <row r="4" spans="1:23">
      <c r="A4" s="56">
        <f>AUM!A14</f>
        <v>41639</v>
      </c>
      <c r="B4" s="26">
        <v>58994.8</v>
      </c>
      <c r="C4" s="26">
        <v>31389.81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15">
        <v>1</v>
      </c>
      <c r="O4" s="7">
        <f t="shared" si="0"/>
        <v>27604.99</v>
      </c>
      <c r="Q4" s="1"/>
    </row>
    <row r="5" spans="1:23">
      <c r="A5" s="56">
        <f>AUM!A15</f>
        <v>41670</v>
      </c>
      <c r="B5" s="25">
        <v>250725.52</v>
      </c>
      <c r="C5" s="25">
        <v>31233.21</v>
      </c>
      <c r="N5" s="15">
        <v>3</v>
      </c>
      <c r="O5" s="7">
        <f t="shared" si="0"/>
        <v>219492.31</v>
      </c>
      <c r="Q5" s="1"/>
    </row>
    <row r="6" spans="1:23">
      <c r="A6" s="56">
        <f>AUM!A16</f>
        <v>41698</v>
      </c>
      <c r="B6" s="25">
        <v>370487.58</v>
      </c>
      <c r="C6" s="25">
        <v>32271.78</v>
      </c>
      <c r="N6" s="15">
        <v>5</v>
      </c>
      <c r="O6" s="7">
        <f t="shared" si="0"/>
        <v>338215.80000000005</v>
      </c>
    </row>
    <row r="7" spans="1:23">
      <c r="A7" s="56">
        <f>AUM!A17</f>
        <v>41729</v>
      </c>
      <c r="B7" s="25">
        <v>403259.3</v>
      </c>
      <c r="C7" s="25">
        <v>248096.66</v>
      </c>
      <c r="N7" s="15">
        <v>5</v>
      </c>
      <c r="O7" s="7">
        <f t="shared" si="0"/>
        <v>155162.63999999998</v>
      </c>
    </row>
    <row r="8" spans="1:23">
      <c r="A8" s="56">
        <f>AUM!A18</f>
        <v>41759</v>
      </c>
      <c r="B8" s="25">
        <v>406863.31</v>
      </c>
      <c r="C8" s="25">
        <v>265225.49</v>
      </c>
      <c r="N8" s="15">
        <v>5</v>
      </c>
      <c r="O8" s="7">
        <f t="shared" si="0"/>
        <v>141637.82</v>
      </c>
    </row>
    <row r="9" spans="1:23">
      <c r="A9" s="56">
        <f>AUM!A19</f>
        <v>41790</v>
      </c>
      <c r="B9" s="25">
        <v>2650419.11</v>
      </c>
      <c r="C9" s="25">
        <v>1870519.03</v>
      </c>
      <c r="N9" s="15">
        <v>39</v>
      </c>
      <c r="O9" s="7">
        <f t="shared" si="0"/>
        <v>779900.07999999984</v>
      </c>
      <c r="P9" s="20"/>
      <c r="Q9" s="21"/>
      <c r="R9" s="19"/>
      <c r="S9" s="18"/>
      <c r="T9" s="18"/>
      <c r="U9" s="18"/>
      <c r="V9" s="18"/>
    </row>
    <row r="10" spans="1:23">
      <c r="A10" s="56">
        <f>AUM!A20</f>
        <v>41820</v>
      </c>
      <c r="B10" s="25">
        <v>2716994.7</v>
      </c>
      <c r="C10" s="25">
        <v>1911026.81</v>
      </c>
      <c r="N10" s="15">
        <v>39</v>
      </c>
      <c r="O10" s="7">
        <f t="shared" si="0"/>
        <v>805967.89000000013</v>
      </c>
      <c r="P10" s="20"/>
      <c r="Q10" s="21"/>
      <c r="R10" s="19"/>
      <c r="S10" s="18"/>
      <c r="T10" s="18"/>
      <c r="U10" s="18"/>
      <c r="V10" s="18"/>
    </row>
    <row r="11" spans="1:23">
      <c r="A11" s="56">
        <f>AUM!A21</f>
        <v>41851</v>
      </c>
      <c r="B11" s="25">
        <v>2677415.7999999998</v>
      </c>
      <c r="C11" s="25">
        <v>1912311.65</v>
      </c>
      <c r="N11" s="15">
        <v>38</v>
      </c>
      <c r="O11" s="7">
        <f t="shared" si="0"/>
        <v>765104.14999999991</v>
      </c>
      <c r="P11" s="19"/>
      <c r="Q11" s="20"/>
      <c r="R11" s="21"/>
      <c r="S11" s="19"/>
      <c r="T11" s="18"/>
      <c r="U11" s="18"/>
      <c r="V11" s="18"/>
      <c r="W11" s="18"/>
    </row>
    <row r="12" spans="1:23">
      <c r="A12" s="56">
        <f>AUM!A22</f>
        <v>41882</v>
      </c>
      <c r="B12" s="25">
        <v>2739897.91</v>
      </c>
      <c r="C12" s="25">
        <v>2016624.4</v>
      </c>
      <c r="N12" s="15">
        <v>38</v>
      </c>
      <c r="O12" s="7">
        <f t="shared" si="0"/>
        <v>723273.51000000024</v>
      </c>
      <c r="S12" s="2"/>
    </row>
    <row r="13" spans="1:23">
      <c r="A13" s="56">
        <f>AUM!A23</f>
        <v>41912</v>
      </c>
      <c r="B13" s="25">
        <v>2858078.07</v>
      </c>
      <c r="C13" s="25">
        <v>2020118.11</v>
      </c>
      <c r="N13" s="15">
        <v>42</v>
      </c>
      <c r="O13" s="7">
        <f t="shared" si="0"/>
        <v>837959.95999999973</v>
      </c>
      <c r="S13" s="2"/>
      <c r="T13" s="6"/>
    </row>
    <row r="14" spans="1:23">
      <c r="A14" s="56">
        <f>AUM!A24</f>
        <v>41943</v>
      </c>
      <c r="B14" s="25">
        <v>3285947.8393103448</v>
      </c>
      <c r="C14" s="25">
        <v>2249443.8213793105</v>
      </c>
      <c r="N14" s="15">
        <v>47</v>
      </c>
      <c r="O14" s="7">
        <f t="shared" si="0"/>
        <v>1036504.0179310343</v>
      </c>
    </row>
    <row r="15" spans="1:23">
      <c r="A15" s="56">
        <f>AUM!A25</f>
        <v>41973</v>
      </c>
      <c r="B15" s="25">
        <v>3653902.76</v>
      </c>
      <c r="C15" s="25">
        <v>2405610.56</v>
      </c>
      <c r="N15" s="15">
        <v>48</v>
      </c>
      <c r="O15" s="7">
        <f t="shared" si="0"/>
        <v>1248292.1999999997</v>
      </c>
    </row>
    <row r="16" spans="1:23">
      <c r="A16" s="56">
        <f>AUM!A26</f>
        <v>42004</v>
      </c>
      <c r="B16" s="25">
        <v>3612498.0500000007</v>
      </c>
      <c r="C16" s="27">
        <v>2388246.33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15">
        <v>50</v>
      </c>
      <c r="O16" s="7">
        <f t="shared" si="0"/>
        <v>1224251.7200000007</v>
      </c>
    </row>
    <row r="17" spans="1:16">
      <c r="A17" s="56">
        <f>AUM!A27</f>
        <v>42035</v>
      </c>
      <c r="B17" s="25">
        <v>3706518.31</v>
      </c>
      <c r="C17" s="25">
        <v>2595891.33</v>
      </c>
      <c r="N17" s="15">
        <v>50</v>
      </c>
      <c r="O17" s="7">
        <f t="shared" si="0"/>
        <v>1110626.98</v>
      </c>
    </row>
    <row r="18" spans="1:16">
      <c r="A18" s="56">
        <f>AUM!A28</f>
        <v>42063</v>
      </c>
      <c r="B18" s="25">
        <v>3762279.22</v>
      </c>
      <c r="C18" s="25">
        <v>2628983.41</v>
      </c>
      <c r="N18" s="15">
        <v>48</v>
      </c>
      <c r="O18" s="7">
        <f t="shared" si="0"/>
        <v>1133295.81</v>
      </c>
    </row>
    <row r="19" spans="1:16">
      <c r="A19" s="56">
        <f>AUM!A29</f>
        <v>42094</v>
      </c>
      <c r="B19" s="25">
        <v>3728397.97</v>
      </c>
      <c r="C19" s="25">
        <v>2581108.1800000002</v>
      </c>
      <c r="N19" s="37">
        <v>50</v>
      </c>
      <c r="O19" s="7">
        <f t="shared" si="0"/>
        <v>1147289.79</v>
      </c>
    </row>
    <row r="20" spans="1:16">
      <c r="A20" s="56">
        <f>AUM!A30</f>
        <v>42124</v>
      </c>
      <c r="B20" s="25">
        <v>3740135.11</v>
      </c>
      <c r="C20" s="25">
        <v>2600965.1800000002</v>
      </c>
      <c r="N20" s="37">
        <v>50</v>
      </c>
      <c r="O20" s="7">
        <f t="shared" si="0"/>
        <v>1139169.9299999997</v>
      </c>
    </row>
    <row r="21" spans="1:16">
      <c r="A21" s="56">
        <f>AUM!A31</f>
        <v>42155</v>
      </c>
      <c r="B21" s="25">
        <v>3766526.38</v>
      </c>
      <c r="C21" s="25">
        <v>2621529.7958999998</v>
      </c>
      <c r="N21" s="37">
        <v>50</v>
      </c>
      <c r="O21" s="7">
        <f t="shared" si="0"/>
        <v>1144996.5841000001</v>
      </c>
    </row>
    <row r="22" spans="1:16">
      <c r="A22" s="56">
        <v>42185</v>
      </c>
      <c r="B22" s="25">
        <v>3880290.86</v>
      </c>
      <c r="C22" s="25">
        <f>SILVX!H39*188810.699</f>
        <v>2611251.9671700001</v>
      </c>
      <c r="N22" s="37">
        <v>50</v>
      </c>
      <c r="O22" s="7">
        <f t="shared" si="0"/>
        <v>1269038.8928299998</v>
      </c>
    </row>
    <row r="23" spans="1:16">
      <c r="A23" s="38">
        <v>42216</v>
      </c>
      <c r="B23" s="25">
        <v>4017602.75</v>
      </c>
      <c r="C23" s="25">
        <f>SILVX!H40*188810.699</f>
        <v>2732090.8145300001</v>
      </c>
      <c r="N23" s="37">
        <v>50</v>
      </c>
      <c r="O23" s="7">
        <f t="shared" si="0"/>
        <v>1285511.9354699999</v>
      </c>
    </row>
    <row r="24" spans="1:16">
      <c r="A24" s="38">
        <v>42247</v>
      </c>
      <c r="B24" s="25">
        <v>3915140.96</v>
      </c>
      <c r="C24" s="25">
        <f>SILVX!H41*190593.137</f>
        <v>2626373.4278599997</v>
      </c>
      <c r="N24" s="37">
        <v>51</v>
      </c>
      <c r="O24" s="7">
        <f t="shared" si="0"/>
        <v>1288767.5321400003</v>
      </c>
    </row>
    <row r="25" spans="1:16">
      <c r="A25" s="39">
        <v>42277</v>
      </c>
      <c r="B25" s="25">
        <v>4099951.18</v>
      </c>
      <c r="C25" s="25">
        <f>SILVX!H42*201172.319</f>
        <v>2782213.1717699999</v>
      </c>
      <c r="N25" s="37">
        <v>51</v>
      </c>
      <c r="O25" s="7">
        <f t="shared" si="0"/>
        <v>1317738.0082300003</v>
      </c>
    </row>
    <row r="26" spans="1:16">
      <c r="A26" s="38">
        <v>42307</v>
      </c>
      <c r="B26" s="25">
        <v>4553407.22</v>
      </c>
      <c r="C26" s="25">
        <f>SILVX!H43*201172.319</f>
        <v>2943151.02697</v>
      </c>
      <c r="N26" s="37">
        <v>54</v>
      </c>
      <c r="O26" s="7">
        <f t="shared" si="0"/>
        <v>1610256.1930299997</v>
      </c>
    </row>
    <row r="27" spans="1:16">
      <c r="A27" s="38">
        <v>42338</v>
      </c>
      <c r="B27" s="25">
        <v>4742947.32</v>
      </c>
      <c r="C27" s="25">
        <f>SILVX!H44*219064.59</f>
        <v>3187389.7845000001</v>
      </c>
      <c r="N27" s="37">
        <v>56</v>
      </c>
      <c r="O27" s="7">
        <f t="shared" si="0"/>
        <v>1555557.5355000002</v>
      </c>
    </row>
    <row r="28" spans="1:16">
      <c r="A28" s="38">
        <v>42369</v>
      </c>
      <c r="B28" s="25">
        <v>4730051.37</v>
      </c>
      <c r="C28" s="25">
        <f>SILVX!H45*232642.604</f>
        <v>3159286.56232</v>
      </c>
      <c r="N28" s="37">
        <v>58</v>
      </c>
      <c r="O28" s="7">
        <f t="shared" si="0"/>
        <v>1570764.8076800001</v>
      </c>
    </row>
    <row r="29" spans="1:16">
      <c r="A29" s="38">
        <v>42398</v>
      </c>
      <c r="B29" s="25">
        <v>4887366.09</v>
      </c>
      <c r="C29" s="25">
        <f>SILVX!H46*232642.604</f>
        <v>3077861.6509199999</v>
      </c>
      <c r="N29" s="37">
        <v>58</v>
      </c>
      <c r="O29" s="7">
        <f t="shared" si="0"/>
        <v>1809504.4390799999</v>
      </c>
    </row>
    <row r="30" spans="1:16">
      <c r="A30" s="38">
        <v>42429</v>
      </c>
      <c r="B30" s="25">
        <v>5204697.78</v>
      </c>
      <c r="C30" s="25">
        <f>SILVX!H47*271180.005</f>
        <v>3658218.2674500002</v>
      </c>
      <c r="N30" s="37">
        <v>54</v>
      </c>
      <c r="O30" s="7">
        <f t="shared" si="0"/>
        <v>1546479.5125500001</v>
      </c>
    </row>
    <row r="31" spans="1:16">
      <c r="A31" s="38">
        <v>42460</v>
      </c>
      <c r="B31" s="2">
        <v>5512175.8799999999</v>
      </c>
      <c r="C31" s="25">
        <f>SILVX!H48*271180.005</f>
        <v>3877874.0715000001</v>
      </c>
      <c r="N31" s="37">
        <v>54</v>
      </c>
      <c r="O31" s="7">
        <f t="shared" si="0"/>
        <v>1634301.8084999998</v>
      </c>
      <c r="P31" s="2"/>
    </row>
    <row r="32" spans="1:16">
      <c r="A32" s="56">
        <v>42489</v>
      </c>
      <c r="B32" s="25">
        <v>5454185.9400000004</v>
      </c>
      <c r="C32" s="25">
        <f>SILVX!H49*274026.704</f>
        <v>3863776.5264000003</v>
      </c>
      <c r="N32" s="15">
        <v>54</v>
      </c>
      <c r="O32" s="7">
        <f t="shared" si="0"/>
        <v>1590409.4136000001</v>
      </c>
    </row>
    <row r="33" spans="1:15">
      <c r="A33" s="56">
        <v>42521</v>
      </c>
      <c r="B33" s="25">
        <v>5557360.1399999997</v>
      </c>
      <c r="C33" s="25">
        <f>273471.651*14.37</f>
        <v>3929787.6248699999</v>
      </c>
      <c r="E33" s="25">
        <f>14743.407*10.31</f>
        <v>152004.52617</v>
      </c>
      <c r="F33" s="25">
        <f>15496.031*10.32</f>
        <v>159919.03992000001</v>
      </c>
      <c r="N33" s="15">
        <v>56</v>
      </c>
      <c r="O33" s="7">
        <f t="shared" ref="O33:O53" si="1">B33-SUM(C33:G33)</f>
        <v>1315648.9490399994</v>
      </c>
    </row>
    <row r="34" spans="1:15">
      <c r="A34" s="56">
        <v>42551</v>
      </c>
      <c r="B34" s="25">
        <v>5837972.6399999997</v>
      </c>
      <c r="C34" s="25">
        <f>278982.444*14.75</f>
        <v>4114991.0490000001</v>
      </c>
      <c r="E34" s="25">
        <f>20105.843*10.53</f>
        <v>211714.52679</v>
      </c>
      <c r="F34" s="25">
        <f>15593.387*10.54</f>
        <v>164354.29897999999</v>
      </c>
      <c r="N34" s="15">
        <v>55</v>
      </c>
      <c r="O34" s="7">
        <f t="shared" si="1"/>
        <v>1346912.7652299991</v>
      </c>
    </row>
    <row r="35" spans="1:15">
      <c r="A35" s="56">
        <v>42582</v>
      </c>
      <c r="B35" s="25">
        <v>5945706.5499999998</v>
      </c>
      <c r="C35" s="25">
        <f>279663.928*14.96</f>
        <v>4183772.3628800004</v>
      </c>
      <c r="E35" s="25">
        <f>21573.78*10.82</f>
        <v>233428.2996</v>
      </c>
      <c r="F35" s="25">
        <f>15593.387*10.82</f>
        <v>168720.44734000001</v>
      </c>
      <c r="N35" s="15">
        <v>55</v>
      </c>
      <c r="O35" s="7">
        <f t="shared" si="1"/>
        <v>1359785.440179999</v>
      </c>
    </row>
    <row r="36" spans="1:15">
      <c r="A36" s="56">
        <v>42613</v>
      </c>
      <c r="B36" s="25">
        <v>5844045.1200000001</v>
      </c>
      <c r="C36" s="25">
        <f>275294.234*14.69</f>
        <v>4044072.29746</v>
      </c>
      <c r="E36" s="25">
        <f>21573.78*10.83</f>
        <v>233644.0374</v>
      </c>
      <c r="F36" s="25">
        <f>15593.387*10.83</f>
        <v>168876.38121000002</v>
      </c>
      <c r="N36" s="15">
        <v>55</v>
      </c>
      <c r="O36" s="7">
        <f t="shared" si="1"/>
        <v>1397452.40393</v>
      </c>
    </row>
    <row r="37" spans="1:15">
      <c r="A37" s="56">
        <v>42643</v>
      </c>
      <c r="B37" s="25">
        <v>5713663.3300000001</v>
      </c>
      <c r="C37" s="25">
        <f>276478.73*SILVX!H54</f>
        <v>4006176.7977</v>
      </c>
      <c r="E37" s="25">
        <f>21573.78*10.86</f>
        <v>234291.25079999998</v>
      </c>
      <c r="F37" s="25">
        <f>16041.285*10.86</f>
        <v>174208.35509999999</v>
      </c>
      <c r="N37" s="15">
        <v>56</v>
      </c>
      <c r="O37" s="7">
        <f t="shared" si="1"/>
        <v>1298986.9264000002</v>
      </c>
    </row>
    <row r="38" spans="1:15">
      <c r="A38" s="56">
        <v>42674</v>
      </c>
      <c r="B38" s="25">
        <v>5713664.3300000001</v>
      </c>
      <c r="C38" s="25">
        <f>276478.73*SILVX!H55</f>
        <v>3914938.8167999997</v>
      </c>
      <c r="E38" s="25">
        <f>21573.78*10.86</f>
        <v>234291.25079999998</v>
      </c>
      <c r="F38" s="25">
        <f>16041.285*10.86</f>
        <v>174208.35509999999</v>
      </c>
      <c r="N38" s="15">
        <v>56</v>
      </c>
      <c r="O38" s="7">
        <f t="shared" si="1"/>
        <v>1390225.9073000001</v>
      </c>
    </row>
    <row r="39" spans="1:15">
      <c r="A39" s="56">
        <v>42704</v>
      </c>
      <c r="B39" s="25">
        <v>5557529.2599999998</v>
      </c>
      <c r="C39" s="25">
        <f>260025.783*SILVX!H56</f>
        <v>3785975.4004799998</v>
      </c>
      <c r="E39" s="25">
        <f>23466.308*11.64</f>
        <v>273147.82512000005</v>
      </c>
      <c r="F39" s="25">
        <f>15554.123*11.64</f>
        <v>181049.99171999999</v>
      </c>
      <c r="N39" s="15">
        <v>56</v>
      </c>
      <c r="O39" s="7">
        <f t="shared" si="1"/>
        <v>1317356.04268</v>
      </c>
    </row>
    <row r="40" spans="1:15">
      <c r="A40" s="56">
        <v>42735</v>
      </c>
      <c r="B40" s="25">
        <v>5656808.4100000001</v>
      </c>
      <c r="C40" s="25">
        <f>269857.134*SILVX!H57</f>
        <v>3885942.7296000002</v>
      </c>
      <c r="E40" s="25">
        <f>33670.285*SCLVX!H11</f>
        <v>409767.36845000007</v>
      </c>
      <c r="F40" s="25">
        <f>21844.502*12.13</f>
        <v>264973.80926000001</v>
      </c>
      <c r="N40" s="15">
        <v>55</v>
      </c>
      <c r="O40" s="7">
        <f t="shared" si="1"/>
        <v>1096124.5026900005</v>
      </c>
    </row>
    <row r="41" spans="1:15">
      <c r="A41" s="56">
        <v>42766</v>
      </c>
      <c r="B41" s="25">
        <v>5495747.71</v>
      </c>
      <c r="C41" s="25">
        <f>263603.319*SILVX!H58</f>
        <v>3801159.8599800002</v>
      </c>
      <c r="E41" s="25">
        <f>36316.518*11.64</f>
        <v>422724.26951999997</v>
      </c>
      <c r="F41" s="25">
        <f>20927.397*11.64</f>
        <v>243594.90108000001</v>
      </c>
      <c r="N41" s="15">
        <v>55</v>
      </c>
      <c r="O41" s="7">
        <f t="shared" si="1"/>
        <v>1028268.6794199999</v>
      </c>
    </row>
    <row r="42" spans="1:15">
      <c r="A42" s="56">
        <v>42794</v>
      </c>
      <c r="B42" s="25">
        <v>5749908.46</v>
      </c>
      <c r="C42" s="25">
        <f>267632.338*SILVX!H59</f>
        <v>4006456.09986</v>
      </c>
      <c r="E42" s="25">
        <f>38377.112*SCLVX!H13</f>
        <v>459757.80176</v>
      </c>
      <c r="F42" s="25">
        <f>20927.397*11.98</f>
        <v>250710.21606000001</v>
      </c>
      <c r="N42" s="15">
        <v>55</v>
      </c>
      <c r="O42" s="7">
        <f t="shared" si="1"/>
        <v>1032984.3423199998</v>
      </c>
    </row>
    <row r="43" spans="1:15">
      <c r="A43" s="56">
        <v>42825</v>
      </c>
      <c r="B43" s="25">
        <v>5763120.3226999994</v>
      </c>
      <c r="C43" s="25">
        <v>3920582.3319000001</v>
      </c>
      <c r="E43" s="25">
        <v>570592.61349999998</v>
      </c>
      <c r="F43" s="25">
        <v>261047.27519999995</v>
      </c>
      <c r="G43" s="25">
        <v>22557.337899999999</v>
      </c>
      <c r="N43" s="15">
        <v>52</v>
      </c>
      <c r="O43" s="7">
        <f t="shared" si="1"/>
        <v>988340.76420000009</v>
      </c>
    </row>
    <row r="44" spans="1:15">
      <c r="A44" s="56">
        <v>42855</v>
      </c>
      <c r="B44" s="25">
        <v>6461597.0899999999</v>
      </c>
      <c r="C44" s="25">
        <f>263672.374*15.05</f>
        <v>3968269.2287000003</v>
      </c>
      <c r="E44" s="25">
        <f>48478.605*12.52</f>
        <v>606952.13459999999</v>
      </c>
      <c r="F44" s="25">
        <f>21428.238*12.52</f>
        <v>268281.53976000001</v>
      </c>
      <c r="G44" s="25">
        <f>883.562*25.85</f>
        <v>22840.077700000002</v>
      </c>
      <c r="N44" s="15">
        <v>54</v>
      </c>
      <c r="O44" s="7">
        <f t="shared" si="1"/>
        <v>1595254.1092399992</v>
      </c>
    </row>
    <row r="45" spans="1:15">
      <c r="A45" s="56">
        <v>42886</v>
      </c>
      <c r="B45" s="25">
        <v>6489873.9199999999</v>
      </c>
      <c r="C45" s="25">
        <f>247116.77*15.15</f>
        <v>3743819.0655</v>
      </c>
      <c r="E45" s="25">
        <f>70274.83*12.31</f>
        <v>865083.15730000008</v>
      </c>
      <c r="F45" s="25">
        <f>27511.462*12.3</f>
        <v>338390.98259999999</v>
      </c>
      <c r="G45" s="25">
        <f>883.562*26.42</f>
        <v>23343.708040000001</v>
      </c>
      <c r="N45" s="15">
        <v>54</v>
      </c>
      <c r="O45" s="7">
        <f t="shared" si="1"/>
        <v>1519237.0065600006</v>
      </c>
    </row>
    <row r="46" spans="1:15">
      <c r="A46" s="56">
        <v>42916</v>
      </c>
      <c r="B46" s="25">
        <v>6402120.3700000001</v>
      </c>
      <c r="C46" s="25">
        <f>260232.117*15.16</f>
        <v>3945118.8937200001</v>
      </c>
      <c r="E46" s="25">
        <f>72233.304*12.5</f>
        <v>902916.3</v>
      </c>
      <c r="F46" s="25">
        <f>27340.987*12.49</f>
        <v>341488.92762999999</v>
      </c>
      <c r="G46" s="25">
        <f>883.562*26.27</f>
        <v>23211.173739999998</v>
      </c>
      <c r="N46" s="15">
        <v>54</v>
      </c>
      <c r="O46" s="7">
        <f t="shared" si="1"/>
        <v>1189385.0749100009</v>
      </c>
    </row>
    <row r="47" spans="1:15">
      <c r="A47" s="56">
        <v>42947</v>
      </c>
      <c r="B47" s="25">
        <v>6481400.4699999997</v>
      </c>
      <c r="C47" s="25">
        <f>260232.117*15.39</f>
        <v>4004972.2806299999</v>
      </c>
      <c r="E47" s="25">
        <f>72233.304*12.63</f>
        <v>912306.62952000007</v>
      </c>
      <c r="F47" s="25">
        <f>27260.212*12.62</f>
        <v>344023.87543999997</v>
      </c>
      <c r="G47" s="25">
        <f>883.562*26.71</f>
        <v>23599.941020000002</v>
      </c>
      <c r="N47" s="15">
        <v>54</v>
      </c>
      <c r="O47" s="7">
        <f t="shared" si="1"/>
        <v>1196497.7433900004</v>
      </c>
    </row>
    <row r="48" spans="1:15">
      <c r="A48" s="56">
        <v>42978</v>
      </c>
      <c r="B48" s="25">
        <v>6560680.5700000003</v>
      </c>
      <c r="C48" s="25">
        <v>3996881.5662199999</v>
      </c>
      <c r="E48" s="25">
        <f>72233.304*12.39</f>
        <v>894970.63656000013</v>
      </c>
      <c r="F48" s="25">
        <f>26664.974*12.38</f>
        <v>330112.37812000001</v>
      </c>
      <c r="G48" s="25">
        <f>883.562*27.21</f>
        <v>24041.722020000001</v>
      </c>
      <c r="N48" s="15">
        <v>54</v>
      </c>
      <c r="O48" s="7">
        <f t="shared" si="1"/>
        <v>1314674.2670799997</v>
      </c>
    </row>
    <row r="49" spans="1:15">
      <c r="A49" s="56">
        <v>43008</v>
      </c>
      <c r="B49" s="25">
        <v>6550252.5</v>
      </c>
      <c r="C49" s="25">
        <f>260232.117*15.39</f>
        <v>4004972.2806299999</v>
      </c>
      <c r="E49" s="25">
        <f>74186.916*13.14</f>
        <v>974816.07623999997</v>
      </c>
      <c r="F49" s="25">
        <f>26664.974*13.12</f>
        <v>349844.45887999993</v>
      </c>
      <c r="G49" s="25">
        <f>883.562*27.56</f>
        <v>24350.968720000001</v>
      </c>
      <c r="N49" s="15">
        <v>54</v>
      </c>
      <c r="O49" s="7">
        <f t="shared" si="1"/>
        <v>1196268.7155299997</v>
      </c>
    </row>
    <row r="50" spans="1:15">
      <c r="A50" s="56">
        <v>43039</v>
      </c>
      <c r="B50" s="25">
        <v>6303935.54</v>
      </c>
      <c r="C50" s="25">
        <f>248193.79*15.69</f>
        <v>3894160.5650999998</v>
      </c>
      <c r="E50" s="25">
        <f>71388.779*13.2</f>
        <v>942331.8827999999</v>
      </c>
      <c r="F50" s="25">
        <f>26664.974*13.19</f>
        <v>351711.00705999997</v>
      </c>
      <c r="G50" s="25">
        <f>883.562*27.94</f>
        <v>24686.722280000002</v>
      </c>
      <c r="N50" s="15">
        <v>54</v>
      </c>
      <c r="O50" s="7">
        <f t="shared" si="1"/>
        <v>1091045.3627599999</v>
      </c>
    </row>
    <row r="51" spans="1:15">
      <c r="A51" s="56">
        <v>43069</v>
      </c>
      <c r="B51" s="25">
        <v>6526252.8300000001</v>
      </c>
      <c r="C51" s="25">
        <f>249262.418*16.52</f>
        <v>4117815.14536</v>
      </c>
      <c r="E51" s="25">
        <f>70776.356*13.47</f>
        <v>953357.51532000001</v>
      </c>
      <c r="F51" s="25">
        <f>26533.7*13.44</f>
        <v>356612.92800000001</v>
      </c>
      <c r="G51" s="25">
        <f>883.562*28.6</f>
        <v>25269.873200000002</v>
      </c>
      <c r="N51" s="15">
        <v>54</v>
      </c>
      <c r="O51" s="7">
        <f t="shared" si="1"/>
        <v>1073197.3681199998</v>
      </c>
    </row>
    <row r="52" spans="1:15">
      <c r="A52" s="56">
        <v>43100</v>
      </c>
      <c r="B52" s="25">
        <v>6405171.6600000001</v>
      </c>
      <c r="C52" s="25">
        <f>262554.388*15.62</f>
        <v>4101099.5405599996</v>
      </c>
      <c r="E52" s="25">
        <f>77577.528*12.07</f>
        <v>936360.76296000008</v>
      </c>
      <c r="F52" s="25">
        <f>27797.634*11.95</f>
        <v>332181.72629999998</v>
      </c>
      <c r="G52" s="25">
        <f>825.832*28.82</f>
        <v>23800.47824</v>
      </c>
      <c r="N52" s="15">
        <v>54</v>
      </c>
      <c r="O52" s="7">
        <f t="shared" si="1"/>
        <v>1011729.1519400002</v>
      </c>
    </row>
    <row r="53" spans="1:15">
      <c r="A53" s="56">
        <v>43131</v>
      </c>
      <c r="B53" s="25">
        <v>6503240.7984000007</v>
      </c>
      <c r="C53" s="25">
        <v>4237725.6886999998</v>
      </c>
      <c r="D53" s="25">
        <v>65665.123500000002</v>
      </c>
      <c r="E53" s="25">
        <v>926808.96270000003</v>
      </c>
      <c r="F53" s="25">
        <v>335938.34239999991</v>
      </c>
      <c r="G53" s="25">
        <v>24750.184999999998</v>
      </c>
      <c r="N53" s="15">
        <v>53</v>
      </c>
      <c r="O53" s="7">
        <f t="shared" si="1"/>
        <v>912352.49610000197</v>
      </c>
    </row>
    <row r="54" spans="1:15">
      <c r="A54" s="56">
        <v>43159</v>
      </c>
      <c r="B54" s="25">
        <v>6356749.0615999987</v>
      </c>
      <c r="C54" s="25">
        <v>4110956.116799999</v>
      </c>
      <c r="D54" s="25">
        <v>63705.567499999997</v>
      </c>
      <c r="E54" s="25">
        <v>888542.69669999985</v>
      </c>
      <c r="F54" s="25">
        <v>321802.32289999997</v>
      </c>
      <c r="G54" s="25">
        <v>23825.253300000004</v>
      </c>
      <c r="N54" s="15">
        <v>53</v>
      </c>
      <c r="O54" s="7">
        <f t="shared" ref="O54:O87" si="2">B54-SUM(C54:G54)</f>
        <v>947917.1043999996</v>
      </c>
    </row>
    <row r="55" spans="1:15">
      <c r="A55" s="56">
        <v>43190</v>
      </c>
      <c r="B55" s="25">
        <v>6376498.9199999999</v>
      </c>
      <c r="C55" s="25">
        <v>4078586.13</v>
      </c>
      <c r="D55" s="25">
        <v>63105.71</v>
      </c>
      <c r="E55" s="25">
        <v>913813.73</v>
      </c>
      <c r="F55" s="25">
        <v>329563.27</v>
      </c>
      <c r="G55" s="25">
        <v>23726.14</v>
      </c>
      <c r="N55" s="15">
        <v>54</v>
      </c>
      <c r="O55" s="7">
        <f t="shared" si="2"/>
        <v>967703.94000000041</v>
      </c>
    </row>
    <row r="56" spans="1:15">
      <c r="A56" s="56">
        <v>43220</v>
      </c>
      <c r="B56" s="25">
        <v>6404059.561739997</v>
      </c>
      <c r="C56" s="25">
        <v>4115888.5697999997</v>
      </c>
      <c r="D56" s="25">
        <v>63945.513060000005</v>
      </c>
      <c r="E56" s="25">
        <v>925342.0861999999</v>
      </c>
      <c r="F56" s="25">
        <v>333443.75054999994</v>
      </c>
      <c r="G56" s="25">
        <v>23511.437040000001</v>
      </c>
      <c r="N56" s="15">
        <v>52</v>
      </c>
      <c r="O56" s="7">
        <f t="shared" si="2"/>
        <v>941928.2050899975</v>
      </c>
    </row>
    <row r="57" spans="1:15">
      <c r="A57" s="56">
        <v>43251</v>
      </c>
      <c r="B57" s="25">
        <v>6322620.4152399991</v>
      </c>
      <c r="C57" s="25">
        <v>4018362.9340799996</v>
      </c>
      <c r="D57" s="25">
        <v>65385.186900000001</v>
      </c>
      <c r="E57" s="25">
        <v>934706.61311999988</v>
      </c>
      <c r="F57" s="25">
        <v>325923.66707999998</v>
      </c>
      <c r="G57" s="25">
        <v>23808.736559999998</v>
      </c>
      <c r="N57" s="15">
        <v>50</v>
      </c>
      <c r="O57" s="7">
        <f t="shared" si="2"/>
        <v>954433.27749999985</v>
      </c>
    </row>
    <row r="58" spans="1:15">
      <c r="A58" s="56">
        <v>43281</v>
      </c>
      <c r="B58" s="25">
        <v>6414675.2899999991</v>
      </c>
      <c r="C58" s="25">
        <v>4112231.27</v>
      </c>
      <c r="D58" s="25">
        <v>66624.899999999994</v>
      </c>
      <c r="E58" s="25">
        <v>945798.86999999988</v>
      </c>
      <c r="F58" s="25">
        <v>335533.99</v>
      </c>
      <c r="G58" s="25">
        <v>23792.21</v>
      </c>
      <c r="N58" s="15">
        <v>51</v>
      </c>
      <c r="O58" s="7">
        <f t="shared" si="2"/>
        <v>930694.04999999888</v>
      </c>
    </row>
    <row r="59" spans="1:15">
      <c r="A59" s="56">
        <v>43312</v>
      </c>
      <c r="B59" s="25">
        <v>7197809.5315100001</v>
      </c>
      <c r="C59" s="25">
        <v>4657461.3212600006</v>
      </c>
      <c r="D59" s="25">
        <v>67503.204120000009</v>
      </c>
      <c r="E59" s="25">
        <v>1135094.0485500002</v>
      </c>
      <c r="F59" s="25">
        <v>342879.5170900001</v>
      </c>
      <c r="G59" s="25">
        <v>24659.343520000002</v>
      </c>
      <c r="N59" s="15">
        <v>51</v>
      </c>
      <c r="O59" s="7">
        <f t="shared" si="2"/>
        <v>970212.09696999937</v>
      </c>
    </row>
    <row r="60" spans="1:15">
      <c r="A60" s="56">
        <v>43343</v>
      </c>
      <c r="B60" s="25">
        <v>7602352.2920499975</v>
      </c>
      <c r="C60" s="25">
        <v>4998298.9304399993</v>
      </c>
      <c r="D60" s="25">
        <v>70358.206379999989</v>
      </c>
      <c r="E60" s="25">
        <v>1254265.8307199997</v>
      </c>
      <c r="F60" s="25">
        <v>362030.40059999999</v>
      </c>
      <c r="G60" s="25">
        <v>25022.709600000002</v>
      </c>
      <c r="N60" s="15">
        <v>54</v>
      </c>
      <c r="O60" s="7">
        <f t="shared" si="2"/>
        <v>892376.21430999786</v>
      </c>
    </row>
    <row r="61" spans="1:15">
      <c r="A61" s="56">
        <v>43373</v>
      </c>
      <c r="B61" s="25">
        <v>7571377.8940300019</v>
      </c>
      <c r="C61" s="25">
        <v>4999161.0315899998</v>
      </c>
      <c r="D61" s="25">
        <v>70475.535239999997</v>
      </c>
      <c r="E61" s="25">
        <v>1221379.4333300004</v>
      </c>
      <c r="F61" s="25">
        <v>353373.15189000004</v>
      </c>
      <c r="G61" s="25">
        <v>25377.817360000001</v>
      </c>
      <c r="N61" s="15">
        <v>52</v>
      </c>
      <c r="O61" s="7">
        <f t="shared" si="2"/>
        <v>901610.92462000158</v>
      </c>
    </row>
    <row r="62" spans="1:15">
      <c r="A62" s="56">
        <v>43404</v>
      </c>
      <c r="B62" s="25">
        <v>7692744.4800000098</v>
      </c>
      <c r="C62" s="25">
        <v>5033629.4299999988</v>
      </c>
      <c r="D62" s="25">
        <v>65273.96</v>
      </c>
      <c r="E62" s="25">
        <v>1220792.3299999998</v>
      </c>
      <c r="F62" s="25">
        <v>315858.37</v>
      </c>
      <c r="G62" s="25">
        <v>23916.079999999998</v>
      </c>
      <c r="N62" s="15">
        <v>58</v>
      </c>
      <c r="O62" s="7">
        <f t="shared" si="2"/>
        <v>1033274.3100000108</v>
      </c>
    </row>
    <row r="63" spans="1:15">
      <c r="A63" s="56">
        <v>43434</v>
      </c>
      <c r="B63" s="25">
        <v>7788288.0982300043</v>
      </c>
      <c r="C63" s="25">
        <v>5112091.2504200004</v>
      </c>
      <c r="D63" s="25">
        <v>66290.805899999992</v>
      </c>
      <c r="E63" s="25">
        <v>1230923.3647500004</v>
      </c>
      <c r="F63" s="25">
        <v>318219.47531000001</v>
      </c>
      <c r="G63" s="25">
        <v>24832.768240000001</v>
      </c>
      <c r="N63" s="15">
        <v>59</v>
      </c>
      <c r="O63" s="7">
        <f t="shared" si="2"/>
        <v>1035930.4336100034</v>
      </c>
    </row>
    <row r="64" spans="1:15">
      <c r="A64" s="56">
        <v>43465</v>
      </c>
      <c r="B64" s="25">
        <v>7177699.7631699992</v>
      </c>
      <c r="C64" s="25">
        <v>4621099.0102200005</v>
      </c>
      <c r="D64" s="25">
        <v>55683.258179999997</v>
      </c>
      <c r="E64" s="25">
        <v>1077640.3512399998</v>
      </c>
      <c r="F64" s="25">
        <v>284897.49072000006</v>
      </c>
      <c r="G64" s="25">
        <v>20083.155070000001</v>
      </c>
      <c r="N64" s="15">
        <v>59</v>
      </c>
      <c r="O64" s="7">
        <f t="shared" si="2"/>
        <v>1118296.4977399986</v>
      </c>
    </row>
    <row r="65" spans="1:15">
      <c r="A65" s="56">
        <v>43496</v>
      </c>
      <c r="B65" s="25">
        <v>7790664.1622499973</v>
      </c>
      <c r="C65" s="25">
        <v>4892828.3335200017</v>
      </c>
      <c r="D65" s="25">
        <v>59636.880360000003</v>
      </c>
      <c r="E65" s="25">
        <v>1140354.0857799998</v>
      </c>
      <c r="F65" s="25">
        <v>308362.88481999998</v>
      </c>
      <c r="G65" s="25">
        <v>21196.05718</v>
      </c>
      <c r="N65" s="15">
        <v>59</v>
      </c>
      <c r="O65" s="7">
        <f t="shared" si="2"/>
        <v>1368285.9205899965</v>
      </c>
    </row>
    <row r="66" spans="1:15">
      <c r="A66" s="56">
        <v>43524</v>
      </c>
      <c r="B66" s="25">
        <v>7835731.9615900023</v>
      </c>
      <c r="C66" s="25">
        <v>5172434.1551999999</v>
      </c>
      <c r="D66" s="25">
        <v>62223.362160000004</v>
      </c>
      <c r="E66" s="25">
        <v>1235606.8767999997</v>
      </c>
      <c r="F66" s="25">
        <v>311637.74113999994</v>
      </c>
      <c r="G66" s="25">
        <v>22025.278360000004</v>
      </c>
      <c r="N66" s="15">
        <v>59</v>
      </c>
      <c r="O66" s="7">
        <f t="shared" si="2"/>
        <v>1031804.5479300031</v>
      </c>
    </row>
    <row r="67" spans="1:15">
      <c r="A67" s="56">
        <v>43555</v>
      </c>
      <c r="B67" s="25">
        <v>7973879.7941800039</v>
      </c>
      <c r="C67" s="25">
        <v>5300601.5667800009</v>
      </c>
      <c r="D67" s="25">
        <v>63147.105660000001</v>
      </c>
      <c r="E67" s="25">
        <v>1231727.6874600004</v>
      </c>
      <c r="F67" s="25">
        <v>300454.74887999997</v>
      </c>
      <c r="G67" s="25">
        <v>22410.793470000001</v>
      </c>
      <c r="N67" s="15">
        <v>59</v>
      </c>
      <c r="O67" s="7">
        <f t="shared" si="2"/>
        <v>1055537.8919300027</v>
      </c>
    </row>
    <row r="68" spans="1:15">
      <c r="A68" s="56">
        <v>43585</v>
      </c>
      <c r="B68" s="25">
        <v>7175099.2338099983</v>
      </c>
      <c r="C68" s="25">
        <v>4737674.9749699999</v>
      </c>
      <c r="D68" s="25">
        <v>41516.706399999995</v>
      </c>
      <c r="E68" s="25">
        <v>1198195.4906400004</v>
      </c>
      <c r="F68" s="25">
        <v>292360.49135999999</v>
      </c>
      <c r="G68" s="25">
        <v>31940.951700000001</v>
      </c>
      <c r="N68" s="15">
        <v>57</v>
      </c>
      <c r="O68" s="7">
        <f t="shared" si="2"/>
        <v>873410.61873999797</v>
      </c>
    </row>
    <row r="69" spans="1:15">
      <c r="A69" s="56">
        <v>43616</v>
      </c>
      <c r="B69" s="25">
        <v>7510358.7153600054</v>
      </c>
      <c r="C69" s="25">
        <v>4613992.2341599995</v>
      </c>
      <c r="D69" s="25">
        <v>39473.746299999999</v>
      </c>
      <c r="E69" s="25">
        <v>1529016.9192000006</v>
      </c>
      <c r="F69" s="25">
        <v>62206.709920000001</v>
      </c>
      <c r="G69" s="25">
        <v>205788.51339999997</v>
      </c>
      <c r="N69" s="15">
        <v>57</v>
      </c>
      <c r="O69" s="7">
        <f t="shared" si="2"/>
        <v>1059880.5923800059</v>
      </c>
    </row>
    <row r="70" spans="1:15">
      <c r="A70" s="56">
        <v>43646</v>
      </c>
      <c r="B70" s="25">
        <v>8126283.0978999985</v>
      </c>
      <c r="C70" s="25">
        <v>5125181.7547199987</v>
      </c>
      <c r="D70" s="25">
        <v>41728.047099999996</v>
      </c>
      <c r="E70" s="25">
        <v>1660537.7182100003</v>
      </c>
      <c r="F70" s="25">
        <v>65463.01784</v>
      </c>
      <c r="G70" s="25">
        <v>214919.96511999998</v>
      </c>
      <c r="N70" s="15">
        <v>54</v>
      </c>
      <c r="O70" s="7">
        <f t="shared" si="2"/>
        <v>1018452.5949099995</v>
      </c>
    </row>
    <row r="71" spans="1:15">
      <c r="A71" s="56">
        <v>43677</v>
      </c>
      <c r="B71" s="25">
        <v>8108710.9889700059</v>
      </c>
      <c r="C71" s="25">
        <v>5232197.4008400021</v>
      </c>
      <c r="D71" s="25">
        <v>42596.892200000002</v>
      </c>
      <c r="E71" s="25">
        <v>1691788.2141900004</v>
      </c>
      <c r="F71" s="25">
        <v>66698.169120000006</v>
      </c>
      <c r="G71" s="25">
        <v>214787.62523999999</v>
      </c>
      <c r="N71" s="15">
        <v>52</v>
      </c>
      <c r="O71" s="7">
        <f t="shared" si="2"/>
        <v>860642.68738000374</v>
      </c>
    </row>
    <row r="72" spans="1:15">
      <c r="A72" s="56">
        <v>43708</v>
      </c>
      <c r="B72" s="25">
        <v>8117557.7956300015</v>
      </c>
      <c r="C72" s="25">
        <v>5287730.3087999998</v>
      </c>
      <c r="D72" s="25">
        <v>42949.126700000001</v>
      </c>
      <c r="E72" s="25">
        <v>1652676.0881100004</v>
      </c>
      <c r="F72" s="25">
        <v>64340.153039999997</v>
      </c>
      <c r="G72" s="25">
        <v>215846.34428000002</v>
      </c>
      <c r="N72" s="15">
        <v>52</v>
      </c>
      <c r="O72" s="7">
        <f t="shared" si="2"/>
        <v>854015.77470000181</v>
      </c>
    </row>
    <row r="73" spans="1:15">
      <c r="A73" s="56">
        <v>43738</v>
      </c>
      <c r="B73" s="25">
        <v>8725871.3111899998</v>
      </c>
      <c r="C73" s="25">
        <v>5635843.0824499996</v>
      </c>
      <c r="D73" s="25">
        <v>59006.236499999999</v>
      </c>
      <c r="E73" s="25">
        <v>1802480.7236499998</v>
      </c>
      <c r="F73" s="25">
        <v>66922.742079999996</v>
      </c>
      <c r="G73" s="25">
        <v>220026.25143000003</v>
      </c>
      <c r="N73" s="15">
        <v>57</v>
      </c>
      <c r="O73" s="7">
        <f t="shared" si="2"/>
        <v>941592.27508000005</v>
      </c>
    </row>
    <row r="74" spans="1:15">
      <c r="A74" s="56">
        <v>43769</v>
      </c>
      <c r="B74" s="25">
        <v>9108808.5134400018</v>
      </c>
      <c r="C74" s="25">
        <v>5762071.0852600001</v>
      </c>
      <c r="D74" s="25">
        <v>58782.364599999994</v>
      </c>
      <c r="E74" s="25">
        <v>1871255.2799999998</v>
      </c>
      <c r="F74" s="25">
        <v>67821.033920000002</v>
      </c>
      <c r="G74" s="25">
        <v>220005.12599999999</v>
      </c>
      <c r="N74" s="15">
        <v>64</v>
      </c>
      <c r="O74" s="7">
        <f t="shared" si="2"/>
        <v>1128873.623660001</v>
      </c>
    </row>
    <row r="75" spans="1:15">
      <c r="A75" s="56">
        <v>43799</v>
      </c>
      <c r="B75" s="25">
        <v>10051004.502250001</v>
      </c>
      <c r="C75" s="25">
        <v>6286629.4677999998</v>
      </c>
      <c r="D75" s="25">
        <v>59901.724099999999</v>
      </c>
      <c r="E75" s="25">
        <v>2009666.5069600001</v>
      </c>
      <c r="F75" s="25">
        <v>57547.279400000007</v>
      </c>
      <c r="G75" s="25">
        <v>223538.54166000005</v>
      </c>
      <c r="N75" s="15">
        <v>74</v>
      </c>
      <c r="O75" s="7">
        <f t="shared" si="2"/>
        <v>1413720.9823300019</v>
      </c>
    </row>
    <row r="76" spans="1:15">
      <c r="A76" s="56">
        <v>43830</v>
      </c>
      <c r="B76" s="25">
        <v>10366054.930839999</v>
      </c>
      <c r="C76" s="25">
        <v>6510016.3078400008</v>
      </c>
      <c r="D76" s="25">
        <v>60397.696169999996</v>
      </c>
      <c r="E76" s="25">
        <v>2070413.5151700003</v>
      </c>
      <c r="F76" s="25">
        <v>58495.150399999999</v>
      </c>
      <c r="G76" s="25">
        <v>229833.92054000002</v>
      </c>
      <c r="N76" s="15">
        <v>75</v>
      </c>
      <c r="O76" s="7">
        <f t="shared" si="2"/>
        <v>1436898.3407199979</v>
      </c>
    </row>
    <row r="77" spans="1:15">
      <c r="A77" s="56">
        <v>43861</v>
      </c>
      <c r="B77" s="25">
        <v>12130209.855740009</v>
      </c>
      <c r="C77" s="25">
        <v>6637424.3948699981</v>
      </c>
      <c r="D77" s="25">
        <v>61402.703460000004</v>
      </c>
      <c r="E77" s="25">
        <v>2006718.9943499996</v>
      </c>
      <c r="F77" s="25">
        <v>56594.414399999994</v>
      </c>
      <c r="G77" s="25">
        <v>232057.89558000001</v>
      </c>
      <c r="N77" s="15">
        <v>78</v>
      </c>
      <c r="O77" s="7">
        <f t="shared" si="2"/>
        <v>3136011.4530800115</v>
      </c>
    </row>
    <row r="78" spans="1:15">
      <c r="A78" s="56">
        <v>43890</v>
      </c>
      <c r="B78" s="25">
        <v>12047947.608789999</v>
      </c>
      <c r="C78" s="25">
        <v>6486955.3925799988</v>
      </c>
      <c r="D78" s="25">
        <v>58265.122600000002</v>
      </c>
      <c r="E78" s="25">
        <v>1905223.9652600002</v>
      </c>
      <c r="F78" s="25">
        <v>51129.7984</v>
      </c>
      <c r="G78" s="25">
        <v>229344.59016000005</v>
      </c>
      <c r="N78" s="15">
        <v>79</v>
      </c>
      <c r="O78" s="7">
        <f t="shared" si="2"/>
        <v>3317028.73979</v>
      </c>
    </row>
    <row r="79" spans="1:15">
      <c r="A79" s="56">
        <v>43921</v>
      </c>
      <c r="B79" s="25">
        <v>10769822.714200005</v>
      </c>
      <c r="C79" s="25">
        <v>5542148.0276899999</v>
      </c>
      <c r="D79" s="25">
        <v>28986.685440000001</v>
      </c>
      <c r="E79" s="25">
        <v>1551624.5130499993</v>
      </c>
      <c r="F79" s="25">
        <v>40957.52592</v>
      </c>
      <c r="G79" s="25">
        <v>361114.24244999979</v>
      </c>
      <c r="N79" s="15">
        <v>83</v>
      </c>
      <c r="O79" s="7">
        <f t="shared" si="2"/>
        <v>3244991.7196500059</v>
      </c>
    </row>
    <row r="80" spans="1:15">
      <c r="A80" s="56">
        <v>43951</v>
      </c>
      <c r="B80" s="25">
        <v>11854855.383029995</v>
      </c>
      <c r="C80" s="25">
        <v>5783034.4951999988</v>
      </c>
      <c r="D80" s="25">
        <v>1520.82476</v>
      </c>
      <c r="E80" s="25">
        <v>1733700.4724999995</v>
      </c>
      <c r="F80" s="25">
        <v>55522.248209999998</v>
      </c>
      <c r="G80" s="25">
        <v>696466.3968000001</v>
      </c>
      <c r="N80" s="15">
        <v>88</v>
      </c>
      <c r="O80" s="7">
        <f t="shared" si="2"/>
        <v>3584610.9455599971</v>
      </c>
    </row>
    <row r="81" spans="1:15">
      <c r="A81" s="56">
        <v>43982</v>
      </c>
      <c r="B81" s="25">
        <v>12177322.050260002</v>
      </c>
      <c r="C81" s="25">
        <v>5844872.6916000014</v>
      </c>
      <c r="D81" s="25">
        <v>1603.8950200000002</v>
      </c>
      <c r="E81" s="25">
        <v>1860946.3388900002</v>
      </c>
      <c r="F81" s="25">
        <v>58382.296830000014</v>
      </c>
      <c r="G81" s="25">
        <v>811774.28845999984</v>
      </c>
      <c r="N81" s="15">
        <v>88</v>
      </c>
      <c r="O81" s="7">
        <f t="shared" si="2"/>
        <v>3599742.5394599997</v>
      </c>
    </row>
    <row r="82" spans="1:15">
      <c r="A82" s="56">
        <v>44012</v>
      </c>
      <c r="B82" s="25">
        <v>12210360.925089996</v>
      </c>
      <c r="C82" s="25">
        <v>5169176.7964499993</v>
      </c>
      <c r="D82" s="25">
        <v>1611.1978999999999</v>
      </c>
      <c r="E82" s="25">
        <v>1988861.4868499993</v>
      </c>
      <c r="F82" s="25">
        <v>58630.996710000021</v>
      </c>
      <c r="G82" s="25">
        <v>1346970.9953700006</v>
      </c>
      <c r="N82" s="15">
        <v>88</v>
      </c>
      <c r="O82" s="7">
        <f t="shared" si="2"/>
        <v>3645109.4518099986</v>
      </c>
    </row>
    <row r="83" spans="1:15">
      <c r="A83" s="56">
        <v>44043</v>
      </c>
      <c r="B83" s="25">
        <v>13683066.850550015</v>
      </c>
      <c r="C83" s="25">
        <v>5439903.34461</v>
      </c>
      <c r="D83" s="25">
        <v>1710.6996399999998</v>
      </c>
      <c r="E83" s="25">
        <v>2134913.0520000011</v>
      </c>
      <c r="F83" s="25">
        <v>61739.745210000008</v>
      </c>
      <c r="G83" s="25">
        <v>1521509.3197199998</v>
      </c>
      <c r="N83" s="15">
        <v>92</v>
      </c>
      <c r="O83" s="7">
        <f t="shared" si="2"/>
        <v>4523290.6893700138</v>
      </c>
    </row>
    <row r="84" spans="1:15">
      <c r="A84" s="56">
        <v>44074</v>
      </c>
      <c r="B84" s="25">
        <v>14210159.97319999</v>
      </c>
      <c r="C84" s="25">
        <v>5647006.3956000041</v>
      </c>
      <c r="D84" s="25">
        <v>1788.2927400000001</v>
      </c>
      <c r="E84" s="25">
        <v>2211014.8950700001</v>
      </c>
      <c r="F84" s="25">
        <v>62174.969999999994</v>
      </c>
      <c r="G84" s="25">
        <v>1621966.5572600001</v>
      </c>
      <c r="N84" s="15">
        <v>94</v>
      </c>
      <c r="O84" s="7">
        <f t="shared" si="2"/>
        <v>4666208.8625299856</v>
      </c>
    </row>
    <row r="85" spans="1:15">
      <c r="A85" s="56">
        <v>44104</v>
      </c>
      <c r="B85" s="25">
        <v>14068028.986779984</v>
      </c>
      <c r="C85" s="25">
        <v>5449384.4614200005</v>
      </c>
      <c r="D85" s="25">
        <v>1739.9111599999999</v>
      </c>
      <c r="E85" s="25">
        <v>2214632.4112</v>
      </c>
      <c r="F85" s="25">
        <v>59998.846050000007</v>
      </c>
      <c r="G85" s="25">
        <v>1701883.9404000002</v>
      </c>
      <c r="N85" s="15">
        <v>97</v>
      </c>
      <c r="O85" s="7">
        <f t="shared" si="2"/>
        <v>4640389.4165499844</v>
      </c>
    </row>
    <row r="86" spans="1:15">
      <c r="A86" s="56">
        <v>44135</v>
      </c>
      <c r="B86" s="25">
        <v>14176613.083140006</v>
      </c>
      <c r="C86" s="25">
        <v>5290847.5479299994</v>
      </c>
      <c r="D86" s="25">
        <v>1703.3967600000001</v>
      </c>
      <c r="E86" s="25">
        <v>2264014.4760899995</v>
      </c>
      <c r="F86" s="25">
        <v>60807.120659999993</v>
      </c>
      <c r="G86" s="25">
        <v>1687900.6354500002</v>
      </c>
      <c r="N86" s="15">
        <v>99</v>
      </c>
      <c r="O86" s="7">
        <f t="shared" si="2"/>
        <v>4871339.9062500075</v>
      </c>
    </row>
    <row r="87" spans="1:15">
      <c r="A87" s="56">
        <v>44165</v>
      </c>
      <c r="B87" s="25">
        <v>14815861.461299961</v>
      </c>
      <c r="C87" s="25">
        <v>3044648.4703000002</v>
      </c>
      <c r="D87" s="25">
        <v>1823.89428</v>
      </c>
      <c r="E87" s="25">
        <v>2574808.2219299991</v>
      </c>
      <c r="F87" s="25">
        <v>63729.344249999995</v>
      </c>
      <c r="G87" s="25">
        <v>3201165.5458999984</v>
      </c>
      <c r="N87" s="15">
        <v>98</v>
      </c>
      <c r="O87" s="7">
        <f t="shared" si="2"/>
        <v>5929685.9846399631</v>
      </c>
    </row>
    <row r="88" spans="1:15">
      <c r="A88" s="56">
        <v>44196</v>
      </c>
      <c r="B88" s="25">
        <v>16188612.819109991</v>
      </c>
      <c r="C88" s="25">
        <v>3211109.8972799992</v>
      </c>
      <c r="D88" s="25">
        <v>1891.3790299999998</v>
      </c>
      <c r="E88" s="25">
        <v>2711759.1290700012</v>
      </c>
      <c r="F88" s="25">
        <v>67506.110840000008</v>
      </c>
      <c r="G88" s="25">
        <v>3365646.5904599996</v>
      </c>
      <c r="H88" s="25">
        <v>128803.00023000001</v>
      </c>
      <c r="I88" s="25">
        <v>265853.44944</v>
      </c>
      <c r="J88" s="25">
        <v>39271.558759999993</v>
      </c>
      <c r="N88" s="15">
        <v>99</v>
      </c>
      <c r="O88" s="7">
        <f>B88-SUM(C88:J88)</f>
        <v>6396771.7039999906</v>
      </c>
    </row>
    <row r="89" spans="1:15">
      <c r="A89" s="56">
        <v>44227</v>
      </c>
      <c r="B89" s="25">
        <v>15680589.531679999</v>
      </c>
      <c r="C89" s="25">
        <v>2963922.9948000009</v>
      </c>
      <c r="D89" s="25">
        <v>1831.78638</v>
      </c>
      <c r="E89" s="25">
        <v>2589310.8430199991</v>
      </c>
      <c r="F89" s="25">
        <v>68938.436070000011</v>
      </c>
      <c r="G89" s="25">
        <v>3117579.1292699981</v>
      </c>
      <c r="H89" s="25">
        <v>279744.01962000004</v>
      </c>
      <c r="I89" s="25">
        <v>333766.95680000004</v>
      </c>
      <c r="J89" s="25">
        <v>38892.489659999999</v>
      </c>
      <c r="N89" s="15">
        <v>98</v>
      </c>
      <c r="O89" s="7">
        <f>B89-SUM(C89:J89)</f>
        <v>6286602.8760600016</v>
      </c>
    </row>
    <row r="90" spans="1:15">
      <c r="A90" s="56">
        <v>44255</v>
      </c>
      <c r="B90" s="25">
        <v>15687617.211140027</v>
      </c>
      <c r="C90" s="25">
        <v>1974392.2086</v>
      </c>
      <c r="D90" s="25">
        <v>1834.5368100000001</v>
      </c>
      <c r="E90" s="25">
        <v>1106132.9416800002</v>
      </c>
      <c r="F90" s="25">
        <v>55632.278839999992</v>
      </c>
      <c r="G90" s="25">
        <v>3575923.1522599976</v>
      </c>
      <c r="H90" s="25">
        <v>280474.42175999994</v>
      </c>
      <c r="I90" s="25">
        <v>331619.55910000001</v>
      </c>
      <c r="J90" s="25">
        <v>38437.606740000003</v>
      </c>
      <c r="N90" s="15">
        <v>103</v>
      </c>
      <c r="O90" s="7">
        <f>B90-SUM(C90:J90)</f>
        <v>8323170.5053500291</v>
      </c>
    </row>
    <row r="91" spans="1:15">
      <c r="A91" s="56">
        <v>44286</v>
      </c>
      <c r="B91" s="25">
        <v>17151688.931760006</v>
      </c>
      <c r="C91" s="25">
        <v>2198966.1304399995</v>
      </c>
      <c r="D91" s="25">
        <v>1876.7100699999999</v>
      </c>
      <c r="E91" s="25">
        <v>1220012.33176</v>
      </c>
      <c r="F91" s="25">
        <v>56176.722849999991</v>
      </c>
      <c r="G91" s="25">
        <v>3805546.1348299994</v>
      </c>
      <c r="H91" s="25">
        <v>286074.1715</v>
      </c>
      <c r="I91" s="25">
        <v>336221.12560000003</v>
      </c>
      <c r="J91" s="25">
        <v>38475.513650000001</v>
      </c>
      <c r="K91" s="25">
        <v>1474390.6256499998</v>
      </c>
      <c r="N91" s="15">
        <v>104</v>
      </c>
      <c r="O91" s="7">
        <f t="shared" ref="O91:O115" si="3">B91-SUM(C91:K91)</f>
        <v>7733949.4654100072</v>
      </c>
    </row>
    <row r="92" spans="1:15">
      <c r="A92" s="56">
        <v>44316</v>
      </c>
      <c r="B92" s="25">
        <v>17868362.120909996</v>
      </c>
      <c r="C92" s="25">
        <v>2193228.7194300001</v>
      </c>
      <c r="D92" s="25">
        <v>1965.6406400000001</v>
      </c>
      <c r="E92" s="25">
        <v>1373471.5920199996</v>
      </c>
      <c r="F92" s="25">
        <v>56133.69846</v>
      </c>
      <c r="G92" s="25">
        <v>4343498.2514699986</v>
      </c>
      <c r="H92" s="25">
        <v>294038.65995</v>
      </c>
      <c r="I92" s="25">
        <v>348180.25620000006</v>
      </c>
      <c r="J92" s="25">
        <v>39044.117299999998</v>
      </c>
      <c r="K92" s="25">
        <v>1640184.3056999999</v>
      </c>
      <c r="N92" s="15">
        <v>107</v>
      </c>
      <c r="O92" s="7">
        <f t="shared" si="3"/>
        <v>7578616.8797399979</v>
      </c>
    </row>
    <row r="93" spans="1:15">
      <c r="A93" s="56">
        <v>44347</v>
      </c>
      <c r="B93" s="25">
        <v>18163289.269779984</v>
      </c>
      <c r="C93" s="25">
        <v>2378564.9743999997</v>
      </c>
      <c r="D93" s="25">
        <v>13493.101050000001</v>
      </c>
      <c r="E93" s="25">
        <v>1388002.1913899998</v>
      </c>
      <c r="F93" s="25">
        <v>55843.85147999999</v>
      </c>
      <c r="G93" s="25">
        <v>4355412.4586999994</v>
      </c>
      <c r="H93" s="25">
        <v>254041.63699999999</v>
      </c>
      <c r="I93" s="25">
        <v>349417.13100000005</v>
      </c>
      <c r="J93" s="25">
        <v>39082.024210000003</v>
      </c>
      <c r="K93" s="25">
        <v>1682027.6835800002</v>
      </c>
      <c r="N93" s="15">
        <v>110</v>
      </c>
      <c r="O93" s="7">
        <f t="shared" si="3"/>
        <v>7647404.2169699837</v>
      </c>
    </row>
    <row r="94" spans="1:15">
      <c r="A94" s="56">
        <v>44377</v>
      </c>
      <c r="B94" s="25">
        <v>18843385.72375001</v>
      </c>
      <c r="C94" s="25">
        <v>2475474.8288700022</v>
      </c>
      <c r="D94" s="25">
        <v>13927.14486</v>
      </c>
      <c r="E94" s="25">
        <v>1403014.2645599996</v>
      </c>
      <c r="F94" s="25">
        <v>55569.154439999998</v>
      </c>
      <c r="G94" s="25">
        <v>4486257.2493900005</v>
      </c>
      <c r="H94" s="25">
        <v>258206.25399999999</v>
      </c>
      <c r="I94" s="25">
        <v>354673.84889999998</v>
      </c>
      <c r="J94" s="25">
        <v>39499.000219999994</v>
      </c>
      <c r="K94" s="25">
        <v>1709840.9180400004</v>
      </c>
      <c r="N94" s="15">
        <v>114</v>
      </c>
      <c r="O94" s="7">
        <f t="shared" si="3"/>
        <v>8046923.0604700074</v>
      </c>
    </row>
    <row r="95" spans="1:15">
      <c r="A95" s="56">
        <v>44408</v>
      </c>
      <c r="B95" s="25">
        <v>19162522.05435003</v>
      </c>
      <c r="C95" s="25">
        <v>2454054.0912599992</v>
      </c>
      <c r="D95" s="25">
        <v>2086.6595600000001</v>
      </c>
      <c r="E95" s="25">
        <v>771426.03082999995</v>
      </c>
      <c r="F95" s="25">
        <v>32119.807419999997</v>
      </c>
      <c r="G95" s="25">
        <v>4633838.007220001</v>
      </c>
      <c r="H95" s="25">
        <v>259039.17739999999</v>
      </c>
      <c r="I95" s="25">
        <v>357147.59850000008</v>
      </c>
      <c r="J95" s="25">
        <v>39802.255499999999</v>
      </c>
      <c r="K95" s="25">
        <v>2477659.5128599997</v>
      </c>
      <c r="N95" s="15">
        <v>111</v>
      </c>
      <c r="O95" s="7">
        <f t="shared" si="3"/>
        <v>8135348.9138000291</v>
      </c>
    </row>
    <row r="96" spans="1:15">
      <c r="A96" s="56">
        <v>44439</v>
      </c>
      <c r="B96" s="25">
        <v>19793226.964819983</v>
      </c>
      <c r="C96" s="25">
        <v>2520693.6641699993</v>
      </c>
      <c r="D96" s="25">
        <v>2131.5832500000001</v>
      </c>
      <c r="E96" s="25">
        <v>778508.50022999966</v>
      </c>
      <c r="F96" s="25">
        <v>29837.411249999997</v>
      </c>
      <c r="G96" s="25">
        <v>4790091.3224300016</v>
      </c>
      <c r="H96" s="25">
        <v>402070.84643999999</v>
      </c>
      <c r="I96" s="25">
        <v>361476.66029999999</v>
      </c>
      <c r="J96" s="25">
        <v>39915.976229999993</v>
      </c>
      <c r="K96" s="25">
        <v>2503541.8598399991</v>
      </c>
      <c r="N96" s="15">
        <v>113</v>
      </c>
      <c r="O96" s="7">
        <f t="shared" si="3"/>
        <v>8364959.1406799853</v>
      </c>
    </row>
    <row r="97" spans="1:15">
      <c r="A97" s="56">
        <v>44469</v>
      </c>
      <c r="B97" s="25">
        <v>19121189.792310018</v>
      </c>
      <c r="C97" s="25">
        <v>2426169.5421599988</v>
      </c>
      <c r="D97" s="25">
        <v>2005.9802799999998</v>
      </c>
      <c r="E97" s="25">
        <v>773685.14688000036</v>
      </c>
      <c r="F97" s="25">
        <v>28855.420500000004</v>
      </c>
      <c r="G97" s="25">
        <v>4710858.6126400018</v>
      </c>
      <c r="H97" s="25">
        <v>387828.51136000006</v>
      </c>
      <c r="I97" s="25">
        <v>350035.56839999999</v>
      </c>
      <c r="J97" s="25">
        <v>39233.651849999995</v>
      </c>
      <c r="K97" s="25">
        <v>2503360.33794</v>
      </c>
      <c r="N97" s="15">
        <v>113</v>
      </c>
      <c r="O97" s="7">
        <f t="shared" si="3"/>
        <v>7899157.0203000177</v>
      </c>
    </row>
    <row r="98" spans="1:15">
      <c r="A98" s="56">
        <v>44500</v>
      </c>
      <c r="B98" s="25">
        <v>20691280.059940018</v>
      </c>
      <c r="C98" s="25">
        <v>2687413.2217300003</v>
      </c>
      <c r="D98" s="25">
        <v>2169.1724599999998</v>
      </c>
      <c r="E98" s="25">
        <v>812257.90475000022</v>
      </c>
      <c r="F98" s="25">
        <v>30189.920750000001</v>
      </c>
      <c r="G98" s="25">
        <v>5048506.4217500016</v>
      </c>
      <c r="H98" s="25">
        <v>412703.58315999998</v>
      </c>
      <c r="I98" s="25">
        <v>363331.97250000003</v>
      </c>
      <c r="J98" s="25">
        <v>39764.348590000001</v>
      </c>
      <c r="K98" s="25">
        <v>2598820.0927200001</v>
      </c>
      <c r="N98" s="15">
        <v>113</v>
      </c>
      <c r="O98" s="7">
        <f t="shared" si="3"/>
        <v>8696123.4215300158</v>
      </c>
    </row>
    <row r="99" spans="1:15">
      <c r="A99" s="56">
        <v>44530</v>
      </c>
      <c r="B99" s="25">
        <v>19887749.154589996</v>
      </c>
      <c r="C99" s="25">
        <v>2538505.4858999997</v>
      </c>
      <c r="D99" s="25">
        <v>2131.5832500000001</v>
      </c>
      <c r="E99" s="25">
        <v>776973.71745000035</v>
      </c>
      <c r="F99" s="25">
        <v>29988.48675</v>
      </c>
      <c r="G99" s="25">
        <v>4789605.9420000007</v>
      </c>
      <c r="H99" s="25">
        <v>419209.19226000004</v>
      </c>
      <c r="I99" s="25">
        <v>533730.21240000008</v>
      </c>
      <c r="J99" s="25">
        <v>39536.90713</v>
      </c>
      <c r="K99" s="25">
        <v>2392549.5067499997</v>
      </c>
      <c r="N99" s="15">
        <v>108</v>
      </c>
      <c r="O99" s="7">
        <f t="shared" si="3"/>
        <v>8365518.1206999943</v>
      </c>
    </row>
    <row r="100" spans="1:15">
      <c r="A100" s="56">
        <v>44561</v>
      </c>
      <c r="B100" s="25">
        <v>20507026.383500014</v>
      </c>
      <c r="C100" s="25">
        <v>2632424.932800001</v>
      </c>
      <c r="D100" s="25">
        <v>2215.9578000000001</v>
      </c>
      <c r="E100" s="25">
        <v>829120.24183999957</v>
      </c>
      <c r="F100" s="25">
        <v>31977.647499999999</v>
      </c>
      <c r="G100" s="25">
        <v>4970342.4261600003</v>
      </c>
      <c r="H100" s="25">
        <v>409080.52185000014</v>
      </c>
      <c r="I100" s="25">
        <v>527955.67785999994</v>
      </c>
      <c r="J100" s="25">
        <v>0</v>
      </c>
      <c r="K100" s="25">
        <v>2529174.0675199996</v>
      </c>
      <c r="N100" s="15">
        <v>109</v>
      </c>
      <c r="O100" s="7">
        <f t="shared" si="3"/>
        <v>8574734.9101700112</v>
      </c>
    </row>
    <row r="101" spans="1:15">
      <c r="A101" s="56">
        <v>44592</v>
      </c>
      <c r="B101" s="25">
        <v>20206832.156509995</v>
      </c>
      <c r="C101" s="25">
        <v>2541368.3417499992</v>
      </c>
      <c r="D101" s="25">
        <v>2056.61</v>
      </c>
      <c r="E101" s="25">
        <v>797011.75819999992</v>
      </c>
      <c r="F101" s="25">
        <v>29787.05</v>
      </c>
      <c r="G101" s="25">
        <v>4994540.785190003</v>
      </c>
      <c r="H101" s="25">
        <v>401247.65588999999</v>
      </c>
      <c r="I101" s="25">
        <v>505760.76117000007</v>
      </c>
      <c r="J101" s="25">
        <v>0</v>
      </c>
      <c r="K101" s="25">
        <v>2417840.1087500006</v>
      </c>
      <c r="N101" s="15">
        <v>111</v>
      </c>
      <c r="O101" s="7">
        <f t="shared" si="3"/>
        <v>8517219.085559994</v>
      </c>
    </row>
    <row r="102" spans="1:15">
      <c r="A102" s="56">
        <v>44620</v>
      </c>
      <c r="B102" s="25">
        <v>19000781.3092</v>
      </c>
      <c r="C102" s="25">
        <v>2398664.8415000001</v>
      </c>
      <c r="D102" s="25">
        <v>1969.5042000000001</v>
      </c>
      <c r="E102" s="25">
        <v>783913.78823999956</v>
      </c>
      <c r="F102" s="25">
        <v>29333.826250000002</v>
      </c>
      <c r="G102" s="25">
        <v>4779425.7284699995</v>
      </c>
      <c r="H102" s="25">
        <v>270326.18340000004</v>
      </c>
      <c r="I102" s="25">
        <v>430781.83888</v>
      </c>
      <c r="J102" s="25">
        <v>0</v>
      </c>
      <c r="K102" s="25">
        <v>2423030.6193599994</v>
      </c>
      <c r="N102" s="15">
        <v>109</v>
      </c>
      <c r="O102" s="7">
        <f t="shared" si="3"/>
        <v>7883334.9789000005</v>
      </c>
    </row>
    <row r="103" spans="1:15">
      <c r="A103" s="56">
        <v>44651</v>
      </c>
      <c r="B103" s="25">
        <v>19358371.13762996</v>
      </c>
      <c r="C103" s="25">
        <v>2458820.7766</v>
      </c>
      <c r="D103" s="25">
        <v>2066.1734999999999</v>
      </c>
      <c r="E103" s="25">
        <v>780411.82150999969</v>
      </c>
      <c r="F103" s="25">
        <v>29389.056399999998</v>
      </c>
      <c r="G103" s="25">
        <v>4827112.5616000006</v>
      </c>
      <c r="H103" s="25">
        <v>155233.24739999999</v>
      </c>
      <c r="I103" s="25">
        <v>432829.28107999999</v>
      </c>
      <c r="J103" s="25">
        <v>0</v>
      </c>
      <c r="K103" s="25">
        <v>2352807.3759999997</v>
      </c>
      <c r="N103" s="15">
        <v>111</v>
      </c>
      <c r="O103" s="7">
        <f t="shared" si="3"/>
        <v>8319700.8435399607</v>
      </c>
    </row>
    <row r="104" spans="1:15">
      <c r="A104" s="56">
        <v>44681</v>
      </c>
      <c r="B104" s="25">
        <v>17959929.024939988</v>
      </c>
      <c r="C104" s="25">
        <v>2345412.8472600006</v>
      </c>
      <c r="D104" s="25">
        <v>1989.6879000000001</v>
      </c>
      <c r="E104" s="25">
        <v>725323.22808000015</v>
      </c>
      <c r="F104" s="25">
        <v>27770.167700000002</v>
      </c>
      <c r="G104" s="25">
        <v>4447035.6760299988</v>
      </c>
      <c r="H104" s="25">
        <v>146822.99799999999</v>
      </c>
      <c r="I104" s="25">
        <v>412764.34752000001</v>
      </c>
      <c r="J104" s="25">
        <v>0</v>
      </c>
      <c r="K104" s="25">
        <v>2176065.2529000002</v>
      </c>
      <c r="N104" s="15">
        <v>112</v>
      </c>
      <c r="O104" s="7">
        <f t="shared" si="3"/>
        <v>7676744.819549989</v>
      </c>
    </row>
    <row r="105" spans="1:15">
      <c r="A105" s="56">
        <v>44712</v>
      </c>
      <c r="B105" s="25">
        <v>18655613.757990006</v>
      </c>
      <c r="C105" s="25">
        <v>2410026.1507800007</v>
      </c>
      <c r="D105" s="25">
        <v>2644.4358400000001</v>
      </c>
      <c r="E105" s="25">
        <v>785061.8894300001</v>
      </c>
      <c r="F105" s="25">
        <v>27426.164220000002</v>
      </c>
      <c r="G105" s="25">
        <v>4582344.8298799982</v>
      </c>
      <c r="H105" s="25">
        <v>134501.12336</v>
      </c>
      <c r="I105" s="25">
        <v>383822.47080000001</v>
      </c>
      <c r="J105" s="25">
        <v>0</v>
      </c>
      <c r="K105" s="25">
        <v>2401735.7720199991</v>
      </c>
      <c r="N105" s="15">
        <v>111</v>
      </c>
      <c r="O105" s="7">
        <f t="shared" si="3"/>
        <v>7928050.9216600079</v>
      </c>
    </row>
    <row r="106" spans="1:15">
      <c r="A106" s="56">
        <v>44742</v>
      </c>
      <c r="B106" s="25">
        <v>18299320.666779999</v>
      </c>
      <c r="C106" s="25">
        <v>2268287.2678799997</v>
      </c>
      <c r="D106" s="25">
        <v>2467.3907199999999</v>
      </c>
      <c r="E106" s="25">
        <v>766797.08720999991</v>
      </c>
      <c r="F106" s="25">
        <v>26748.974980000006</v>
      </c>
      <c r="G106" s="25">
        <v>4329547.2548999982</v>
      </c>
      <c r="H106" s="25">
        <v>125885.85063999999</v>
      </c>
      <c r="I106" s="25">
        <v>365007.64379999996</v>
      </c>
      <c r="J106" s="25">
        <v>0</v>
      </c>
      <c r="K106" s="25">
        <v>2204215.4160100007</v>
      </c>
      <c r="N106" s="15">
        <v>115</v>
      </c>
      <c r="O106" s="7">
        <f t="shared" si="3"/>
        <v>8210363.7806400005</v>
      </c>
    </row>
    <row r="107" spans="1:15">
      <c r="A107" s="56">
        <v>44773</v>
      </c>
      <c r="B107" s="25">
        <v>19107796.782839999</v>
      </c>
      <c r="C107" s="25">
        <v>2489381.5064000008</v>
      </c>
      <c r="D107" s="25">
        <v>2576.99008</v>
      </c>
      <c r="E107" s="25">
        <v>844024.49901000015</v>
      </c>
      <c r="F107" s="25">
        <v>28272.650770000007</v>
      </c>
      <c r="G107" s="25">
        <v>4804702.8077999987</v>
      </c>
      <c r="H107" s="25">
        <v>133086.67560000002</v>
      </c>
      <c r="I107" s="25">
        <v>380059.50540000002</v>
      </c>
      <c r="J107" s="25">
        <v>0</v>
      </c>
      <c r="K107" s="25">
        <v>2568534.2705900008</v>
      </c>
      <c r="N107" s="15">
        <v>117</v>
      </c>
      <c r="O107" s="7">
        <f t="shared" si="3"/>
        <v>7857157.8771899976</v>
      </c>
    </row>
    <row r="108" spans="1:15">
      <c r="A108" s="56">
        <v>44804</v>
      </c>
      <c r="B108" s="25">
        <v>18282472.303790003</v>
      </c>
      <c r="C108" s="25">
        <v>2420164.9038000009</v>
      </c>
      <c r="D108" s="25">
        <v>2512.3545599999998</v>
      </c>
      <c r="E108" s="25">
        <v>801408.33264000027</v>
      </c>
      <c r="F108" s="25">
        <v>27087.569599999995</v>
      </c>
      <c r="G108" s="25">
        <v>4544796.7233599992</v>
      </c>
      <c r="H108" s="25">
        <v>137854.008</v>
      </c>
      <c r="I108" s="25">
        <v>389928.54460000008</v>
      </c>
      <c r="J108" s="25">
        <v>0</v>
      </c>
      <c r="K108" s="25">
        <v>2393566.8860400002</v>
      </c>
      <c r="N108" s="15">
        <v>120</v>
      </c>
      <c r="O108" s="7">
        <f t="shared" si="3"/>
        <v>7565152.9811900035</v>
      </c>
    </row>
    <row r="109" spans="1:15">
      <c r="A109" s="56">
        <v>44834</v>
      </c>
      <c r="B109" s="25">
        <v>16972502.549519971</v>
      </c>
      <c r="C109" s="25">
        <v>2222320.8767400011</v>
      </c>
      <c r="D109" s="25">
        <v>2314.2326399999997</v>
      </c>
      <c r="E109" s="25">
        <v>743546.60980999994</v>
      </c>
      <c r="F109" s="25">
        <v>25201.113859999998</v>
      </c>
      <c r="G109" s="25">
        <v>4178264.1294599995</v>
      </c>
      <c r="H109" s="25">
        <v>126814.64800000002</v>
      </c>
      <c r="I109" s="25">
        <v>366055.36839999998</v>
      </c>
      <c r="J109" s="25">
        <v>0</v>
      </c>
      <c r="K109" s="25">
        <v>2162522.7264000005</v>
      </c>
      <c r="N109" s="15">
        <v>119</v>
      </c>
      <c r="O109" s="7">
        <f t="shared" si="3"/>
        <v>7145462.844209969</v>
      </c>
    </row>
    <row r="110" spans="1:15">
      <c r="A110" s="56">
        <v>44865</v>
      </c>
      <c r="B110" s="25">
        <v>19234590.071490008</v>
      </c>
      <c r="C110" s="25">
        <v>2564285.6548799998</v>
      </c>
      <c r="D110" s="25">
        <v>2555.9132800000002</v>
      </c>
      <c r="E110" s="25">
        <v>853859.93731999991</v>
      </c>
      <c r="F110" s="25">
        <v>27764.758840000002</v>
      </c>
      <c r="G110" s="25">
        <v>4760574.7051599994</v>
      </c>
      <c r="H110" s="25">
        <v>147660.60864000002</v>
      </c>
      <c r="I110" s="25">
        <v>513225.71959999995</v>
      </c>
      <c r="J110" s="25">
        <v>0</v>
      </c>
      <c r="K110" s="25">
        <v>2535312.8724199999</v>
      </c>
      <c r="N110" s="15">
        <v>124</v>
      </c>
      <c r="O110" s="7">
        <f t="shared" si="3"/>
        <v>7829349.9013500102</v>
      </c>
    </row>
    <row r="111" spans="1:15">
      <c r="A111" s="56">
        <v>44895</v>
      </c>
      <c r="B111" s="25">
        <v>19864249.571359988</v>
      </c>
      <c r="C111" s="25">
        <v>2697331.8929599999</v>
      </c>
      <c r="D111" s="25">
        <v>2844.9806399999998</v>
      </c>
      <c r="E111" s="25">
        <v>880353.19811</v>
      </c>
      <c r="F111" s="25">
        <v>28611.24539</v>
      </c>
      <c r="G111" s="25">
        <v>5079295.4667599993</v>
      </c>
      <c r="H111" s="25">
        <v>155524.73376000003</v>
      </c>
      <c r="I111" s="25">
        <v>534959.52899999998</v>
      </c>
      <c r="J111" s="25">
        <v>0</v>
      </c>
      <c r="K111" s="25">
        <v>2623973.5195999998</v>
      </c>
      <c r="N111" s="15">
        <v>125</v>
      </c>
      <c r="O111" s="7">
        <f t="shared" si="3"/>
        <v>7861355.0051399916</v>
      </c>
    </row>
    <row r="112" spans="1:15">
      <c r="A112" s="56">
        <v>44926</v>
      </c>
      <c r="B112" s="25">
        <v>20274318.966809958</v>
      </c>
      <c r="C112" s="25">
        <v>2690462.56752</v>
      </c>
      <c r="D112" s="25">
        <v>3003.2946000000002</v>
      </c>
      <c r="E112" s="25">
        <v>872473.69466000015</v>
      </c>
      <c r="F112" s="25">
        <v>26974.095359999999</v>
      </c>
      <c r="G112" s="25">
        <v>5105656.4234699989</v>
      </c>
      <c r="H112" s="25">
        <v>168466.63680000004</v>
      </c>
      <c r="I112" s="25">
        <v>647524.63062000007</v>
      </c>
      <c r="J112" s="25">
        <v>0</v>
      </c>
      <c r="K112" s="25">
        <v>2583950.3498000004</v>
      </c>
      <c r="N112" s="15">
        <v>129</v>
      </c>
      <c r="O112" s="7">
        <f t="shared" si="3"/>
        <v>8175807.2739799581</v>
      </c>
    </row>
    <row r="113" spans="1:15">
      <c r="A113" s="56">
        <v>44957</v>
      </c>
      <c r="B113" s="25">
        <v>21292274.886560027</v>
      </c>
      <c r="C113" s="25">
        <v>2751403.6060200008</v>
      </c>
      <c r="D113" s="25">
        <v>5788.7894999999999</v>
      </c>
      <c r="E113" s="25">
        <v>906827.27688000002</v>
      </c>
      <c r="F113" s="25">
        <v>28471.224760000001</v>
      </c>
      <c r="G113" s="25">
        <v>5398295.7763799997</v>
      </c>
      <c r="H113" s="25">
        <v>205931.5808</v>
      </c>
      <c r="I113" s="25">
        <v>689763.27376000001</v>
      </c>
      <c r="J113" s="25">
        <v>0</v>
      </c>
      <c r="K113" s="25">
        <v>2782253.5910400013</v>
      </c>
      <c r="N113" s="15">
        <v>132</v>
      </c>
      <c r="O113" s="7">
        <f t="shared" si="3"/>
        <v>8523539.7674200237</v>
      </c>
    </row>
    <row r="114" spans="1:15">
      <c r="A114" s="56">
        <v>44985</v>
      </c>
      <c r="B114" s="25">
        <v>21468155.494129986</v>
      </c>
      <c r="C114" s="25">
        <v>2606961.1556999991</v>
      </c>
      <c r="D114" s="25">
        <v>5620.9985000000006</v>
      </c>
      <c r="E114" s="25">
        <v>864741.99735000043</v>
      </c>
      <c r="F114" s="25">
        <v>27446.333280000003</v>
      </c>
      <c r="G114" s="25">
        <v>5013072.8626799993</v>
      </c>
      <c r="H114" s="25">
        <v>201608.58959999995</v>
      </c>
      <c r="I114" s="25">
        <v>676916.70036000002</v>
      </c>
      <c r="J114" s="25">
        <v>0</v>
      </c>
      <c r="K114" s="25">
        <v>2605275.7339500007</v>
      </c>
      <c r="N114" s="15">
        <v>136</v>
      </c>
      <c r="O114" s="7">
        <f t="shared" si="3"/>
        <v>9466511.1227099858</v>
      </c>
    </row>
    <row r="115" spans="1:15">
      <c r="A115" s="56">
        <v>45016</v>
      </c>
      <c r="B115" s="25">
        <v>21676210.162339993</v>
      </c>
      <c r="C115" s="25">
        <v>2634319.4894999997</v>
      </c>
      <c r="D115" s="25">
        <v>5685.5335000000005</v>
      </c>
      <c r="E115" s="25">
        <v>851626.43324999977</v>
      </c>
      <c r="F115" s="25">
        <v>26799.691919999994</v>
      </c>
      <c r="G115" s="25">
        <v>5145646.5684400005</v>
      </c>
      <c r="H115" s="25">
        <v>210006.49553000001</v>
      </c>
      <c r="I115" s="25">
        <v>685096.96259999997</v>
      </c>
      <c r="J115" s="25">
        <v>0</v>
      </c>
      <c r="K115" s="25">
        <v>2491518.2279000012</v>
      </c>
      <c r="N115" s="15">
        <v>139</v>
      </c>
      <c r="O115" s="7">
        <f t="shared" si="3"/>
        <v>9625510.7596999928</v>
      </c>
    </row>
    <row r="116" spans="1:15">
      <c r="A116" s="56">
        <v>45046</v>
      </c>
      <c r="B116" s="25">
        <v>21986695.699070022</v>
      </c>
      <c r="C116" s="25">
        <v>2544178.2570500001</v>
      </c>
      <c r="D116" s="25">
        <v>5743.6150000000007</v>
      </c>
      <c r="E116" s="25">
        <v>806848.88291999989</v>
      </c>
      <c r="F116" s="25">
        <v>26488.346080000003</v>
      </c>
      <c r="G116" s="25">
        <v>5027117.4100800008</v>
      </c>
      <c r="H116" s="25">
        <v>275717.24183999997</v>
      </c>
      <c r="I116" s="25">
        <v>718611.59629999998</v>
      </c>
      <c r="J116" s="25">
        <v>0</v>
      </c>
      <c r="K116" s="25">
        <v>2380749.7058999999</v>
      </c>
      <c r="L116" s="25">
        <v>2290643.0399999996</v>
      </c>
      <c r="M116" s="25">
        <v>1324052.8200000003</v>
      </c>
      <c r="N116" s="15">
        <v>147</v>
      </c>
      <c r="O116" s="7">
        <f>B116-SUM(C116:M116)</f>
        <v>6586544.7839000206</v>
      </c>
    </row>
    <row r="117" spans="1:15">
      <c r="A117" s="56">
        <v>45077</v>
      </c>
      <c r="B117" s="25">
        <v>20386175.689219952</v>
      </c>
      <c r="C117" s="25">
        <v>2444592.2768800007</v>
      </c>
      <c r="D117" s="25">
        <v>5582.2775000000001</v>
      </c>
      <c r="E117" s="25">
        <v>776199.00715000008</v>
      </c>
      <c r="F117" s="25">
        <v>25745.905999999999</v>
      </c>
      <c r="G117" s="25">
        <v>4836080.5797599992</v>
      </c>
      <c r="H117" s="25">
        <v>306925.04050000006</v>
      </c>
      <c r="I117" s="25">
        <v>774776.57183999999</v>
      </c>
      <c r="J117" s="25">
        <v>0</v>
      </c>
      <c r="K117" s="25">
        <v>2312831.5848899996</v>
      </c>
      <c r="L117" s="25">
        <v>2145248.6719999998</v>
      </c>
      <c r="M117" s="25">
        <v>1318511.8399999999</v>
      </c>
      <c r="N117" s="15">
        <v>146</v>
      </c>
      <c r="O117" s="7">
        <f>B117-SUM(C117:M117)</f>
        <v>5439681.9326999541</v>
      </c>
    </row>
    <row r="118" spans="1:15">
      <c r="A118" s="56">
        <v>45107</v>
      </c>
      <c r="B118" s="25">
        <v>21335308.894650023</v>
      </c>
      <c r="C118" s="25">
        <v>2572007.97053</v>
      </c>
      <c r="D118" s="25">
        <v>4440.0915199999999</v>
      </c>
      <c r="E118" s="25">
        <v>829170.80065999972</v>
      </c>
      <c r="F118" s="25">
        <v>27326.584879999999</v>
      </c>
      <c r="G118" s="25">
        <v>5073383.7690799981</v>
      </c>
      <c r="H118" s="25">
        <v>326513.71725000005</v>
      </c>
      <c r="I118" s="25">
        <v>806256.1385</v>
      </c>
      <c r="J118" s="25">
        <v>0</v>
      </c>
      <c r="K118" s="25">
        <v>2581876.2422399996</v>
      </c>
      <c r="L118" s="25">
        <v>2219597.9300000011</v>
      </c>
      <c r="M118" s="25">
        <v>1400846.6396000003</v>
      </c>
      <c r="N118" s="15">
        <v>145</v>
      </c>
      <c r="O118" s="7">
        <f>B118-SUM(C118:M118)</f>
        <v>5493889.0103900246</v>
      </c>
    </row>
    <row r="119" spans="1:15">
      <c r="A119" s="56">
        <v>45138</v>
      </c>
      <c r="B119" s="25">
        <v>20991685.184234984</v>
      </c>
      <c r="C119" s="25">
        <v>2484553.7111999989</v>
      </c>
      <c r="D119" s="25">
        <v>4511.0742399999999</v>
      </c>
      <c r="E119" s="25">
        <v>813847.71159999981</v>
      </c>
      <c r="F119" s="25">
        <v>28212.723040000004</v>
      </c>
      <c r="G119" s="25">
        <v>4815692.906039997</v>
      </c>
      <c r="H119" s="25">
        <v>334791.52980000002</v>
      </c>
      <c r="I119" s="25">
        <v>821128.82455000002</v>
      </c>
      <c r="J119" s="25">
        <v>0</v>
      </c>
      <c r="K119" s="25">
        <v>2542488.20016</v>
      </c>
      <c r="L119" s="25">
        <v>2149786.6400000006</v>
      </c>
      <c r="M119" s="25">
        <v>1384175.9931999999</v>
      </c>
      <c r="N119" s="15">
        <v>146</v>
      </c>
      <c r="O119" s="7">
        <f>B119-SUM(C119:M119)</f>
        <v>5612495.8704049885</v>
      </c>
    </row>
    <row r="120" spans="1:15">
      <c r="A120" s="56">
        <v>45169</v>
      </c>
      <c r="B120" s="25">
        <v>20718112.54638001</v>
      </c>
      <c r="C120" s="25">
        <v>2476611.2160000005</v>
      </c>
      <c r="D120" s="25">
        <v>4410.7193600000001</v>
      </c>
      <c r="E120" s="25">
        <v>798244.39582000009</v>
      </c>
      <c r="F120" s="25">
        <v>27206.836480000002</v>
      </c>
      <c r="G120" s="25">
        <v>4823433.0197999999</v>
      </c>
      <c r="H120" s="25">
        <v>290936.32193999999</v>
      </c>
      <c r="I120" s="25">
        <v>806990.8556799998</v>
      </c>
      <c r="J120" s="25">
        <v>0</v>
      </c>
      <c r="K120" s="25">
        <v>2476511.7575000008</v>
      </c>
      <c r="L120" s="25">
        <v>2147614.0999999996</v>
      </c>
      <c r="M120" s="25">
        <v>1382192</v>
      </c>
      <c r="N120" s="15">
        <v>145</v>
      </c>
      <c r="O120" s="2">
        <f>B120-SUM(C120:M120)</f>
        <v>5483961.3238000087</v>
      </c>
    </row>
  </sheetData>
  <pageMargins left="0.75" right="0.75" top="1" bottom="1" header="0.5" footer="0.5"/>
  <pageSetup orientation="portrait" horizontalDpi="4294967292" verticalDpi="429496729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2D3F7-8BD4-43F1-98BD-54D167915BB1}">
  <dimension ref="A1:E48"/>
  <sheetViews>
    <sheetView topLeftCell="A17" workbookViewId="0">
      <selection activeCell="AC58" sqref="AC58"/>
    </sheetView>
  </sheetViews>
  <sheetFormatPr baseColWidth="10" defaultColWidth="8.83203125" defaultRowHeight="16"/>
  <cols>
    <col min="1" max="1" width="10.1640625" bestFit="1" customWidth="1"/>
    <col min="2" max="2" width="15" bestFit="1" customWidth="1"/>
    <col min="3" max="3" width="5.33203125" bestFit="1" customWidth="1"/>
    <col min="4" max="4" width="14.6640625" bestFit="1" customWidth="1"/>
    <col min="5" max="5" width="12.1640625" bestFit="1" customWidth="1"/>
  </cols>
  <sheetData>
    <row r="1" spans="1:5">
      <c r="A1" s="3" t="s">
        <v>0</v>
      </c>
      <c r="B1" s="3" t="s">
        <v>1</v>
      </c>
      <c r="C1" s="9" t="s">
        <v>69</v>
      </c>
    </row>
    <row r="2" spans="1:5">
      <c r="A2" s="38">
        <v>43496</v>
      </c>
      <c r="B2" s="2">
        <v>11216717.370000001</v>
      </c>
      <c r="C2">
        <v>1</v>
      </c>
    </row>
    <row r="3" spans="1:5">
      <c r="A3" s="38">
        <v>43524</v>
      </c>
      <c r="B3" s="2">
        <v>11615657.09</v>
      </c>
      <c r="C3">
        <v>1</v>
      </c>
      <c r="D3" t="s">
        <v>104</v>
      </c>
      <c r="E3" s="6"/>
    </row>
    <row r="4" spans="1:5">
      <c r="A4" s="38">
        <v>43555</v>
      </c>
      <c r="B4" s="2">
        <v>11777962.539999999</v>
      </c>
      <c r="C4">
        <v>1</v>
      </c>
      <c r="D4" s="150" t="s">
        <v>103</v>
      </c>
    </row>
    <row r="5" spans="1:5">
      <c r="A5" s="38">
        <v>43585</v>
      </c>
      <c r="B5" s="2">
        <v>12157306.199999999</v>
      </c>
      <c r="C5">
        <v>1</v>
      </c>
      <c r="D5" t="s">
        <v>95</v>
      </c>
    </row>
    <row r="6" spans="1:5">
      <c r="A6" s="38">
        <v>43616</v>
      </c>
      <c r="B6" s="2">
        <v>11487378.52</v>
      </c>
      <c r="C6">
        <v>1</v>
      </c>
      <c r="D6" t="s">
        <v>100</v>
      </c>
    </row>
    <row r="7" spans="1:5">
      <c r="A7" s="38">
        <v>43646</v>
      </c>
      <c r="B7" s="2">
        <v>12134834.34</v>
      </c>
      <c r="C7">
        <v>1</v>
      </c>
      <c r="D7" t="s">
        <v>101</v>
      </c>
    </row>
    <row r="8" spans="1:5">
      <c r="A8" s="38">
        <v>43677</v>
      </c>
      <c r="B8" s="2">
        <v>12359127.279999999</v>
      </c>
      <c r="C8">
        <v>1</v>
      </c>
      <c r="D8" t="s">
        <v>105</v>
      </c>
    </row>
    <row r="9" spans="1:5">
      <c r="A9" s="38">
        <v>43708</v>
      </c>
      <c r="B9" s="2">
        <v>12442616.870000001</v>
      </c>
      <c r="C9">
        <v>1</v>
      </c>
      <c r="D9" t="s">
        <v>106</v>
      </c>
    </row>
    <row r="10" spans="1:5">
      <c r="A10" s="38">
        <v>43738</v>
      </c>
      <c r="B10" s="2">
        <v>12515935.609999999</v>
      </c>
      <c r="C10">
        <v>1</v>
      </c>
      <c r="D10" t="s">
        <v>118</v>
      </c>
    </row>
    <row r="11" spans="1:5">
      <c r="A11" s="38">
        <v>43769</v>
      </c>
      <c r="B11" s="2">
        <v>12472689.24</v>
      </c>
      <c r="C11">
        <v>1</v>
      </c>
    </row>
    <row r="12" spans="1:5">
      <c r="A12" s="38">
        <v>43799</v>
      </c>
      <c r="B12" s="2">
        <v>12647818.719999999</v>
      </c>
      <c r="C12">
        <v>1</v>
      </c>
      <c r="D12" t="s">
        <v>117</v>
      </c>
    </row>
    <row r="13" spans="1:5">
      <c r="A13" s="38">
        <v>43830</v>
      </c>
      <c r="B13" s="2">
        <v>12739439.65</v>
      </c>
      <c r="C13">
        <v>1</v>
      </c>
      <c r="D13" t="s">
        <v>121</v>
      </c>
    </row>
    <row r="14" spans="1:5">
      <c r="A14" s="38">
        <v>43861</v>
      </c>
      <c r="B14" s="2">
        <v>12972225.199999999</v>
      </c>
      <c r="C14">
        <v>1</v>
      </c>
    </row>
    <row r="15" spans="1:5">
      <c r="A15" s="38">
        <v>43890</v>
      </c>
      <c r="B15" s="2">
        <v>11959009.48</v>
      </c>
      <c r="C15">
        <v>1</v>
      </c>
    </row>
    <row r="16" spans="1:5">
      <c r="A16" s="38">
        <v>43921</v>
      </c>
      <c r="B16" s="2">
        <v>10585270.74</v>
      </c>
      <c r="C16">
        <v>1</v>
      </c>
    </row>
    <row r="17" spans="1:3">
      <c r="A17" s="38">
        <v>43951</v>
      </c>
      <c r="B17" s="2">
        <v>11490508.449999999</v>
      </c>
      <c r="C17">
        <v>1</v>
      </c>
    </row>
    <row r="18" spans="1:3">
      <c r="A18" s="38">
        <v>43982</v>
      </c>
      <c r="B18" s="2">
        <v>11108334.780000001</v>
      </c>
      <c r="C18">
        <v>1</v>
      </c>
    </row>
    <row r="19" spans="1:3">
      <c r="A19" s="38">
        <v>44012</v>
      </c>
      <c r="B19" s="2">
        <v>11179757.16</v>
      </c>
      <c r="C19">
        <v>1</v>
      </c>
    </row>
    <row r="20" spans="1:3">
      <c r="A20" s="38">
        <v>44043</v>
      </c>
      <c r="B20" s="2">
        <v>11857112.84</v>
      </c>
      <c r="C20">
        <v>1</v>
      </c>
    </row>
    <row r="21" spans="1:3">
      <c r="A21" s="38">
        <v>44074</v>
      </c>
      <c r="B21" s="2">
        <v>12389329.26</v>
      </c>
      <c r="C21">
        <v>1</v>
      </c>
    </row>
    <row r="22" spans="1:3">
      <c r="A22" s="38">
        <v>44104</v>
      </c>
      <c r="B22" s="2">
        <v>12069111.33</v>
      </c>
      <c r="C22">
        <v>1</v>
      </c>
    </row>
    <row r="23" spans="1:3">
      <c r="A23" s="38">
        <v>44135</v>
      </c>
      <c r="B23" s="2">
        <v>11818683.560000001</v>
      </c>
      <c r="C23">
        <v>1</v>
      </c>
    </row>
    <row r="24" spans="1:3">
      <c r="A24" s="38">
        <v>44165</v>
      </c>
      <c r="B24" s="2">
        <v>12652334.01</v>
      </c>
      <c r="C24">
        <v>1</v>
      </c>
    </row>
    <row r="25" spans="1:3">
      <c r="A25" s="38">
        <v>44196</v>
      </c>
      <c r="B25" s="2">
        <v>13130902.67</v>
      </c>
      <c r="C25">
        <v>1</v>
      </c>
    </row>
    <row r="26" spans="1:3">
      <c r="A26" s="38">
        <v>44227</v>
      </c>
      <c r="B26" s="2">
        <v>12739854.140000001</v>
      </c>
      <c r="C26">
        <v>1</v>
      </c>
    </row>
    <row r="27" spans="1:3">
      <c r="A27" s="38">
        <v>44255</v>
      </c>
      <c r="B27" s="2">
        <v>12756755.800000001</v>
      </c>
      <c r="C27">
        <v>1</v>
      </c>
    </row>
    <row r="28" spans="1:3">
      <c r="A28" s="38">
        <v>44286</v>
      </c>
      <c r="B28" s="2">
        <v>13067345.83</v>
      </c>
      <c r="C28">
        <v>1</v>
      </c>
    </row>
    <row r="29" spans="1:3">
      <c r="A29" s="38">
        <v>44316</v>
      </c>
      <c r="B29" s="2">
        <v>13712342.310000001</v>
      </c>
      <c r="C29">
        <v>1</v>
      </c>
    </row>
    <row r="30" spans="1:3">
      <c r="A30" s="38">
        <v>44347</v>
      </c>
      <c r="B30" s="2">
        <v>13712052.83</v>
      </c>
      <c r="C30">
        <v>1</v>
      </c>
    </row>
    <row r="31" spans="1:3">
      <c r="A31" s="38">
        <v>44377</v>
      </c>
      <c r="B31" s="2">
        <v>14170485.969999999</v>
      </c>
      <c r="C31">
        <v>1</v>
      </c>
    </row>
    <row r="32" spans="1:3">
      <c r="A32" s="38">
        <v>44408</v>
      </c>
      <c r="B32" s="2">
        <v>14566188.52</v>
      </c>
      <c r="C32">
        <v>1</v>
      </c>
    </row>
    <row r="33" spans="1:4">
      <c r="A33" s="38">
        <v>44439</v>
      </c>
      <c r="B33" s="2">
        <v>14900958.18</v>
      </c>
      <c r="C33">
        <v>1</v>
      </c>
    </row>
    <row r="34" spans="1:4">
      <c r="A34" s="38">
        <v>44469</v>
      </c>
      <c r="B34" s="2">
        <v>12161657.039999999</v>
      </c>
      <c r="C34">
        <v>1</v>
      </c>
    </row>
    <row r="35" spans="1:4">
      <c r="A35" s="38">
        <v>44500</v>
      </c>
      <c r="B35" s="2">
        <v>13162239.440000001</v>
      </c>
      <c r="C35">
        <v>1</v>
      </c>
    </row>
    <row r="36" spans="1:4">
      <c r="A36" s="38">
        <v>44530</v>
      </c>
      <c r="B36" s="2">
        <v>12949684.02</v>
      </c>
      <c r="C36">
        <v>1</v>
      </c>
    </row>
    <row r="37" spans="1:4">
      <c r="A37" s="38">
        <v>44561</v>
      </c>
      <c r="B37" s="2">
        <v>13477466.210000001</v>
      </c>
      <c r="C37">
        <v>1</v>
      </c>
    </row>
    <row r="38" spans="1:4">
      <c r="A38" s="38">
        <v>44592</v>
      </c>
      <c r="B38" s="2">
        <v>12515271.210000001</v>
      </c>
      <c r="C38">
        <v>1</v>
      </c>
    </row>
    <row r="39" spans="1:4">
      <c r="A39" s="38">
        <v>44620</v>
      </c>
      <c r="B39" s="2">
        <v>11978036.470000001</v>
      </c>
      <c r="C39">
        <v>1</v>
      </c>
    </row>
    <row r="40" spans="1:4">
      <c r="A40" s="38">
        <v>44651</v>
      </c>
      <c r="B40" s="2">
        <v>12574828.289999999</v>
      </c>
      <c r="C40">
        <v>1</v>
      </c>
    </row>
    <row r="41" spans="1:4">
      <c r="A41" s="38">
        <v>44681</v>
      </c>
      <c r="B41" s="2">
        <v>12127142.93</v>
      </c>
      <c r="C41">
        <v>1</v>
      </c>
    </row>
    <row r="42" spans="1:4">
      <c r="A42" s="38">
        <v>44712</v>
      </c>
      <c r="B42" s="2">
        <v>12162347.26</v>
      </c>
      <c r="C42">
        <v>1</v>
      </c>
    </row>
    <row r="43" spans="1:4">
      <c r="A43" s="38">
        <v>44742</v>
      </c>
      <c r="B43" s="2">
        <v>11389906.530000001</v>
      </c>
      <c r="C43">
        <v>1</v>
      </c>
    </row>
    <row r="44" spans="1:4">
      <c r="A44" s="38">
        <v>44773</v>
      </c>
      <c r="B44" s="2">
        <v>11903525.359999999</v>
      </c>
      <c r="C44">
        <v>1</v>
      </c>
    </row>
    <row r="45" spans="1:4">
      <c r="A45" s="38">
        <v>44804</v>
      </c>
      <c r="B45" s="2">
        <v>11602960.780000001</v>
      </c>
      <c r="C45">
        <v>1</v>
      </c>
    </row>
    <row r="46" spans="1:4">
      <c r="A46" s="38">
        <v>44834</v>
      </c>
      <c r="B46" s="2">
        <v>10721040.939999999</v>
      </c>
      <c r="C46">
        <v>1</v>
      </c>
    </row>
    <row r="47" spans="1:4">
      <c r="B47" s="2"/>
      <c r="D47" t="s">
        <v>155</v>
      </c>
    </row>
    <row r="48" spans="1:4">
      <c r="B48" s="2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28F82-DA5F-4ECD-B331-AA2E2CC27CC8}">
  <dimension ref="A1:J37"/>
  <sheetViews>
    <sheetView workbookViewId="0">
      <selection activeCell="H30" sqref="H30"/>
    </sheetView>
  </sheetViews>
  <sheetFormatPr baseColWidth="10" defaultColWidth="8.83203125" defaultRowHeight="16"/>
  <cols>
    <col min="1" max="1" width="10.1640625" bestFit="1" customWidth="1"/>
    <col min="2" max="2" width="15.1640625" customWidth="1"/>
    <col min="3" max="3" width="6.6640625" bestFit="1" customWidth="1"/>
    <col min="4" max="4" width="16.33203125" customWidth="1"/>
    <col min="5" max="5" width="5.33203125" bestFit="1" customWidth="1"/>
    <col min="6" max="6" width="22" customWidth="1"/>
    <col min="7" max="7" width="5.33203125" bestFit="1" customWidth="1"/>
    <col min="8" max="8" width="16" bestFit="1" customWidth="1"/>
    <col min="9" max="9" width="5.33203125" bestFit="1" customWidth="1"/>
    <col min="10" max="10" width="14.5" bestFit="1" customWidth="1"/>
  </cols>
  <sheetData>
    <row r="1" spans="1:10" ht="48">
      <c r="A1" s="3" t="s">
        <v>0</v>
      </c>
      <c r="B1" s="155" t="s">
        <v>107</v>
      </c>
      <c r="C1" s="9" t="s">
        <v>69</v>
      </c>
      <c r="D1" s="155" t="s">
        <v>108</v>
      </c>
      <c r="E1" s="9" t="s">
        <v>69</v>
      </c>
      <c r="F1" s="155" t="s">
        <v>115</v>
      </c>
      <c r="G1" s="9" t="s">
        <v>69</v>
      </c>
      <c r="H1" s="3" t="s">
        <v>10</v>
      </c>
      <c r="I1" s="3" t="s">
        <v>69</v>
      </c>
    </row>
    <row r="2" spans="1:10">
      <c r="A2" s="38">
        <v>43738</v>
      </c>
      <c r="B2" s="2">
        <v>3774342.51</v>
      </c>
      <c r="C2" s="89">
        <v>1</v>
      </c>
      <c r="D2" s="2">
        <v>7352683.8900000006</v>
      </c>
      <c r="E2" s="89">
        <v>1</v>
      </c>
      <c r="F2" s="2">
        <v>58246791.349999994</v>
      </c>
      <c r="G2" s="89">
        <v>1</v>
      </c>
      <c r="H2" s="6">
        <f t="shared" ref="H2:I4" si="0">B2+D2+F2</f>
        <v>69373817.75</v>
      </c>
      <c r="I2" s="85">
        <f t="shared" si="0"/>
        <v>3</v>
      </c>
    </row>
    <row r="3" spans="1:10">
      <c r="A3" s="38">
        <v>43769</v>
      </c>
      <c r="B3" s="2"/>
      <c r="C3" s="89"/>
      <c r="D3" s="2"/>
      <c r="E3" s="89"/>
      <c r="F3" s="2">
        <v>58778606.129999995</v>
      </c>
      <c r="G3">
        <v>1</v>
      </c>
      <c r="H3" s="6">
        <f t="shared" si="0"/>
        <v>58778606.129999995</v>
      </c>
      <c r="I3" s="85">
        <f t="shared" si="0"/>
        <v>1</v>
      </c>
      <c r="J3" t="s">
        <v>116</v>
      </c>
    </row>
    <row r="4" spans="1:10">
      <c r="A4" s="38">
        <v>43799</v>
      </c>
      <c r="B4" s="2"/>
      <c r="C4" s="89"/>
      <c r="D4" s="2"/>
      <c r="E4" s="89"/>
      <c r="F4" s="2">
        <v>63738463.309999995</v>
      </c>
      <c r="G4">
        <v>1</v>
      </c>
      <c r="H4" s="6">
        <f t="shared" si="0"/>
        <v>63738463.309999995</v>
      </c>
      <c r="I4" s="85">
        <f t="shared" si="0"/>
        <v>1</v>
      </c>
    </row>
    <row r="5" spans="1:10">
      <c r="A5" s="38">
        <v>43830</v>
      </c>
      <c r="B5" s="2"/>
      <c r="C5" s="89"/>
      <c r="D5" s="2"/>
      <c r="E5" s="89"/>
      <c r="F5" s="2">
        <v>68456053.590000004</v>
      </c>
      <c r="G5">
        <v>1</v>
      </c>
      <c r="H5" s="6">
        <f>B5+D5+F5</f>
        <v>68456053.590000004</v>
      </c>
      <c r="I5" s="85">
        <f>C5+E5+G5</f>
        <v>1</v>
      </c>
    </row>
    <row r="6" spans="1:10">
      <c r="A6" s="38">
        <v>43861</v>
      </c>
      <c r="B6" s="2"/>
      <c r="C6" s="89"/>
      <c r="D6" s="2"/>
      <c r="E6" s="89"/>
      <c r="F6" s="2">
        <v>73465095.870000005</v>
      </c>
      <c r="G6">
        <v>1</v>
      </c>
      <c r="H6" s="6">
        <f>B6+D6+F6</f>
        <v>73465095.870000005</v>
      </c>
      <c r="I6" s="85">
        <f>C6+E6+G6</f>
        <v>1</v>
      </c>
    </row>
    <row r="7" spans="1:10">
      <c r="A7" s="38">
        <v>43890</v>
      </c>
      <c r="B7" s="2"/>
      <c r="C7" s="89"/>
      <c r="D7" s="2"/>
      <c r="E7" s="89"/>
      <c r="F7" s="2">
        <v>77859997.849999994</v>
      </c>
      <c r="G7">
        <v>1</v>
      </c>
      <c r="H7" s="6">
        <f t="shared" ref="H7:H14" si="1">B7+D7+F7</f>
        <v>77859997.849999994</v>
      </c>
      <c r="I7" s="85">
        <f t="shared" ref="I7:I14" si="2">C7+E7+G7</f>
        <v>1</v>
      </c>
    </row>
    <row r="8" spans="1:10">
      <c r="A8" s="38">
        <v>43921</v>
      </c>
      <c r="B8" s="2"/>
      <c r="C8" s="89"/>
      <c r="D8" s="2"/>
      <c r="E8" s="89"/>
      <c r="F8" s="2">
        <v>95852265.829999998</v>
      </c>
      <c r="G8">
        <v>1</v>
      </c>
      <c r="H8" s="6">
        <f t="shared" si="1"/>
        <v>95852265.829999998</v>
      </c>
      <c r="I8" s="85">
        <f t="shared" si="2"/>
        <v>1</v>
      </c>
    </row>
    <row r="9" spans="1:10">
      <c r="A9" s="38">
        <v>43951</v>
      </c>
      <c r="B9" s="2"/>
      <c r="C9" s="89"/>
      <c r="D9" s="2"/>
      <c r="E9" s="89"/>
      <c r="F9" s="2">
        <v>107454230.75</v>
      </c>
      <c r="G9">
        <v>1</v>
      </c>
      <c r="H9" s="6">
        <f t="shared" si="1"/>
        <v>107454230.75</v>
      </c>
      <c r="I9" s="85">
        <f t="shared" si="2"/>
        <v>1</v>
      </c>
    </row>
    <row r="10" spans="1:10">
      <c r="A10" s="38">
        <v>43982</v>
      </c>
      <c r="B10" s="2"/>
      <c r="C10" s="89"/>
      <c r="D10" s="2"/>
      <c r="E10" s="89"/>
      <c r="F10" s="2">
        <v>111832143.89</v>
      </c>
      <c r="G10">
        <v>1</v>
      </c>
      <c r="H10" s="6">
        <f t="shared" si="1"/>
        <v>111832143.89</v>
      </c>
      <c r="I10" s="85">
        <f t="shared" si="2"/>
        <v>1</v>
      </c>
    </row>
    <row r="11" spans="1:10">
      <c r="A11" s="38">
        <v>44012</v>
      </c>
      <c r="B11" s="2"/>
      <c r="C11" s="89"/>
      <c r="D11" s="2"/>
      <c r="E11" s="89"/>
      <c r="F11" s="2">
        <v>123460346.81</v>
      </c>
      <c r="G11">
        <v>1</v>
      </c>
      <c r="H11" s="6">
        <f t="shared" si="1"/>
        <v>123460346.81</v>
      </c>
      <c r="I11" s="85">
        <f t="shared" si="2"/>
        <v>1</v>
      </c>
      <c r="J11" s="6"/>
    </row>
    <row r="12" spans="1:10">
      <c r="A12" s="38">
        <v>44043</v>
      </c>
      <c r="B12" s="2"/>
      <c r="C12" s="89"/>
      <c r="D12" s="2"/>
      <c r="E12" s="89"/>
      <c r="F12" s="2">
        <v>138141778.76999998</v>
      </c>
      <c r="G12">
        <v>1</v>
      </c>
      <c r="H12" s="6">
        <f t="shared" si="1"/>
        <v>138141778.76999998</v>
      </c>
      <c r="I12" s="85">
        <f t="shared" si="2"/>
        <v>1</v>
      </c>
    </row>
    <row r="13" spans="1:10">
      <c r="A13" s="38">
        <v>44074</v>
      </c>
      <c r="B13" s="2"/>
      <c r="C13" s="89"/>
      <c r="D13" s="2"/>
      <c r="E13" s="89"/>
      <c r="F13" s="2">
        <v>169171118.54999998</v>
      </c>
      <c r="G13">
        <v>1</v>
      </c>
      <c r="H13" s="6">
        <f t="shared" si="1"/>
        <v>169171118.54999998</v>
      </c>
      <c r="I13" s="85">
        <f t="shared" si="2"/>
        <v>1</v>
      </c>
    </row>
    <row r="14" spans="1:10">
      <c r="A14" s="38">
        <v>44104</v>
      </c>
      <c r="B14" s="2"/>
      <c r="C14" s="89"/>
      <c r="D14" s="2"/>
      <c r="E14" s="89"/>
      <c r="F14" s="2">
        <v>173862534.68000001</v>
      </c>
      <c r="G14">
        <v>1</v>
      </c>
      <c r="H14" s="6">
        <f t="shared" si="1"/>
        <v>173862534.68000001</v>
      </c>
      <c r="I14" s="85">
        <f t="shared" si="2"/>
        <v>1</v>
      </c>
    </row>
    <row r="15" spans="1:10">
      <c r="A15" s="38">
        <v>44135</v>
      </c>
      <c r="B15" s="2"/>
      <c r="C15" s="89"/>
      <c r="D15" s="2"/>
      <c r="E15" s="89"/>
      <c r="F15" s="2">
        <v>184991310.12</v>
      </c>
      <c r="G15">
        <v>1</v>
      </c>
      <c r="H15" s="6">
        <f t="shared" ref="H15:I30" si="3">B15+D15+F15</f>
        <v>184991310.12</v>
      </c>
      <c r="I15" s="85">
        <f t="shared" si="3"/>
        <v>1</v>
      </c>
    </row>
    <row r="16" spans="1:10">
      <c r="A16" s="38">
        <v>44165</v>
      </c>
      <c r="B16" s="2"/>
      <c r="C16" s="89"/>
      <c r="D16" s="2"/>
      <c r="E16" s="89"/>
      <c r="F16" s="2">
        <v>213185862.59</v>
      </c>
      <c r="G16">
        <v>1</v>
      </c>
      <c r="H16" s="6">
        <f t="shared" si="3"/>
        <v>213185862.59</v>
      </c>
      <c r="I16" s="85">
        <f t="shared" si="3"/>
        <v>1</v>
      </c>
    </row>
    <row r="17" spans="1:9">
      <c r="A17" s="38">
        <v>44196</v>
      </c>
      <c r="B17" s="2"/>
      <c r="C17" s="89"/>
      <c r="D17" s="2"/>
      <c r="E17" s="89"/>
      <c r="F17" s="2">
        <v>236852937.58999997</v>
      </c>
      <c r="G17">
        <v>1</v>
      </c>
      <c r="H17" s="6">
        <f t="shared" si="3"/>
        <v>236852937.58999997</v>
      </c>
      <c r="I17" s="85">
        <f t="shared" si="3"/>
        <v>1</v>
      </c>
    </row>
    <row r="18" spans="1:9">
      <c r="A18" s="38">
        <v>44227</v>
      </c>
      <c r="B18" s="2"/>
      <c r="C18" s="89"/>
      <c r="D18" s="2"/>
      <c r="E18" s="89"/>
      <c r="F18" s="2">
        <v>253680230.27999997</v>
      </c>
      <c r="G18">
        <v>1</v>
      </c>
      <c r="H18" s="6">
        <f t="shared" si="3"/>
        <v>253680230.27999997</v>
      </c>
      <c r="I18" s="85">
        <f t="shared" si="3"/>
        <v>1</v>
      </c>
    </row>
    <row r="19" spans="1:9">
      <c r="A19" s="38">
        <v>44255</v>
      </c>
      <c r="B19" s="2"/>
      <c r="C19" s="89"/>
      <c r="D19" s="2"/>
      <c r="E19" s="89"/>
      <c r="F19" s="2">
        <v>262792973.81999999</v>
      </c>
      <c r="G19">
        <v>1</v>
      </c>
      <c r="H19" s="6">
        <f t="shared" si="3"/>
        <v>262792973.81999999</v>
      </c>
      <c r="I19" s="85">
        <f t="shared" si="3"/>
        <v>1</v>
      </c>
    </row>
    <row r="20" spans="1:9">
      <c r="A20" s="38">
        <v>44286</v>
      </c>
      <c r="B20" s="2"/>
      <c r="C20" s="89"/>
      <c r="D20" s="2"/>
      <c r="E20" s="89"/>
      <c r="F20" s="2">
        <v>273396595.08999997</v>
      </c>
      <c r="G20">
        <v>1</v>
      </c>
      <c r="H20" s="6">
        <f t="shared" si="3"/>
        <v>273396595.08999997</v>
      </c>
      <c r="I20" s="85">
        <f t="shared" si="3"/>
        <v>1</v>
      </c>
    </row>
    <row r="21" spans="1:9">
      <c r="A21" s="38">
        <v>44316</v>
      </c>
      <c r="B21" s="2"/>
      <c r="C21" s="89"/>
      <c r="D21" s="2"/>
      <c r="E21" s="89"/>
      <c r="F21" s="2">
        <v>294049310.26999998</v>
      </c>
      <c r="G21">
        <v>1</v>
      </c>
      <c r="H21" s="6">
        <f t="shared" si="3"/>
        <v>294049310.26999998</v>
      </c>
      <c r="I21" s="85">
        <f t="shared" si="3"/>
        <v>1</v>
      </c>
    </row>
    <row r="22" spans="1:9">
      <c r="A22" s="38">
        <v>44347</v>
      </c>
      <c r="B22" s="2"/>
      <c r="C22" s="89"/>
      <c r="D22" s="2"/>
      <c r="E22" s="89"/>
      <c r="F22" s="2">
        <v>292661795.51999998</v>
      </c>
      <c r="G22">
        <v>1</v>
      </c>
      <c r="H22" s="6">
        <f t="shared" si="3"/>
        <v>292661795.51999998</v>
      </c>
      <c r="I22" s="85">
        <f t="shared" si="3"/>
        <v>1</v>
      </c>
    </row>
    <row r="23" spans="1:9">
      <c r="A23" s="38">
        <v>44377</v>
      </c>
      <c r="B23" s="2"/>
      <c r="C23" s="89"/>
      <c r="D23" s="2"/>
      <c r="E23" s="89"/>
      <c r="F23" s="2">
        <v>288575037.25999999</v>
      </c>
      <c r="G23">
        <v>1</v>
      </c>
      <c r="H23" s="6">
        <f t="shared" si="3"/>
        <v>288575037.25999999</v>
      </c>
      <c r="I23" s="85">
        <f t="shared" si="3"/>
        <v>1</v>
      </c>
    </row>
    <row r="24" spans="1:9">
      <c r="A24" s="38">
        <v>44408</v>
      </c>
      <c r="B24" s="2"/>
      <c r="C24" s="89"/>
      <c r="D24" s="2"/>
      <c r="E24" s="89"/>
      <c r="F24" s="2">
        <v>117149.64</v>
      </c>
      <c r="G24">
        <v>1</v>
      </c>
      <c r="H24" s="6">
        <f t="shared" si="3"/>
        <v>117149.64</v>
      </c>
      <c r="I24" s="85">
        <f t="shared" si="3"/>
        <v>1</v>
      </c>
    </row>
    <row r="25" spans="1:9">
      <c r="A25" s="38">
        <v>44439</v>
      </c>
      <c r="B25" s="2"/>
      <c r="C25" s="89"/>
      <c r="D25" s="2"/>
      <c r="E25" s="89"/>
      <c r="F25" s="2">
        <v>81753.31</v>
      </c>
      <c r="G25">
        <v>1</v>
      </c>
      <c r="H25" s="6">
        <f t="shared" si="3"/>
        <v>81753.31</v>
      </c>
      <c r="I25" s="85">
        <f t="shared" si="3"/>
        <v>1</v>
      </c>
    </row>
    <row r="26" spans="1:9">
      <c r="A26" s="38">
        <v>44469</v>
      </c>
      <c r="B26" s="2"/>
      <c r="C26" s="89"/>
      <c r="D26" s="2"/>
      <c r="E26" s="89"/>
      <c r="F26" s="2">
        <v>76967.210000000006</v>
      </c>
      <c r="G26">
        <v>1</v>
      </c>
      <c r="H26" s="6">
        <f t="shared" si="3"/>
        <v>76967.210000000006</v>
      </c>
      <c r="I26" s="85">
        <f t="shared" si="3"/>
        <v>1</v>
      </c>
    </row>
    <row r="27" spans="1:9">
      <c r="A27" s="38">
        <v>44500</v>
      </c>
      <c r="B27" s="2"/>
      <c r="C27" s="89"/>
      <c r="D27" s="2"/>
      <c r="E27" s="89"/>
      <c r="F27" s="2">
        <v>33042.53</v>
      </c>
      <c r="G27">
        <v>1</v>
      </c>
      <c r="H27" s="6">
        <f t="shared" si="3"/>
        <v>33042.53</v>
      </c>
      <c r="I27" s="85">
        <f t="shared" si="3"/>
        <v>1</v>
      </c>
    </row>
    <row r="28" spans="1:9">
      <c r="A28" s="38">
        <v>44530</v>
      </c>
      <c r="B28" s="2"/>
      <c r="C28" s="89"/>
      <c r="D28" s="2"/>
      <c r="E28" s="89"/>
      <c r="F28" s="2">
        <v>33702.339999999997</v>
      </c>
      <c r="G28">
        <v>1</v>
      </c>
      <c r="H28" s="6">
        <f t="shared" si="3"/>
        <v>33702.339999999997</v>
      </c>
      <c r="I28" s="85">
        <f t="shared" si="3"/>
        <v>1</v>
      </c>
    </row>
    <row r="29" spans="1:9">
      <c r="A29" s="38">
        <v>44561</v>
      </c>
      <c r="B29" s="2"/>
      <c r="C29" s="89"/>
      <c r="D29" s="2"/>
      <c r="E29" s="89"/>
      <c r="F29" s="2">
        <v>34047.22</v>
      </c>
      <c r="G29">
        <v>1</v>
      </c>
      <c r="H29" s="6">
        <f t="shared" si="3"/>
        <v>34047.22</v>
      </c>
      <c r="I29" s="85">
        <f t="shared" si="3"/>
        <v>1</v>
      </c>
    </row>
    <row r="30" spans="1:9">
      <c r="A30" s="38">
        <v>44592</v>
      </c>
      <c r="B30" s="2"/>
      <c r="C30" s="89"/>
      <c r="D30" s="2"/>
      <c r="E30" s="89"/>
      <c r="F30" s="2">
        <v>31069.100000000002</v>
      </c>
      <c r="G30">
        <v>1</v>
      </c>
      <c r="H30" s="6">
        <f t="shared" si="3"/>
        <v>31069.100000000002</v>
      </c>
      <c r="I30" s="85">
        <f t="shared" si="3"/>
        <v>1</v>
      </c>
    </row>
    <row r="31" spans="1:9">
      <c r="B31" s="2"/>
      <c r="C31" s="89"/>
      <c r="D31" s="2"/>
      <c r="E31" s="89"/>
      <c r="F31" s="2"/>
    </row>
    <row r="32" spans="1:9">
      <c r="B32" s="2"/>
      <c r="C32" s="89"/>
      <c r="D32" s="2"/>
      <c r="E32" s="89"/>
      <c r="F32" s="2"/>
    </row>
    <row r="33" spans="2:6">
      <c r="B33" s="2"/>
      <c r="C33" s="89"/>
      <c r="D33" s="2"/>
      <c r="E33" s="89"/>
      <c r="F33" s="2"/>
    </row>
    <row r="34" spans="2:6">
      <c r="F34" s="2"/>
    </row>
    <row r="35" spans="2:6">
      <c r="F35" s="2"/>
    </row>
    <row r="36" spans="2:6">
      <c r="F36" s="2"/>
    </row>
    <row r="37" spans="2:6">
      <c r="F37" s="2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68"/>
  <sheetViews>
    <sheetView workbookViewId="0">
      <pane ySplit="1" topLeftCell="A17" activePane="bottomLeft" state="frozen"/>
      <selection pane="bottomLeft" activeCell="P51" sqref="P51"/>
    </sheetView>
  </sheetViews>
  <sheetFormatPr baseColWidth="10" defaultColWidth="11" defaultRowHeight="16"/>
  <cols>
    <col min="2" max="2" width="15" bestFit="1" customWidth="1"/>
    <col min="3" max="3" width="7" bestFit="1" customWidth="1"/>
    <col min="4" max="4" width="20.1640625" bestFit="1" customWidth="1"/>
  </cols>
  <sheetData>
    <row r="1" spans="1:4">
      <c r="A1" s="3" t="s">
        <v>0</v>
      </c>
      <c r="B1" s="3" t="s">
        <v>1</v>
      </c>
      <c r="C1" s="3" t="s">
        <v>69</v>
      </c>
    </row>
    <row r="2" spans="1:4" ht="17" customHeight="1">
      <c r="A2" s="38">
        <v>42916</v>
      </c>
      <c r="B2" s="2">
        <v>9908609.8599999994</v>
      </c>
      <c r="C2" s="89">
        <v>1</v>
      </c>
      <c r="D2" t="s">
        <v>96</v>
      </c>
    </row>
    <row r="3" spans="1:4" ht="17" customHeight="1">
      <c r="A3" s="38">
        <v>42947</v>
      </c>
      <c r="B3" s="2">
        <v>10021700.619999999</v>
      </c>
      <c r="C3" s="89">
        <v>1</v>
      </c>
    </row>
    <row r="4" spans="1:4" ht="17" customHeight="1">
      <c r="A4" s="38">
        <v>42978</v>
      </c>
      <c r="B4" s="2">
        <v>15198956.880000001</v>
      </c>
      <c r="C4" s="89">
        <v>1</v>
      </c>
      <c r="D4" t="s">
        <v>97</v>
      </c>
    </row>
    <row r="5" spans="1:4" ht="17" customHeight="1">
      <c r="A5" s="38">
        <v>43008</v>
      </c>
      <c r="B5" s="2">
        <v>15454865.289999999</v>
      </c>
      <c r="C5" s="89">
        <v>1</v>
      </c>
    </row>
    <row r="6" spans="1:4" ht="17" customHeight="1">
      <c r="A6" s="38">
        <v>43039</v>
      </c>
      <c r="B6" s="2">
        <v>15664492.960000001</v>
      </c>
      <c r="C6" s="89">
        <v>1</v>
      </c>
    </row>
    <row r="7" spans="1:4" ht="17" customHeight="1">
      <c r="A7" s="38">
        <v>43069</v>
      </c>
      <c r="B7" s="2">
        <v>16012241.59</v>
      </c>
      <c r="C7" s="89">
        <v>1</v>
      </c>
    </row>
    <row r="8" spans="1:4" ht="17" customHeight="1">
      <c r="A8" s="38">
        <v>43100</v>
      </c>
      <c r="B8" s="2">
        <v>16186332.779999999</v>
      </c>
      <c r="C8" s="89">
        <v>1</v>
      </c>
    </row>
    <row r="9" spans="1:4">
      <c r="A9" s="38">
        <v>43131</v>
      </c>
      <c r="B9" s="2">
        <v>16733207.039999999</v>
      </c>
      <c r="C9" s="89">
        <v>1</v>
      </c>
    </row>
    <row r="10" spans="1:4">
      <c r="A10" s="38">
        <v>43159</v>
      </c>
      <c r="B10" s="2">
        <v>16142490.529999999</v>
      </c>
      <c r="C10" s="89">
        <v>1</v>
      </c>
    </row>
    <row r="11" spans="1:4">
      <c r="A11" s="38">
        <v>43190</v>
      </c>
      <c r="B11" s="2">
        <v>16053165.77</v>
      </c>
      <c r="C11" s="89">
        <v>1</v>
      </c>
    </row>
    <row r="12" spans="1:4">
      <c r="A12" s="38">
        <v>43220</v>
      </c>
      <c r="B12" s="2">
        <v>15923674.039999999</v>
      </c>
      <c r="C12" s="89">
        <v>1</v>
      </c>
    </row>
    <row r="13" spans="1:4">
      <c r="A13" s="38">
        <v>43251</v>
      </c>
      <c r="B13" s="2">
        <v>16102011.754999999</v>
      </c>
      <c r="C13" s="89">
        <v>1</v>
      </c>
    </row>
    <row r="14" spans="1:4">
      <c r="A14" s="38">
        <v>43281</v>
      </c>
      <c r="B14" s="2">
        <v>16137785.500000006</v>
      </c>
      <c r="C14" s="89">
        <v>1</v>
      </c>
    </row>
    <row r="15" spans="1:4">
      <c r="A15" s="38">
        <v>43312</v>
      </c>
      <c r="B15" s="2">
        <v>16723547.710000005</v>
      </c>
      <c r="C15" s="89">
        <v>1</v>
      </c>
    </row>
    <row r="16" spans="1:4">
      <c r="A16" s="38">
        <v>43343</v>
      </c>
      <c r="B16" s="2">
        <v>16977039.560000002</v>
      </c>
      <c r="C16" s="89">
        <v>1</v>
      </c>
    </row>
    <row r="17" spans="1:4">
      <c r="A17" s="38">
        <v>43373</v>
      </c>
      <c r="B17" s="2">
        <v>17236493.379999999</v>
      </c>
      <c r="C17" s="89">
        <v>1</v>
      </c>
    </row>
    <row r="18" spans="1:4">
      <c r="A18" s="38">
        <v>43404</v>
      </c>
      <c r="B18" s="2">
        <v>15707687.130000001</v>
      </c>
      <c r="C18" s="89">
        <v>1</v>
      </c>
    </row>
    <row r="19" spans="1:4">
      <c r="A19" s="38">
        <v>43434</v>
      </c>
      <c r="B19" s="2">
        <v>16229173.270000003</v>
      </c>
      <c r="C19" s="89">
        <v>1</v>
      </c>
    </row>
    <row r="20" spans="1:4">
      <c r="A20" s="38">
        <v>43465</v>
      </c>
      <c r="B20" s="2">
        <v>15123706.600000001</v>
      </c>
      <c r="C20" s="89">
        <v>1</v>
      </c>
    </row>
    <row r="21" spans="1:4">
      <c r="A21" s="38">
        <v>43496</v>
      </c>
      <c r="B21" s="2">
        <v>15945924.020000001</v>
      </c>
      <c r="C21" s="89">
        <v>1</v>
      </c>
    </row>
    <row r="22" spans="1:4">
      <c r="A22" s="38">
        <v>43524</v>
      </c>
      <c r="B22" s="2">
        <v>16568190.070000002</v>
      </c>
      <c r="C22" s="89">
        <v>1</v>
      </c>
    </row>
    <row r="23" spans="1:4">
      <c r="A23" s="38">
        <v>43555</v>
      </c>
      <c r="B23" s="2">
        <v>16878122.57</v>
      </c>
      <c r="C23" s="89">
        <v>1</v>
      </c>
    </row>
    <row r="24" spans="1:4">
      <c r="A24" s="38">
        <v>43585</v>
      </c>
      <c r="B24" s="2">
        <v>17359232.700000003</v>
      </c>
      <c r="C24" s="89">
        <v>1</v>
      </c>
    </row>
    <row r="25" spans="1:4">
      <c r="A25" s="38">
        <v>43616</v>
      </c>
      <c r="B25" s="2">
        <v>12096728.620000003</v>
      </c>
      <c r="C25" s="89">
        <v>1</v>
      </c>
      <c r="D25" t="s">
        <v>98</v>
      </c>
    </row>
    <row r="26" spans="1:4">
      <c r="A26" s="38">
        <v>43646</v>
      </c>
      <c r="B26" s="2">
        <v>12658611.939999998</v>
      </c>
      <c r="C26" s="89">
        <v>1</v>
      </c>
    </row>
    <row r="27" spans="1:4">
      <c r="A27" s="38">
        <v>43677</v>
      </c>
      <c r="B27" s="2">
        <v>12656399.279999999</v>
      </c>
      <c r="C27" s="89">
        <v>1</v>
      </c>
    </row>
    <row r="28" spans="1:4">
      <c r="A28" s="38">
        <v>43708</v>
      </c>
      <c r="B28" s="2">
        <v>12691022.100000001</v>
      </c>
      <c r="C28" s="89">
        <v>1</v>
      </c>
    </row>
    <row r="29" spans="1:4">
      <c r="A29" s="38">
        <v>43738</v>
      </c>
      <c r="B29" s="2">
        <v>12895248.699999999</v>
      </c>
      <c r="C29" s="89">
        <v>1</v>
      </c>
    </row>
    <row r="30" spans="1:4">
      <c r="A30" s="38">
        <v>43769</v>
      </c>
      <c r="B30" s="2">
        <v>9405543.3000000026</v>
      </c>
      <c r="C30" s="89">
        <v>1</v>
      </c>
      <c r="D30" t="s">
        <v>110</v>
      </c>
    </row>
    <row r="31" spans="1:4">
      <c r="A31" s="38">
        <v>43799</v>
      </c>
      <c r="B31" s="2">
        <v>6006305.3999999994</v>
      </c>
      <c r="C31" s="89">
        <v>1</v>
      </c>
      <c r="D31" t="s">
        <v>119</v>
      </c>
    </row>
    <row r="32" spans="1:4">
      <c r="A32" s="38">
        <v>43830</v>
      </c>
      <c r="B32" s="2">
        <v>5119549.5199999996</v>
      </c>
      <c r="C32" s="89">
        <v>1</v>
      </c>
      <c r="D32" t="s">
        <v>120</v>
      </c>
    </row>
    <row r="33" spans="1:3">
      <c r="A33" s="38">
        <v>43861</v>
      </c>
      <c r="B33" s="2">
        <v>5172171.6700000009</v>
      </c>
      <c r="C33" s="89">
        <v>1</v>
      </c>
    </row>
    <row r="34" spans="1:3">
      <c r="A34" s="38">
        <v>43890</v>
      </c>
      <c r="B34" s="2">
        <v>4786417.379999999</v>
      </c>
      <c r="C34" s="89">
        <v>1</v>
      </c>
    </row>
    <row r="35" spans="1:3">
      <c r="A35" s="38">
        <v>43921</v>
      </c>
      <c r="B35" s="2">
        <v>4120139.4299999997</v>
      </c>
      <c r="C35" s="89">
        <v>1</v>
      </c>
    </row>
    <row r="36" spans="1:3">
      <c r="A36" s="38">
        <v>43951</v>
      </c>
      <c r="B36" s="2">
        <v>4409940.6700000009</v>
      </c>
      <c r="C36" s="89">
        <v>1</v>
      </c>
    </row>
    <row r="37" spans="1:3">
      <c r="A37" s="38">
        <v>43982</v>
      </c>
      <c r="B37" s="2">
        <v>4568603.879999999</v>
      </c>
      <c r="C37" s="89">
        <v>1</v>
      </c>
    </row>
    <row r="38" spans="1:3">
      <c r="A38" s="38">
        <v>44012</v>
      </c>
      <c r="B38" s="2">
        <v>4598736.7299999995</v>
      </c>
      <c r="C38" s="89">
        <v>1</v>
      </c>
    </row>
    <row r="39" spans="1:3">
      <c r="A39" s="38">
        <v>44043</v>
      </c>
      <c r="B39" s="2">
        <v>4799678.1700000009</v>
      </c>
      <c r="C39" s="89">
        <v>1</v>
      </c>
    </row>
    <row r="40" spans="1:3">
      <c r="A40" s="38">
        <v>44074</v>
      </c>
      <c r="B40" s="2">
        <v>5045622.5500000007</v>
      </c>
      <c r="C40" s="89">
        <v>1</v>
      </c>
    </row>
    <row r="41" spans="1:3">
      <c r="A41" s="38">
        <v>44104</v>
      </c>
      <c r="B41" s="2">
        <v>4915878.5199999996</v>
      </c>
      <c r="C41" s="89">
        <v>1</v>
      </c>
    </row>
    <row r="42" spans="1:3">
      <c r="A42" s="38">
        <v>44135</v>
      </c>
      <c r="B42" s="2">
        <v>4759356.9700000007</v>
      </c>
      <c r="C42" s="89">
        <v>1</v>
      </c>
    </row>
    <row r="43" spans="1:3">
      <c r="A43" s="38">
        <v>44165</v>
      </c>
      <c r="B43" s="2">
        <v>5142549.9399999995</v>
      </c>
      <c r="C43" s="89">
        <v>1</v>
      </c>
    </row>
    <row r="44" spans="1:3">
      <c r="A44" s="38">
        <v>44196</v>
      </c>
      <c r="B44" s="2">
        <v>5306950.08</v>
      </c>
      <c r="C44" s="89">
        <v>1</v>
      </c>
    </row>
    <row r="45" spans="1:3">
      <c r="A45" s="38">
        <v>44227</v>
      </c>
      <c r="B45" s="2">
        <v>5198019.0899999961</v>
      </c>
      <c r="C45" s="89">
        <v>1</v>
      </c>
    </row>
    <row r="46" spans="1:3">
      <c r="A46" s="38">
        <v>44255</v>
      </c>
      <c r="B46" s="2">
        <v>5208802.5949999997</v>
      </c>
      <c r="C46" s="89">
        <v>1</v>
      </c>
    </row>
    <row r="47" spans="1:3">
      <c r="A47" s="38">
        <v>44286</v>
      </c>
      <c r="B47" s="2">
        <v>5360998.1500000013</v>
      </c>
      <c r="C47" s="89">
        <v>1</v>
      </c>
    </row>
    <row r="48" spans="1:3">
      <c r="B48" s="2"/>
    </row>
    <row r="49" spans="2:2">
      <c r="B49" s="2"/>
    </row>
    <row r="50" spans="2:2">
      <c r="B50" s="2"/>
    </row>
    <row r="51" spans="2:2">
      <c r="B51" s="2"/>
    </row>
    <row r="52" spans="2:2">
      <c r="B52" s="2"/>
    </row>
    <row r="53" spans="2:2">
      <c r="B53" s="2"/>
    </row>
    <row r="54" spans="2:2">
      <c r="B54" s="2"/>
    </row>
    <row r="55" spans="2:2">
      <c r="B55" s="2"/>
    </row>
    <row r="56" spans="2:2">
      <c r="B56" s="2"/>
    </row>
    <row r="57" spans="2:2">
      <c r="B57" s="2"/>
    </row>
    <row r="58" spans="2:2">
      <c r="B58" s="2"/>
    </row>
    <row r="59" spans="2:2">
      <c r="B59" s="2"/>
    </row>
    <row r="60" spans="2:2">
      <c r="B60" s="2"/>
    </row>
    <row r="61" spans="2:2">
      <c r="B61" s="2"/>
    </row>
    <row r="62" spans="2:2">
      <c r="B62" s="2"/>
    </row>
    <row r="63" spans="2:2">
      <c r="B63" s="2"/>
    </row>
    <row r="64" spans="2:2">
      <c r="B64" s="2"/>
    </row>
    <row r="65" spans="2:2">
      <c r="B65" s="2"/>
    </row>
    <row r="66" spans="2:2">
      <c r="B66" s="2"/>
    </row>
    <row r="67" spans="2:2">
      <c r="B67" s="2"/>
    </row>
    <row r="68" spans="2:2">
      <c r="B68" s="2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5"/>
  <sheetViews>
    <sheetView workbookViewId="0">
      <pane xSplit="1" ySplit="1" topLeftCell="B23" activePane="bottomRight" state="frozen"/>
      <selection pane="topRight" activeCell="B1" sqref="B1"/>
      <selection pane="bottomLeft" activeCell="A2" sqref="A2"/>
      <selection pane="bottomRight" activeCell="H68" sqref="H68"/>
    </sheetView>
  </sheetViews>
  <sheetFormatPr baseColWidth="10" defaultColWidth="11" defaultRowHeight="16"/>
  <cols>
    <col min="1" max="1" width="11.1640625" style="53" bestFit="1" customWidth="1"/>
    <col min="2" max="2" width="22.33203125" style="29" bestFit="1" customWidth="1"/>
    <col min="3" max="3" width="15.6640625" style="29" customWidth="1"/>
    <col min="4" max="4" width="5.33203125" style="87" bestFit="1" customWidth="1"/>
    <col min="5" max="6" width="12.5" bestFit="1" customWidth="1"/>
  </cols>
  <sheetData>
    <row r="1" spans="1:6">
      <c r="A1" s="52"/>
      <c r="B1" s="33" t="s">
        <v>83</v>
      </c>
      <c r="C1" s="33" t="s">
        <v>6</v>
      </c>
      <c r="D1" s="88" t="s">
        <v>69</v>
      </c>
      <c r="E1" s="12" t="s">
        <v>9</v>
      </c>
    </row>
    <row r="2" spans="1:6">
      <c r="A2" s="56">
        <f>AUM!A28</f>
        <v>42063</v>
      </c>
      <c r="B2" s="34">
        <v>320921.12</v>
      </c>
      <c r="C2" s="34">
        <v>205633.83</v>
      </c>
      <c r="D2" s="87">
        <v>1</v>
      </c>
      <c r="E2" s="23">
        <f t="shared" ref="E2:E14" si="0">$B2-$C2</f>
        <v>115287.29000000001</v>
      </c>
    </row>
    <row r="3" spans="1:6">
      <c r="A3" s="56">
        <f>AUM!A29</f>
        <v>42094</v>
      </c>
      <c r="B3" s="34">
        <v>319614.73</v>
      </c>
      <c r="C3" s="34">
        <v>204191.8</v>
      </c>
      <c r="D3" s="87">
        <v>1</v>
      </c>
      <c r="E3" s="23">
        <f t="shared" si="0"/>
        <v>115422.93</v>
      </c>
    </row>
    <row r="4" spans="1:6">
      <c r="A4" s="56">
        <f>AUM!A30</f>
        <v>42124</v>
      </c>
      <c r="B4" s="34">
        <v>314940.87</v>
      </c>
      <c r="C4" s="34">
        <v>201307.74</v>
      </c>
      <c r="D4" s="87">
        <v>1</v>
      </c>
      <c r="E4" s="23">
        <f t="shared" si="0"/>
        <v>113633.13</v>
      </c>
    </row>
    <row r="5" spans="1:6">
      <c r="A5" s="56">
        <f>AUM!A31</f>
        <v>42155</v>
      </c>
      <c r="B5" s="29">
        <v>316472.94</v>
      </c>
      <c r="C5" s="29">
        <v>203326.58</v>
      </c>
      <c r="D5" s="87">
        <v>1</v>
      </c>
      <c r="E5" s="23">
        <f t="shared" si="0"/>
        <v>113146.36000000002</v>
      </c>
    </row>
    <row r="6" spans="1:6">
      <c r="A6" s="38">
        <v>42185</v>
      </c>
      <c r="B6" s="29">
        <v>309892.28000000003</v>
      </c>
      <c r="C6" s="29">
        <f>SILVX!H39*14420.325</f>
        <v>199433.09475000002</v>
      </c>
      <c r="D6" s="87">
        <v>1</v>
      </c>
      <c r="E6" s="23">
        <f t="shared" si="0"/>
        <v>110459.18525000001</v>
      </c>
    </row>
    <row r="7" spans="1:6">
      <c r="A7" s="38">
        <v>42216</v>
      </c>
      <c r="B7" s="29">
        <v>318691.98</v>
      </c>
      <c r="C7" s="29">
        <f>SILVX!H40*14420.325</f>
        <v>208662.10275000002</v>
      </c>
      <c r="D7" s="87">
        <v>1</v>
      </c>
      <c r="E7" s="23">
        <f t="shared" si="0"/>
        <v>110029.87724999996</v>
      </c>
    </row>
    <row r="8" spans="1:6">
      <c r="A8" s="38">
        <v>42247</v>
      </c>
      <c r="B8" s="29">
        <v>308009.78999999998</v>
      </c>
      <c r="C8" s="29">
        <f>SILVX!H41*14420.325</f>
        <v>198712.0785</v>
      </c>
      <c r="D8" s="87">
        <v>1</v>
      </c>
      <c r="E8" s="23">
        <f t="shared" si="0"/>
        <v>109297.71149999998</v>
      </c>
    </row>
    <row r="9" spans="1:6">
      <c r="A9" s="39">
        <v>42277</v>
      </c>
      <c r="B9" s="29">
        <v>306591.88</v>
      </c>
      <c r="C9" s="29">
        <f>SILVX!H42*14420.325</f>
        <v>199433.09475000002</v>
      </c>
      <c r="D9" s="87">
        <v>1</v>
      </c>
      <c r="E9" s="23">
        <f t="shared" si="0"/>
        <v>107158.78524999999</v>
      </c>
    </row>
    <row r="10" spans="1:6">
      <c r="A10" s="38">
        <v>42307</v>
      </c>
      <c r="B10" s="29">
        <v>321133.55</v>
      </c>
      <c r="C10" s="29">
        <f>SILVX!H43*14420.325</f>
        <v>210969.35475000003</v>
      </c>
      <c r="D10" s="87">
        <v>1</v>
      </c>
      <c r="E10" s="23">
        <f t="shared" si="0"/>
        <v>110164.19524999996</v>
      </c>
    </row>
    <row r="11" spans="1:6">
      <c r="A11" s="38">
        <v>42338</v>
      </c>
      <c r="B11" s="29">
        <v>318655.07</v>
      </c>
      <c r="C11" s="29">
        <f>SILVX!H44*14420.325</f>
        <v>209815.72875000001</v>
      </c>
      <c r="D11" s="87">
        <v>1</v>
      </c>
      <c r="E11" s="23">
        <f t="shared" si="0"/>
        <v>108839.34125</v>
      </c>
    </row>
    <row r="12" spans="1:6">
      <c r="A12" s="38">
        <v>42369</v>
      </c>
      <c r="B12" s="29">
        <v>317538.46999999997</v>
      </c>
      <c r="C12" s="29">
        <f>SILVX!H45*15418.952</f>
        <v>209389.36815999998</v>
      </c>
      <c r="D12" s="87">
        <v>1</v>
      </c>
      <c r="E12" s="23">
        <f t="shared" si="0"/>
        <v>108149.10183999999</v>
      </c>
    </row>
    <row r="13" spans="1:6">
      <c r="A13" s="38">
        <v>42400</v>
      </c>
      <c r="B13" s="29">
        <v>310980.3</v>
      </c>
      <c r="C13" s="29">
        <f>SILVX!H46*15418.952</f>
        <v>203992.73496</v>
      </c>
      <c r="D13" s="87">
        <v>1</v>
      </c>
      <c r="E13" s="23">
        <f t="shared" si="0"/>
        <v>106987.56503999999</v>
      </c>
    </row>
    <row r="14" spans="1:6">
      <c r="A14" s="38">
        <v>42429</v>
      </c>
      <c r="B14" s="29">
        <v>315933.09999999998</v>
      </c>
      <c r="C14" s="29">
        <f>SILVX!H47*15418.952</f>
        <v>208001.66248</v>
      </c>
      <c r="D14" s="87">
        <v>1</v>
      </c>
      <c r="E14" s="23">
        <f t="shared" si="0"/>
        <v>107931.43751999998</v>
      </c>
    </row>
    <row r="15" spans="1:6">
      <c r="A15" s="38">
        <v>42094</v>
      </c>
      <c r="B15" s="2">
        <v>332387.93</v>
      </c>
      <c r="C15" s="29">
        <f>SILVX!H48*15418.952</f>
        <v>220491.01360000001</v>
      </c>
      <c r="D15" s="87">
        <v>1</v>
      </c>
      <c r="E15" s="23">
        <f t="shared" ref="E15:E36" si="1">$B15-$C15</f>
        <v>111896.91639999999</v>
      </c>
      <c r="F15" s="2"/>
    </row>
    <row r="16" spans="1:6">
      <c r="A16" s="38">
        <v>42490</v>
      </c>
      <c r="B16" s="29">
        <v>329557.88</v>
      </c>
      <c r="C16" s="29">
        <f>SILVX!H49*15418.952</f>
        <v>217407.22319999998</v>
      </c>
      <c r="D16" s="87">
        <v>1</v>
      </c>
      <c r="E16" s="23">
        <f t="shared" si="1"/>
        <v>112150.65680000003</v>
      </c>
    </row>
    <row r="17" spans="1:5">
      <c r="A17" s="38">
        <v>42521</v>
      </c>
      <c r="B17" s="29">
        <v>332600.69</v>
      </c>
      <c r="C17" s="29">
        <f>SILVX!H50*15418.952</f>
        <v>221570.34023999999</v>
      </c>
      <c r="D17" s="87">
        <v>1</v>
      </c>
      <c r="E17" s="23">
        <f t="shared" si="1"/>
        <v>111030.34976000001</v>
      </c>
    </row>
    <row r="18" spans="1:5">
      <c r="A18" s="38">
        <v>42551</v>
      </c>
      <c r="B18" s="29">
        <v>344412.17</v>
      </c>
      <c r="C18" s="29">
        <f>SILVX!H51*15418.952</f>
        <v>227429.54199999999</v>
      </c>
      <c r="D18" s="87">
        <v>1</v>
      </c>
      <c r="E18" s="23">
        <f t="shared" si="1"/>
        <v>116982.628</v>
      </c>
    </row>
    <row r="19" spans="1:5">
      <c r="A19" s="38">
        <v>42582</v>
      </c>
      <c r="B19" s="29">
        <v>347564.23</v>
      </c>
      <c r="C19" s="29">
        <f>SILVX!H52*15418.952</f>
        <v>230667.52192</v>
      </c>
      <c r="D19" s="87">
        <v>1</v>
      </c>
      <c r="E19" s="23">
        <f t="shared" si="1"/>
        <v>116896.70807999998</v>
      </c>
    </row>
    <row r="20" spans="1:5">
      <c r="A20" s="38">
        <v>42613</v>
      </c>
      <c r="B20" s="29">
        <v>342030.28</v>
      </c>
      <c r="C20" s="29">
        <f>SILVX!H53*15418.952</f>
        <v>226504.40487999999</v>
      </c>
      <c r="D20" s="87">
        <v>1</v>
      </c>
      <c r="E20" s="23">
        <f t="shared" si="1"/>
        <v>115525.87512000004</v>
      </c>
    </row>
    <row r="21" spans="1:5">
      <c r="A21" s="38">
        <v>42643</v>
      </c>
      <c r="B21" s="29">
        <v>333954.89</v>
      </c>
      <c r="C21" s="29">
        <f>SILVX!H54*15418.952</f>
        <v>223420.61447999999</v>
      </c>
      <c r="D21" s="87">
        <v>1</v>
      </c>
      <c r="E21" s="23">
        <f t="shared" si="1"/>
        <v>110534.27552000002</v>
      </c>
    </row>
    <row r="22" spans="1:5">
      <c r="A22" s="38">
        <v>42674</v>
      </c>
      <c r="B22" s="29">
        <v>333955.89</v>
      </c>
      <c r="C22" s="29">
        <f>SILVX!H55*15418.952</f>
        <v>218332.36032000001</v>
      </c>
      <c r="D22" s="87">
        <v>1</v>
      </c>
      <c r="E22" s="23">
        <f t="shared" si="1"/>
        <v>115623.52968000001</v>
      </c>
    </row>
    <row r="23" spans="1:5">
      <c r="A23" s="38">
        <v>42704</v>
      </c>
      <c r="B23" s="29">
        <v>330357.28999999998</v>
      </c>
      <c r="C23" s="29">
        <f>15418.952*SILVX!H56</f>
        <v>224499.94112</v>
      </c>
      <c r="D23" s="87">
        <v>1</v>
      </c>
      <c r="E23" s="23">
        <f t="shared" si="1"/>
        <v>105857.34887999998</v>
      </c>
    </row>
    <row r="24" spans="1:5">
      <c r="A24" s="38">
        <v>42735</v>
      </c>
      <c r="B24" s="29">
        <v>334069.09999999998</v>
      </c>
      <c r="C24" s="29">
        <f>SILVX!H57*15814.364</f>
        <v>227726.84159999999</v>
      </c>
      <c r="D24" s="87">
        <v>1</v>
      </c>
      <c r="E24" s="23">
        <f t="shared" si="1"/>
        <v>106342.25839999999</v>
      </c>
    </row>
    <row r="25" spans="1:5">
      <c r="A25" s="38">
        <v>42766</v>
      </c>
      <c r="B25" s="29">
        <v>336075.71</v>
      </c>
      <c r="C25" s="29">
        <f>15814.364*SILVX!H58</f>
        <v>228043.12888</v>
      </c>
      <c r="D25" s="87">
        <v>1</v>
      </c>
      <c r="E25" s="23">
        <f t="shared" si="1"/>
        <v>108032.58112000002</v>
      </c>
    </row>
    <row r="26" spans="1:5">
      <c r="A26" s="38">
        <v>42794</v>
      </c>
      <c r="B26" s="29">
        <v>345713.57</v>
      </c>
      <c r="C26" s="29">
        <f>SILVX!H59*15814.364</f>
        <v>236741.02908000001</v>
      </c>
      <c r="D26" s="87">
        <v>1</v>
      </c>
      <c r="E26" s="23">
        <f t="shared" si="1"/>
        <v>108972.54092</v>
      </c>
    </row>
    <row r="27" spans="1:5">
      <c r="A27" s="38">
        <v>42825</v>
      </c>
      <c r="B27" s="29">
        <v>343964.89</v>
      </c>
      <c r="C27" s="29">
        <f>15814.364*14.87</f>
        <v>235159.59267999997</v>
      </c>
      <c r="D27" s="87">
        <v>1</v>
      </c>
      <c r="E27" s="23">
        <f t="shared" si="1"/>
        <v>108805.29732000004</v>
      </c>
    </row>
    <row r="28" spans="1:5">
      <c r="A28" s="38">
        <v>42855</v>
      </c>
      <c r="B28" s="29">
        <v>347196.38</v>
      </c>
      <c r="C28" s="29">
        <f>15814.364*15.05</f>
        <v>238006.17819999999</v>
      </c>
      <c r="D28" s="87">
        <v>1</v>
      </c>
      <c r="E28" s="23">
        <f t="shared" si="1"/>
        <v>109190.20180000001</v>
      </c>
    </row>
    <row r="29" spans="1:5">
      <c r="A29" s="38">
        <v>42886</v>
      </c>
      <c r="B29" s="29">
        <v>350250.99</v>
      </c>
      <c r="C29" s="29">
        <f>15814.364*15.15</f>
        <v>239587.6146</v>
      </c>
      <c r="D29" s="87">
        <v>1</v>
      </c>
      <c r="E29" s="23">
        <f t="shared" si="1"/>
        <v>110663.37539999999</v>
      </c>
    </row>
    <row r="30" spans="1:5">
      <c r="A30" s="38">
        <v>42916</v>
      </c>
      <c r="B30" s="29">
        <v>351064.69</v>
      </c>
      <c r="C30" s="29">
        <f>15814.364*15.21</f>
        <v>240536.47644</v>
      </c>
      <c r="D30" s="87">
        <v>1</v>
      </c>
      <c r="E30" s="23">
        <f t="shared" si="1"/>
        <v>110528.21356</v>
      </c>
    </row>
    <row r="31" spans="1:5" ht="17" customHeight="1">
      <c r="A31" s="38">
        <v>42947</v>
      </c>
      <c r="B31" s="29">
        <v>355781.53</v>
      </c>
      <c r="C31" s="29">
        <f>15814.364*15.43</f>
        <v>244015.63652</v>
      </c>
      <c r="D31" s="87">
        <v>1</v>
      </c>
      <c r="E31" s="23">
        <f t="shared" si="1"/>
        <v>111765.89348000003</v>
      </c>
    </row>
    <row r="32" spans="1:5">
      <c r="A32" s="38">
        <v>42978</v>
      </c>
      <c r="B32" s="29">
        <v>355950.23</v>
      </c>
      <c r="C32" s="29">
        <f>15814.364*15.43</f>
        <v>244015.63652</v>
      </c>
      <c r="D32" s="87">
        <v>1</v>
      </c>
      <c r="E32" s="23">
        <f t="shared" si="1"/>
        <v>111934.59347999998</v>
      </c>
    </row>
    <row r="33" spans="1:5" ht="17" customHeight="1">
      <c r="A33" s="38">
        <v>43008</v>
      </c>
      <c r="B33" s="29">
        <v>356118.93</v>
      </c>
      <c r="C33" s="29">
        <f>15814.364*15.63</f>
        <v>247178.50932000001</v>
      </c>
      <c r="D33" s="87">
        <v>1</v>
      </c>
      <c r="E33" s="23">
        <f t="shared" si="1"/>
        <v>108940.42067999998</v>
      </c>
    </row>
    <row r="34" spans="1:5">
      <c r="A34" s="38">
        <v>43039</v>
      </c>
      <c r="B34" s="29">
        <v>359610.16</v>
      </c>
      <c r="C34" s="29">
        <f>15814.364*15.69</f>
        <v>248127.37115999998</v>
      </c>
      <c r="D34" s="87">
        <v>1</v>
      </c>
      <c r="E34" s="23">
        <f t="shared" si="1"/>
        <v>111482.78883999999</v>
      </c>
    </row>
    <row r="35" spans="1:5" ht="17" customHeight="1">
      <c r="A35" s="38">
        <v>43069</v>
      </c>
      <c r="B35" s="29">
        <v>372023.29</v>
      </c>
      <c r="C35" s="29">
        <f>15814.364*16.52</f>
        <v>261253.29327999998</v>
      </c>
      <c r="D35" s="87">
        <v>1</v>
      </c>
      <c r="E35" s="23">
        <f t="shared" si="1"/>
        <v>110769.99672</v>
      </c>
    </row>
    <row r="36" spans="1:5">
      <c r="A36" s="38">
        <v>43100</v>
      </c>
      <c r="B36" s="29">
        <v>378082.44</v>
      </c>
      <c r="C36" s="29">
        <v>265939.87</v>
      </c>
      <c r="D36" s="87">
        <v>1</v>
      </c>
      <c r="E36" s="23">
        <f t="shared" si="1"/>
        <v>112142.57</v>
      </c>
    </row>
    <row r="37" spans="1:5">
      <c r="A37" s="38">
        <v>43131</v>
      </c>
      <c r="B37" s="29">
        <v>389089.31</v>
      </c>
      <c r="C37" s="29">
        <v>277989.48</v>
      </c>
      <c r="D37" s="87">
        <v>1</v>
      </c>
      <c r="E37" s="23">
        <f t="shared" ref="E37:E43" si="2">$B37-$C37</f>
        <v>111099.83000000002</v>
      </c>
    </row>
    <row r="38" spans="1:5">
      <c r="A38" s="38">
        <v>43159</v>
      </c>
      <c r="B38" s="29">
        <v>377716.43</v>
      </c>
      <c r="C38" s="29">
        <v>269673.56</v>
      </c>
      <c r="D38" s="87">
        <v>1</v>
      </c>
      <c r="E38" s="23">
        <f t="shared" si="2"/>
        <v>108042.87</v>
      </c>
    </row>
    <row r="39" spans="1:5">
      <c r="A39" s="38">
        <v>43190</v>
      </c>
      <c r="B39" s="29">
        <v>376575.69125000003</v>
      </c>
      <c r="C39" s="29">
        <v>267297.58125000005</v>
      </c>
      <c r="D39" s="87">
        <v>1</v>
      </c>
      <c r="E39" s="23">
        <f t="shared" si="2"/>
        <v>109278.10999999999</v>
      </c>
    </row>
    <row r="40" spans="1:5">
      <c r="A40" s="38">
        <v>43220</v>
      </c>
      <c r="B40" s="29">
        <v>379753.51</v>
      </c>
      <c r="C40" s="29">
        <v>270861.55</v>
      </c>
      <c r="D40" s="87">
        <v>1</v>
      </c>
      <c r="E40" s="23">
        <f t="shared" si="2"/>
        <v>108891.96000000002</v>
      </c>
    </row>
    <row r="41" spans="1:5">
      <c r="A41" s="38">
        <v>43251</v>
      </c>
      <c r="B41" s="29">
        <v>386403.57</v>
      </c>
      <c r="C41" s="29">
        <v>276971.21000000002</v>
      </c>
      <c r="D41" s="87">
        <v>1</v>
      </c>
      <c r="E41" s="23">
        <f t="shared" si="2"/>
        <v>109432.35999999999</v>
      </c>
    </row>
    <row r="42" spans="1:5">
      <c r="A42" s="38">
        <v>43281</v>
      </c>
      <c r="B42" s="29">
        <v>391487.51</v>
      </c>
      <c r="C42" s="29">
        <v>282232.3</v>
      </c>
      <c r="D42" s="87">
        <v>1</v>
      </c>
      <c r="E42" s="23">
        <f t="shared" si="2"/>
        <v>109255.21000000002</v>
      </c>
    </row>
    <row r="43" spans="1:5">
      <c r="A43" s="38">
        <v>43312</v>
      </c>
      <c r="B43" s="29">
        <v>402607.2</v>
      </c>
      <c r="C43" s="29">
        <v>292415.07</v>
      </c>
      <c r="D43" s="87">
        <v>1</v>
      </c>
      <c r="E43" s="23">
        <f t="shared" si="2"/>
        <v>110192.13</v>
      </c>
    </row>
    <row r="44" spans="1:5">
      <c r="A44" s="38"/>
    </row>
    <row r="45" spans="1:5">
      <c r="A45" s="38"/>
    </row>
    <row r="46" spans="1:5">
      <c r="A46" s="38"/>
    </row>
    <row r="47" spans="1:5">
      <c r="A47" s="38"/>
    </row>
    <row r="48" spans="1:5">
      <c r="A48" s="38"/>
    </row>
    <row r="49" spans="1:1">
      <c r="A49" s="38"/>
    </row>
    <row r="50" spans="1:1">
      <c r="A50" s="38"/>
    </row>
    <row r="51" spans="1:1">
      <c r="A51" s="38"/>
    </row>
    <row r="52" spans="1:1">
      <c r="A52" s="38"/>
    </row>
    <row r="53" spans="1:1">
      <c r="A53" s="38"/>
    </row>
    <row r="54" spans="1:1">
      <c r="A54" s="38"/>
    </row>
    <row r="55" spans="1:1">
      <c r="A55" s="38"/>
    </row>
    <row r="56" spans="1:1">
      <c r="A56" s="38"/>
    </row>
    <row r="57" spans="1:1">
      <c r="A57" s="38"/>
    </row>
    <row r="58" spans="1:1">
      <c r="A58" s="38"/>
    </row>
    <row r="59" spans="1:1">
      <c r="A59" s="38"/>
    </row>
    <row r="60" spans="1:1">
      <c r="A60" s="38"/>
    </row>
    <row r="61" spans="1:1">
      <c r="A61" s="38"/>
    </row>
    <row r="62" spans="1:1">
      <c r="A62" s="38"/>
    </row>
    <row r="63" spans="1:1">
      <c r="A63" s="38"/>
    </row>
    <row r="64" spans="1:1">
      <c r="A64" s="38"/>
    </row>
    <row r="65" spans="1:1">
      <c r="A65" s="38"/>
    </row>
    <row r="66" spans="1:1">
      <c r="A66" s="38"/>
    </row>
    <row r="67" spans="1:1">
      <c r="A67" s="38"/>
    </row>
    <row r="68" spans="1:1">
      <c r="A68" s="38"/>
    </row>
    <row r="69" spans="1:1">
      <c r="A69" s="38"/>
    </row>
    <row r="70" spans="1:1">
      <c r="A70" s="38"/>
    </row>
    <row r="71" spans="1:1">
      <c r="A71" s="38"/>
    </row>
    <row r="72" spans="1:1">
      <c r="A72" s="38"/>
    </row>
    <row r="73" spans="1:1">
      <c r="A73" s="38"/>
    </row>
    <row r="74" spans="1:1">
      <c r="A74" s="38"/>
    </row>
    <row r="75" spans="1:1">
      <c r="A75" s="38"/>
    </row>
  </sheetData>
  <pageMargins left="0.75" right="0.75" top="1" bottom="1" header="0.5" footer="0.5"/>
  <pageSetup orientation="portrait" horizontalDpi="4294967292" verticalDpi="429496729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8"/>
  <sheetViews>
    <sheetView workbookViewId="0">
      <selection activeCell="C2" sqref="C2"/>
    </sheetView>
  </sheetViews>
  <sheetFormatPr baseColWidth="10" defaultColWidth="11" defaultRowHeight="16"/>
  <cols>
    <col min="1" max="1" width="11" style="53"/>
    <col min="2" max="2" width="17.1640625" customWidth="1"/>
    <col min="3" max="3" width="5.33203125" bestFit="1" customWidth="1"/>
  </cols>
  <sheetData>
    <row r="1" spans="1:4">
      <c r="A1" s="3" t="s">
        <v>0</v>
      </c>
      <c r="B1" s="3" t="s">
        <v>1</v>
      </c>
      <c r="C1" s="9" t="s">
        <v>69</v>
      </c>
    </row>
    <row r="2" spans="1:4">
      <c r="A2" s="53">
        <v>42825</v>
      </c>
      <c r="B2" s="2">
        <v>20146171.039999999</v>
      </c>
      <c r="C2">
        <v>1</v>
      </c>
    </row>
    <row r="3" spans="1:4">
      <c r="A3" s="53">
        <v>42855</v>
      </c>
      <c r="B3" s="2">
        <v>25211353</v>
      </c>
      <c r="C3">
        <v>1</v>
      </c>
    </row>
    <row r="4" spans="1:4">
      <c r="A4" s="53">
        <v>42886</v>
      </c>
      <c r="B4" s="2">
        <v>25356139.690000001</v>
      </c>
      <c r="C4">
        <v>1</v>
      </c>
    </row>
    <row r="5" spans="1:4">
      <c r="A5" s="53">
        <v>42916</v>
      </c>
      <c r="B5" s="2">
        <v>25490896.539999999</v>
      </c>
      <c r="C5">
        <v>1</v>
      </c>
    </row>
    <row r="6" spans="1:4">
      <c r="A6" s="53">
        <v>42947</v>
      </c>
      <c r="B6" s="2">
        <v>25893793.800000001</v>
      </c>
      <c r="C6">
        <v>1</v>
      </c>
    </row>
    <row r="7" spans="1:4">
      <c r="A7" s="53">
        <v>42978</v>
      </c>
      <c r="B7" s="2">
        <v>33261984.649999999</v>
      </c>
      <c r="C7">
        <v>1</v>
      </c>
      <c r="D7" t="s">
        <v>32</v>
      </c>
    </row>
    <row r="8" spans="1:4">
      <c r="A8" s="53">
        <v>42992</v>
      </c>
      <c r="B8" s="2">
        <v>33553206.809999999</v>
      </c>
      <c r="C8">
        <v>1</v>
      </c>
      <c r="D8" t="s">
        <v>33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4"/>
  <sheetViews>
    <sheetView workbookViewId="0">
      <selection activeCell="B10" sqref="B10"/>
    </sheetView>
  </sheetViews>
  <sheetFormatPr baseColWidth="10" defaultColWidth="11" defaultRowHeight="16"/>
  <cols>
    <col min="1" max="1" width="11" style="53"/>
    <col min="2" max="2" width="19" style="2" customWidth="1"/>
    <col min="3" max="3" width="5.33203125" bestFit="1" customWidth="1"/>
  </cols>
  <sheetData>
    <row r="1" spans="1:7">
      <c r="A1" s="3" t="s">
        <v>0</v>
      </c>
      <c r="B1" s="3" t="s">
        <v>1</v>
      </c>
      <c r="C1" s="9" t="s">
        <v>69</v>
      </c>
    </row>
    <row r="2" spans="1:7">
      <c r="A2" s="38">
        <v>42307</v>
      </c>
      <c r="B2" s="2">
        <v>601579.93999999994</v>
      </c>
      <c r="C2">
        <v>5</v>
      </c>
      <c r="D2" s="35">
        <v>42307</v>
      </c>
    </row>
    <row r="3" spans="1:7">
      <c r="A3" s="38">
        <v>42338</v>
      </c>
      <c r="B3" s="2">
        <v>595568.38</v>
      </c>
      <c r="C3">
        <v>5</v>
      </c>
      <c r="D3" s="35">
        <v>42338</v>
      </c>
    </row>
    <row r="4" spans="1:7">
      <c r="A4" s="38">
        <v>42369</v>
      </c>
      <c r="B4" s="2">
        <v>586639.56000000006</v>
      </c>
      <c r="C4">
        <v>5</v>
      </c>
      <c r="D4" s="35">
        <v>42369</v>
      </c>
      <c r="E4" s="2"/>
      <c r="F4" s="2"/>
    </row>
    <row r="5" spans="1:7">
      <c r="A5" s="38">
        <v>42398</v>
      </c>
      <c r="B5" s="2">
        <v>590409.06000000006</v>
      </c>
      <c r="C5">
        <v>5</v>
      </c>
      <c r="D5" s="35">
        <v>42398</v>
      </c>
    </row>
    <row r="6" spans="1:7">
      <c r="A6" s="38">
        <v>42429</v>
      </c>
      <c r="B6" s="2">
        <v>590409.06000000006</v>
      </c>
      <c r="C6">
        <v>5</v>
      </c>
      <c r="D6" s="35">
        <v>42429</v>
      </c>
    </row>
    <row r="7" spans="1:7">
      <c r="A7" s="38">
        <v>42460</v>
      </c>
      <c r="B7" s="2">
        <v>590409.06000000006</v>
      </c>
      <c r="C7">
        <v>5</v>
      </c>
      <c r="D7" s="35">
        <v>42445</v>
      </c>
      <c r="E7" s="2"/>
      <c r="F7" s="2"/>
      <c r="G7" s="2"/>
    </row>
    <row r="8" spans="1:7">
      <c r="A8" s="38">
        <v>42489</v>
      </c>
      <c r="B8" s="2">
        <v>590409.06000000006</v>
      </c>
      <c r="C8">
        <v>5</v>
      </c>
      <c r="D8" s="35">
        <v>42476</v>
      </c>
    </row>
    <row r="9" spans="1:7">
      <c r="A9" s="38">
        <v>42521</v>
      </c>
      <c r="B9" s="2">
        <v>590409.06000000006</v>
      </c>
      <c r="C9">
        <v>5</v>
      </c>
      <c r="D9" s="35">
        <v>42506</v>
      </c>
    </row>
    <row r="10" spans="1:7">
      <c r="A10" s="38">
        <v>42551</v>
      </c>
      <c r="B10" s="2">
        <v>590409.06000000006</v>
      </c>
      <c r="C10">
        <v>5</v>
      </c>
      <c r="D10" s="35">
        <v>42551</v>
      </c>
    </row>
    <row r="11" spans="1:7">
      <c r="A11" s="38">
        <v>42582</v>
      </c>
      <c r="B11" s="2">
        <v>590409.06000000006</v>
      </c>
      <c r="C11">
        <v>5</v>
      </c>
      <c r="D11" s="35">
        <v>42582</v>
      </c>
    </row>
    <row r="12" spans="1:7">
      <c r="A12" s="38">
        <v>42613</v>
      </c>
      <c r="B12" s="2">
        <v>590409.06000000006</v>
      </c>
      <c r="C12">
        <v>5</v>
      </c>
      <c r="D12" s="35">
        <v>42613</v>
      </c>
    </row>
    <row r="13" spans="1:7">
      <c r="A13" s="38">
        <v>42643</v>
      </c>
      <c r="B13" s="2">
        <v>590409.06000000006</v>
      </c>
      <c r="C13">
        <v>5</v>
      </c>
      <c r="D13" s="35">
        <v>42643</v>
      </c>
    </row>
    <row r="14" spans="1:7">
      <c r="A14" s="38">
        <v>42674</v>
      </c>
      <c r="B14" s="2">
        <v>590409.06000000006</v>
      </c>
      <c r="C14">
        <v>5</v>
      </c>
      <c r="D14" s="35">
        <v>42674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workbookViewId="0">
      <selection activeCell="B3" sqref="B3"/>
    </sheetView>
  </sheetViews>
  <sheetFormatPr baseColWidth="10" defaultColWidth="11" defaultRowHeight="16"/>
  <cols>
    <col min="1" max="1" width="16" bestFit="1" customWidth="1"/>
    <col min="8" max="8" width="25.33203125" bestFit="1" customWidth="1"/>
    <col min="13" max="13" width="15" bestFit="1" customWidth="1"/>
  </cols>
  <sheetData>
    <row r="1" spans="1:10"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46</v>
      </c>
      <c r="I1" t="s">
        <v>55</v>
      </c>
      <c r="J1" s="10">
        <v>0.15</v>
      </c>
    </row>
    <row r="2" spans="1:10">
      <c r="A2" t="s">
        <v>37</v>
      </c>
      <c r="B2">
        <v>6.6</v>
      </c>
      <c r="C2">
        <v>8.9</v>
      </c>
      <c r="D2">
        <v>31</v>
      </c>
      <c r="E2">
        <v>34</v>
      </c>
      <c r="F2" s="46">
        <f t="shared" ref="F2:F8" si="0">(C2-B2)/B2</f>
        <v>0.34848484848484862</v>
      </c>
      <c r="G2" s="11">
        <f t="shared" ref="G2:G8" si="1">(E2-D2)/D2</f>
        <v>9.6774193548387094E-2</v>
      </c>
      <c r="H2" s="58">
        <f>(C2-(B2+(B2*J$1)))/12</f>
        <v>0.1091666666666667</v>
      </c>
    </row>
    <row r="3" spans="1:10">
      <c r="A3" t="s">
        <v>44</v>
      </c>
      <c r="B3">
        <v>53</v>
      </c>
      <c r="C3">
        <v>62</v>
      </c>
      <c r="D3">
        <v>629</v>
      </c>
      <c r="E3">
        <v>653</v>
      </c>
      <c r="F3" s="46">
        <f t="shared" si="0"/>
        <v>0.16981132075471697</v>
      </c>
      <c r="G3" s="11">
        <f t="shared" si="1"/>
        <v>3.8155802861685212E-2</v>
      </c>
      <c r="H3" s="58">
        <f>(C3-(B3+(B3*J$1)))/12</f>
        <v>8.7499999999999759E-2</v>
      </c>
    </row>
    <row r="4" spans="1:10">
      <c r="A4" t="s">
        <v>48</v>
      </c>
      <c r="B4">
        <v>10</v>
      </c>
      <c r="C4">
        <v>8</v>
      </c>
      <c r="D4">
        <v>22</v>
      </c>
      <c r="E4">
        <v>28</v>
      </c>
      <c r="F4" s="46">
        <f t="shared" si="0"/>
        <v>-0.2</v>
      </c>
      <c r="G4" s="11">
        <f t="shared" si="1"/>
        <v>0.27272727272727271</v>
      </c>
      <c r="H4" s="58">
        <f>(C4-(B4+(B4*J$1)))/12</f>
        <v>-0.29166666666666669</v>
      </c>
    </row>
    <row r="5" spans="1:10">
      <c r="A5" t="s">
        <v>49</v>
      </c>
      <c r="B5">
        <v>5.4</v>
      </c>
      <c r="C5">
        <v>6.4</v>
      </c>
      <c r="D5">
        <v>55</v>
      </c>
      <c r="E5">
        <v>54</v>
      </c>
      <c r="F5" s="46">
        <f t="shared" si="0"/>
        <v>0.18518518518518517</v>
      </c>
      <c r="G5" s="11">
        <f t="shared" si="1"/>
        <v>-1.8181818181818181E-2</v>
      </c>
      <c r="H5" s="58">
        <f>(C5-(B5+(B5*J$1)))/12</f>
        <v>1.5833333333333293E-2</v>
      </c>
    </row>
    <row r="6" spans="1:10">
      <c r="A6" s="59" t="s">
        <v>45</v>
      </c>
      <c r="B6">
        <v>295</v>
      </c>
      <c r="C6">
        <v>317</v>
      </c>
      <c r="D6">
        <v>1</v>
      </c>
      <c r="E6">
        <v>1</v>
      </c>
      <c r="F6" s="46">
        <f t="shared" si="0"/>
        <v>7.4576271186440682E-2</v>
      </c>
      <c r="G6" s="11">
        <f t="shared" si="1"/>
        <v>0</v>
      </c>
      <c r="H6" s="58">
        <f>(C6-(B6+(B6*J$1)))/12</f>
        <v>-1.8541666666666667</v>
      </c>
    </row>
    <row r="7" spans="1:10">
      <c r="A7" s="59" t="s">
        <v>47</v>
      </c>
      <c r="B7">
        <v>59</v>
      </c>
      <c r="C7">
        <v>53</v>
      </c>
      <c r="D7">
        <v>1</v>
      </c>
      <c r="E7">
        <v>1</v>
      </c>
      <c r="F7" s="46">
        <f t="shared" si="0"/>
        <v>-0.10169491525423729</v>
      </c>
      <c r="G7" s="11">
        <f t="shared" si="1"/>
        <v>0</v>
      </c>
      <c r="H7" s="58">
        <f>(C7-(B7+(0.3*B7*J$1)))/12</f>
        <v>-0.72125000000000006</v>
      </c>
    </row>
    <row r="8" spans="1:10">
      <c r="A8" t="s">
        <v>50</v>
      </c>
      <c r="B8">
        <v>4.0999999999999996</v>
      </c>
      <c r="C8">
        <v>4.7</v>
      </c>
      <c r="D8">
        <v>7</v>
      </c>
      <c r="E8">
        <v>7</v>
      </c>
      <c r="F8" s="46">
        <f t="shared" si="0"/>
        <v>0.14634146341463428</v>
      </c>
      <c r="G8" s="11">
        <f t="shared" si="1"/>
        <v>0</v>
      </c>
      <c r="H8" s="58">
        <f>(C8-(B8+(B8*J$1)))/12</f>
        <v>-1.2499999999999734E-3</v>
      </c>
    </row>
    <row r="9" spans="1:10">
      <c r="A9" t="s">
        <v>51</v>
      </c>
      <c r="B9">
        <v>0</v>
      </c>
      <c r="C9">
        <v>40</v>
      </c>
      <c r="D9">
        <v>1</v>
      </c>
      <c r="E9">
        <v>0</v>
      </c>
      <c r="F9" s="46">
        <v>1</v>
      </c>
      <c r="G9" s="11">
        <v>1</v>
      </c>
      <c r="H9" s="58" t="s">
        <v>53</v>
      </c>
    </row>
    <row r="10" spans="1:10">
      <c r="A10" t="s">
        <v>6</v>
      </c>
      <c r="B10">
        <v>115</v>
      </c>
      <c r="C10">
        <v>103</v>
      </c>
      <c r="D10">
        <v>1</v>
      </c>
      <c r="E10">
        <v>1</v>
      </c>
      <c r="F10" s="46">
        <f>(C10-B10)/B10</f>
        <v>-0.10434782608695652</v>
      </c>
      <c r="G10" s="11">
        <f>(E10-D10)/D10</f>
        <v>0</v>
      </c>
      <c r="H10" s="58">
        <f>(C10-(B10+(B10*J$1)))/12</f>
        <v>-2.4375</v>
      </c>
    </row>
    <row r="11" spans="1:10">
      <c r="A11" s="60" t="s">
        <v>18</v>
      </c>
      <c r="B11">
        <v>14</v>
      </c>
      <c r="C11">
        <v>21</v>
      </c>
      <c r="D11">
        <v>1</v>
      </c>
      <c r="E11">
        <v>1</v>
      </c>
      <c r="F11" s="46">
        <f>(C11-B11)/B11</f>
        <v>0.5</v>
      </c>
      <c r="G11" s="11">
        <f>(E11-D11)/D11</f>
        <v>0</v>
      </c>
      <c r="H11" s="58">
        <f>(C11-(B11+(B11*J$1)))/12</f>
        <v>0.40833333333333321</v>
      </c>
    </row>
    <row r="12" spans="1:10">
      <c r="A12" t="s">
        <v>30</v>
      </c>
      <c r="B12">
        <v>26</v>
      </c>
      <c r="C12">
        <v>22</v>
      </c>
      <c r="D12">
        <v>1</v>
      </c>
      <c r="E12">
        <v>1</v>
      </c>
      <c r="F12" s="46">
        <f>(C12-B12)/B12</f>
        <v>-0.15384615384615385</v>
      </c>
      <c r="G12" s="11">
        <f>(E12-D12)/D12</f>
        <v>0</v>
      </c>
      <c r="H12" s="58">
        <f>(C12-(B12+(B12*J$1)))/12</f>
        <v>-0.65833333333333321</v>
      </c>
    </row>
    <row r="13" spans="1:10">
      <c r="A13" t="s">
        <v>52</v>
      </c>
      <c r="B13">
        <v>0.01</v>
      </c>
      <c r="C13">
        <v>15</v>
      </c>
      <c r="D13">
        <v>1</v>
      </c>
      <c r="E13">
        <v>1</v>
      </c>
      <c r="F13" s="46">
        <v>1</v>
      </c>
      <c r="G13" s="11">
        <v>1</v>
      </c>
      <c r="H13" s="58" t="s">
        <v>54</v>
      </c>
    </row>
    <row r="17" spans="3:13">
      <c r="C17">
        <f>C7+C6</f>
        <v>370</v>
      </c>
    </row>
    <row r="18" spans="3:13">
      <c r="C18">
        <f>C17*0.1</f>
        <v>37</v>
      </c>
    </row>
    <row r="19" spans="3:13">
      <c r="C19">
        <f>C18/12</f>
        <v>3.0833333333333335</v>
      </c>
      <c r="M19" s="61">
        <v>100000000</v>
      </c>
    </row>
    <row r="20" spans="3:13">
      <c r="C20">
        <f>75/12</f>
        <v>6.25</v>
      </c>
      <c r="M20" s="61">
        <f>M19*0.0036</f>
        <v>360000</v>
      </c>
    </row>
    <row r="21" spans="3:13">
      <c r="M21" s="62">
        <f>M20/12</f>
        <v>30000</v>
      </c>
    </row>
  </sheetData>
  <conditionalFormatting sqref="F2:F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AUM</vt:lpstr>
      <vt:lpstr>Strategy&amp;Account</vt:lpstr>
      <vt:lpstr>SILVX</vt:lpstr>
      <vt:lpstr>SGLIX</vt:lpstr>
      <vt:lpstr>BOGIX</vt:lpstr>
      <vt:lpstr>FoF</vt:lpstr>
      <vt:lpstr>DYTA</vt:lpstr>
      <vt:lpstr>SGLC</vt:lpstr>
      <vt:lpstr>GINX</vt:lpstr>
      <vt:lpstr>USDX</vt:lpstr>
      <vt:lpstr>QXQ</vt:lpstr>
      <vt:lpstr>LDRX</vt:lpstr>
      <vt:lpstr>HF</vt:lpstr>
      <vt:lpstr>IB</vt:lpstr>
      <vt:lpstr>Schwab</vt:lpstr>
      <vt:lpstr>Fidelity</vt:lpstr>
      <vt:lpstr>Empower</vt:lpstr>
      <vt:lpstr>TFA - Folio</vt:lpstr>
      <vt:lpstr>UNC</vt:lpstr>
      <vt:lpstr>Schwab LC</vt:lpstr>
      <vt:lpstr>AA Models</vt:lpstr>
      <vt:lpstr>NC State</vt:lpstr>
      <vt:lpstr>Holiday Oil</vt:lpstr>
      <vt:lpstr>SCLVX</vt:lpstr>
      <vt:lpstr>Stifel</vt:lpstr>
      <vt:lpstr>TDA</vt:lpstr>
      <vt:lpstr>Asbestos</vt:lpstr>
      <vt:lpstr>TUG</vt:lpstr>
      <vt:lpstr>Cline</vt:lpstr>
      <vt:lpstr>Prudential</vt:lpstr>
      <vt:lpstr>LACERA</vt:lpstr>
      <vt:lpstr>Folio</vt:lpstr>
      <vt:lpstr>2017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Harden</dc:creator>
  <cp:lastModifiedBy>Richard Thawley</cp:lastModifiedBy>
  <cp:lastPrinted>2014-11-11T16:52:19Z</cp:lastPrinted>
  <dcterms:created xsi:type="dcterms:W3CDTF">2013-01-16T14:02:30Z</dcterms:created>
  <dcterms:modified xsi:type="dcterms:W3CDTF">2025-08-25T22:15:05Z</dcterms:modified>
</cp:coreProperties>
</file>